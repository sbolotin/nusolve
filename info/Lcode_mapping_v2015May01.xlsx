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ld C NASA\IVS_WG4\"/>
    </mc:Choice>
  </mc:AlternateContent>
  <bookViews>
    <workbookView xWindow="0" yWindow="0" windowWidth="22965" windowHeight="11910" tabRatio="473"/>
  </bookViews>
  <sheets>
    <sheet name="Lcode_mapping" sheetId="9" r:id="rId1"/>
    <sheet name="Lcode_mapping_new" sheetId="16" r:id="rId2"/>
    <sheet name="FileOrder" sheetId="15" r:id="rId3"/>
    <sheet name="global_toc" sheetId="10" r:id="rId4"/>
    <sheet name="Called from SDBH" sheetId="2" r:id="rId5"/>
    <sheet name="Pivex_Reject" sheetId="6" r:id="rId6"/>
    <sheet name="Pivex_all" sheetId="7" r:id="rId7"/>
    <sheet name="Pivex_Doubt" sheetId="5" r:id="rId8"/>
    <sheet name="Pivex_Keep" sheetId="3" r:id="rId9"/>
    <sheet name="Hobiger" sheetId="4" r:id="rId10"/>
    <sheet name="LCODE_MAP" sheetId="11" r:id="rId11"/>
    <sheet name="Stubs" sheetId="13" r:id="rId12"/>
    <sheet name="Sheet2" sheetId="14" r:id="rId13"/>
  </sheets>
  <definedNames>
    <definedName name="_xlnm.Print_Area" localSheetId="0">Lcode_mapping!$A$2:$R$408</definedName>
  </definedNames>
  <calcPr calcId="152511"/>
</workbook>
</file>

<file path=xl/calcChain.xml><?xml version="1.0" encoding="utf-8"?>
<calcChain xmlns="http://schemas.openxmlformats.org/spreadsheetml/2006/main">
  <c r="A108" i="16" l="1"/>
  <c r="B108" i="16"/>
  <c r="C108" i="16"/>
  <c r="D108" i="16"/>
  <c r="E108" i="16"/>
  <c r="F108" i="16"/>
  <c r="G108" i="16"/>
  <c r="H108" i="16"/>
  <c r="I108" i="16"/>
  <c r="J108" i="16"/>
  <c r="K108" i="16"/>
  <c r="L108" i="16"/>
  <c r="M108" i="16"/>
  <c r="N108" i="16"/>
  <c r="O108" i="16"/>
  <c r="P108" i="16"/>
  <c r="Q108" i="16"/>
  <c r="R108" i="16"/>
  <c r="S108" i="16"/>
  <c r="T108" i="16"/>
  <c r="U108" i="16"/>
  <c r="V108" i="16"/>
  <c r="A109" i="16"/>
  <c r="B109" i="16"/>
  <c r="C109" i="16"/>
  <c r="D109" i="16"/>
  <c r="E109" i="16"/>
  <c r="F109" i="16"/>
  <c r="G109" i="16"/>
  <c r="H109" i="16"/>
  <c r="I109" i="16"/>
  <c r="J109" i="16"/>
  <c r="K109" i="16"/>
  <c r="L109" i="16"/>
  <c r="M109" i="16"/>
  <c r="N109" i="16"/>
  <c r="O109" i="16"/>
  <c r="P109" i="16"/>
  <c r="Q109" i="16"/>
  <c r="R109" i="16"/>
  <c r="S109" i="16"/>
  <c r="T109" i="16"/>
  <c r="U109" i="16"/>
  <c r="V109" i="16"/>
  <c r="A110" i="16"/>
  <c r="B110" i="16"/>
  <c r="C110" i="16"/>
  <c r="D110" i="16"/>
  <c r="E110" i="16"/>
  <c r="F110" i="16"/>
  <c r="G110" i="16"/>
  <c r="H110" i="16"/>
  <c r="I110" i="16"/>
  <c r="J110" i="16"/>
  <c r="K110" i="16"/>
  <c r="L110" i="16"/>
  <c r="M110" i="16"/>
  <c r="N110" i="16"/>
  <c r="O110" i="16"/>
  <c r="P110" i="16"/>
  <c r="Q110" i="16"/>
  <c r="R110" i="16"/>
  <c r="S110" i="16"/>
  <c r="T110" i="16"/>
  <c r="U110" i="16"/>
  <c r="V110" i="16"/>
  <c r="A111" i="16"/>
  <c r="B111" i="16"/>
  <c r="C111" i="16"/>
  <c r="D111" i="16"/>
  <c r="E111" i="16"/>
  <c r="F111" i="16"/>
  <c r="G111" i="16"/>
  <c r="H111" i="16"/>
  <c r="I111" i="16"/>
  <c r="J111" i="16"/>
  <c r="K111" i="16"/>
  <c r="L111" i="16"/>
  <c r="M111" i="16"/>
  <c r="N111" i="16"/>
  <c r="O111" i="16"/>
  <c r="P111" i="16"/>
  <c r="Q111" i="16"/>
  <c r="R111" i="16"/>
  <c r="S111" i="16"/>
  <c r="T111" i="16"/>
  <c r="U111" i="16"/>
  <c r="V111" i="16"/>
  <c r="A112" i="16"/>
  <c r="B112" i="16"/>
  <c r="C112" i="16"/>
  <c r="D112" i="16"/>
  <c r="E112" i="16"/>
  <c r="F112" i="16"/>
  <c r="G112" i="16"/>
  <c r="H112" i="16"/>
  <c r="I112" i="16"/>
  <c r="J112" i="16"/>
  <c r="K112" i="16"/>
  <c r="L112" i="16"/>
  <c r="M112" i="16"/>
  <c r="N112" i="16"/>
  <c r="O112" i="16"/>
  <c r="P112" i="16"/>
  <c r="Q112" i="16"/>
  <c r="R112" i="16"/>
  <c r="S112" i="16"/>
  <c r="T112" i="16"/>
  <c r="U112" i="16"/>
  <c r="V112" i="16"/>
  <c r="A113" i="16"/>
  <c r="B113" i="16"/>
  <c r="C113" i="16"/>
  <c r="D113" i="16"/>
  <c r="E113" i="16"/>
  <c r="F113" i="16"/>
  <c r="G113" i="16"/>
  <c r="H113" i="16"/>
  <c r="I113" i="16"/>
  <c r="J113" i="16"/>
  <c r="K113" i="16"/>
  <c r="L113" i="16"/>
  <c r="M113" i="16"/>
  <c r="N113" i="16"/>
  <c r="O113" i="16"/>
  <c r="P113" i="16"/>
  <c r="Q113" i="16"/>
  <c r="R113" i="16"/>
  <c r="S113" i="16"/>
  <c r="T113" i="16"/>
  <c r="U113" i="16"/>
  <c r="V113" i="16"/>
  <c r="A114" i="16"/>
  <c r="B114" i="16"/>
  <c r="C114" i="16"/>
  <c r="D114" i="16"/>
  <c r="E114" i="16"/>
  <c r="F114" i="16"/>
  <c r="G114" i="16"/>
  <c r="H114" i="16"/>
  <c r="I114" i="16"/>
  <c r="J114" i="16"/>
  <c r="K114" i="16"/>
  <c r="L114" i="16"/>
  <c r="M114" i="16"/>
  <c r="N114" i="16"/>
  <c r="O114" i="16"/>
  <c r="P114" i="16"/>
  <c r="Q114" i="16"/>
  <c r="R114" i="16"/>
  <c r="S114" i="16"/>
  <c r="T114" i="16"/>
  <c r="U114" i="16"/>
  <c r="V114" i="16"/>
  <c r="A115" i="16"/>
  <c r="B115" i="16"/>
  <c r="C115" i="16"/>
  <c r="D115" i="16"/>
  <c r="E115" i="16"/>
  <c r="F115" i="16"/>
  <c r="G115" i="16"/>
  <c r="H115" i="16"/>
  <c r="I115" i="16"/>
  <c r="J115" i="16"/>
  <c r="K115" i="16"/>
  <c r="L115" i="16"/>
  <c r="M115" i="16"/>
  <c r="N115" i="16"/>
  <c r="O115" i="16"/>
  <c r="P115" i="16"/>
  <c r="Q115" i="16"/>
  <c r="R115" i="16"/>
  <c r="S115" i="16"/>
  <c r="T115" i="16"/>
  <c r="U115" i="16"/>
  <c r="V115" i="16"/>
  <c r="A116" i="16"/>
  <c r="B116" i="16"/>
  <c r="C116" i="16"/>
  <c r="D116" i="16"/>
  <c r="E116" i="16"/>
  <c r="F116" i="16"/>
  <c r="G116" i="16"/>
  <c r="H116" i="16"/>
  <c r="I116" i="16"/>
  <c r="J116" i="16"/>
  <c r="K116" i="16"/>
  <c r="L116" i="16"/>
  <c r="M116" i="16"/>
  <c r="N116" i="16"/>
  <c r="O116" i="16"/>
  <c r="P116" i="16"/>
  <c r="Q116" i="16"/>
  <c r="R116" i="16"/>
  <c r="S116" i="16"/>
  <c r="T116" i="16"/>
  <c r="U116" i="16"/>
  <c r="V116" i="16"/>
  <c r="A117" i="16"/>
  <c r="B117" i="16"/>
  <c r="C117" i="16"/>
  <c r="D117" i="16"/>
  <c r="E117" i="16"/>
  <c r="F117" i="16"/>
  <c r="G117" i="16"/>
  <c r="H117" i="16"/>
  <c r="I117" i="16"/>
  <c r="J117" i="16"/>
  <c r="K117" i="16"/>
  <c r="L117" i="16"/>
  <c r="M117" i="16"/>
  <c r="N117" i="16"/>
  <c r="O117" i="16"/>
  <c r="P117" i="16"/>
  <c r="Q117" i="16"/>
  <c r="R117" i="16"/>
  <c r="S117" i="16"/>
  <c r="T117" i="16"/>
  <c r="U117" i="16"/>
  <c r="V117" i="16"/>
  <c r="A118" i="16"/>
  <c r="B118" i="16"/>
  <c r="C118" i="16"/>
  <c r="D118" i="16"/>
  <c r="E118" i="16"/>
  <c r="F118" i="16"/>
  <c r="G118" i="16"/>
  <c r="H118" i="16"/>
  <c r="I118" i="16"/>
  <c r="J118" i="16"/>
  <c r="K118" i="16"/>
  <c r="L118" i="16"/>
  <c r="M118" i="16"/>
  <c r="N118" i="16"/>
  <c r="O118" i="16"/>
  <c r="P118" i="16"/>
  <c r="Q118" i="16"/>
  <c r="R118" i="16"/>
  <c r="S118" i="16"/>
  <c r="T118" i="16"/>
  <c r="U118" i="16"/>
  <c r="V118" i="16"/>
  <c r="A119" i="16"/>
  <c r="B119" i="16"/>
  <c r="C119" i="16"/>
  <c r="D119" i="16"/>
  <c r="E119" i="16"/>
  <c r="F119" i="16"/>
  <c r="G119" i="16"/>
  <c r="H119" i="16"/>
  <c r="I119" i="16"/>
  <c r="J119" i="16"/>
  <c r="K119" i="16"/>
  <c r="L119" i="16"/>
  <c r="M119" i="16"/>
  <c r="N119" i="16"/>
  <c r="O119" i="16"/>
  <c r="P119" i="16"/>
  <c r="Q119" i="16"/>
  <c r="R119" i="16"/>
  <c r="S119" i="16"/>
  <c r="T119" i="16"/>
  <c r="U119" i="16"/>
  <c r="V119" i="16"/>
  <c r="A120" i="16"/>
  <c r="B120" i="16"/>
  <c r="C120" i="16"/>
  <c r="D120" i="16"/>
  <c r="E120" i="16"/>
  <c r="F120" i="16"/>
  <c r="G120" i="16"/>
  <c r="H120" i="16"/>
  <c r="I120" i="16"/>
  <c r="J120" i="16"/>
  <c r="K120" i="16"/>
  <c r="L120" i="16"/>
  <c r="M120" i="16"/>
  <c r="N120" i="16"/>
  <c r="O120" i="16"/>
  <c r="P120" i="16"/>
  <c r="Q120" i="16"/>
  <c r="R120" i="16"/>
  <c r="S120" i="16"/>
  <c r="T120" i="16"/>
  <c r="U120" i="16"/>
  <c r="V120" i="16"/>
  <c r="A121" i="16"/>
  <c r="B121" i="16"/>
  <c r="C121" i="16"/>
  <c r="D121" i="16"/>
  <c r="E121" i="16"/>
  <c r="F121" i="16"/>
  <c r="G121" i="16"/>
  <c r="H121" i="16"/>
  <c r="I121" i="16"/>
  <c r="J121" i="16"/>
  <c r="K121" i="16"/>
  <c r="L121" i="16"/>
  <c r="M121" i="16"/>
  <c r="N121" i="16"/>
  <c r="O121" i="16"/>
  <c r="P121" i="16"/>
  <c r="Q121" i="16"/>
  <c r="R121" i="16"/>
  <c r="S121" i="16"/>
  <c r="T121" i="16"/>
  <c r="U121" i="16"/>
  <c r="V121" i="16"/>
  <c r="A122" i="16"/>
  <c r="B122" i="16"/>
  <c r="C122" i="16"/>
  <c r="D122" i="16"/>
  <c r="E122" i="16"/>
  <c r="F122" i="16"/>
  <c r="G122" i="16"/>
  <c r="H122" i="16"/>
  <c r="I122" i="16"/>
  <c r="J122" i="16"/>
  <c r="K122" i="16"/>
  <c r="L122" i="16"/>
  <c r="M122" i="16"/>
  <c r="N122" i="16"/>
  <c r="O122" i="16"/>
  <c r="P122" i="16"/>
  <c r="Q122" i="16"/>
  <c r="R122" i="16"/>
  <c r="S122" i="16"/>
  <c r="T122" i="16"/>
  <c r="U122" i="16"/>
  <c r="V122" i="16"/>
  <c r="A123" i="16"/>
  <c r="B123" i="16"/>
  <c r="C123" i="16"/>
  <c r="D123" i="16"/>
  <c r="E123" i="16"/>
  <c r="F123" i="16"/>
  <c r="G123" i="16"/>
  <c r="H123" i="16"/>
  <c r="I123" i="16"/>
  <c r="J123" i="16"/>
  <c r="K123" i="16"/>
  <c r="L123" i="16"/>
  <c r="M123" i="16"/>
  <c r="N123" i="16"/>
  <c r="O123" i="16"/>
  <c r="P123" i="16"/>
  <c r="Q123" i="16"/>
  <c r="R123" i="16"/>
  <c r="S123" i="16"/>
  <c r="T123" i="16"/>
  <c r="U123" i="16"/>
  <c r="V123" i="16"/>
  <c r="A124" i="16"/>
  <c r="B124" i="16"/>
  <c r="C124" i="16"/>
  <c r="D124" i="16"/>
  <c r="E124" i="16"/>
  <c r="F124" i="16"/>
  <c r="G124" i="16"/>
  <c r="H124" i="16"/>
  <c r="I124" i="16"/>
  <c r="J124" i="16"/>
  <c r="K124" i="16"/>
  <c r="L124" i="16"/>
  <c r="M124" i="16"/>
  <c r="N124" i="16"/>
  <c r="O124" i="16"/>
  <c r="P124" i="16"/>
  <c r="Q124" i="16"/>
  <c r="R124" i="16"/>
  <c r="S124" i="16"/>
  <c r="T124" i="16"/>
  <c r="U124" i="16"/>
  <c r="V124" i="16"/>
  <c r="A125" i="16"/>
  <c r="B125" i="16"/>
  <c r="C125" i="16"/>
  <c r="D125" i="16"/>
  <c r="E125" i="16"/>
  <c r="F125" i="16"/>
  <c r="G125" i="16"/>
  <c r="H125" i="16"/>
  <c r="I125" i="16"/>
  <c r="J125" i="16"/>
  <c r="K125" i="16"/>
  <c r="L125" i="16"/>
  <c r="M125" i="16"/>
  <c r="N125" i="16"/>
  <c r="O125" i="16"/>
  <c r="P125" i="16"/>
  <c r="Q125" i="16"/>
  <c r="R125" i="16"/>
  <c r="S125" i="16"/>
  <c r="T125" i="16"/>
  <c r="U125" i="16"/>
  <c r="V125" i="16"/>
  <c r="A126" i="16"/>
  <c r="B126" i="16"/>
  <c r="C126" i="16"/>
  <c r="D126" i="16"/>
  <c r="E126" i="16"/>
  <c r="F126" i="16"/>
  <c r="G126" i="16"/>
  <c r="H126" i="16"/>
  <c r="I126" i="16"/>
  <c r="J126" i="16"/>
  <c r="K126" i="16"/>
  <c r="L126" i="16"/>
  <c r="M126" i="16"/>
  <c r="N126" i="16"/>
  <c r="O126" i="16"/>
  <c r="P126" i="16"/>
  <c r="Q126" i="16"/>
  <c r="R126" i="16"/>
  <c r="S126" i="16"/>
  <c r="T126" i="16"/>
  <c r="U126" i="16"/>
  <c r="V126" i="16"/>
  <c r="A127" i="16"/>
  <c r="B127" i="16"/>
  <c r="C127" i="16"/>
  <c r="D127" i="16"/>
  <c r="E127" i="16"/>
  <c r="F127" i="16"/>
  <c r="G127" i="16"/>
  <c r="H127" i="16"/>
  <c r="I127" i="16"/>
  <c r="J127" i="16"/>
  <c r="K127" i="16"/>
  <c r="L127" i="16"/>
  <c r="M127" i="16"/>
  <c r="N127" i="16"/>
  <c r="O127" i="16"/>
  <c r="P127" i="16"/>
  <c r="Q127" i="16"/>
  <c r="R127" i="16"/>
  <c r="S127" i="16"/>
  <c r="T127" i="16"/>
  <c r="U127" i="16"/>
  <c r="V127" i="16"/>
  <c r="A128" i="16"/>
  <c r="B128" i="16"/>
  <c r="C128" i="16"/>
  <c r="D128" i="16"/>
  <c r="E128" i="16"/>
  <c r="F128" i="16"/>
  <c r="G128" i="16"/>
  <c r="H128" i="16"/>
  <c r="I128" i="16"/>
  <c r="J128" i="16"/>
  <c r="K128" i="16"/>
  <c r="L128" i="16"/>
  <c r="M128" i="16"/>
  <c r="N128" i="16"/>
  <c r="O128" i="16"/>
  <c r="P128" i="16"/>
  <c r="Q128" i="16"/>
  <c r="R128" i="16"/>
  <c r="S128" i="16"/>
  <c r="T128" i="16"/>
  <c r="U128" i="16"/>
  <c r="V128" i="16"/>
  <c r="A129" i="16"/>
  <c r="B129" i="16"/>
  <c r="C129" i="16"/>
  <c r="D129" i="16"/>
  <c r="E129" i="16"/>
  <c r="F129" i="16"/>
  <c r="G129" i="16"/>
  <c r="H129" i="16"/>
  <c r="I129" i="16"/>
  <c r="J129" i="16"/>
  <c r="K129" i="16"/>
  <c r="L129" i="16"/>
  <c r="M129" i="16"/>
  <c r="N129" i="16"/>
  <c r="O129" i="16"/>
  <c r="P129" i="16"/>
  <c r="Q129" i="16"/>
  <c r="R129" i="16"/>
  <c r="S129" i="16"/>
  <c r="T129" i="16"/>
  <c r="U129" i="16"/>
  <c r="V129" i="16"/>
  <c r="A130" i="16"/>
  <c r="B130" i="16"/>
  <c r="C130" i="16"/>
  <c r="D130" i="16"/>
  <c r="E130" i="16"/>
  <c r="F130" i="16"/>
  <c r="G130" i="16"/>
  <c r="H130" i="16"/>
  <c r="I130" i="16"/>
  <c r="J130" i="16"/>
  <c r="K130" i="16"/>
  <c r="L130" i="16"/>
  <c r="M130" i="16"/>
  <c r="N130" i="16"/>
  <c r="O130" i="16"/>
  <c r="P130" i="16"/>
  <c r="Q130" i="16"/>
  <c r="R130" i="16"/>
  <c r="S130" i="16"/>
  <c r="T130" i="16"/>
  <c r="U130" i="16"/>
  <c r="V130" i="16"/>
  <c r="A131" i="16"/>
  <c r="B131" i="16"/>
  <c r="C131" i="16"/>
  <c r="D131" i="16"/>
  <c r="E131" i="16"/>
  <c r="F131" i="16"/>
  <c r="G131" i="16"/>
  <c r="H131" i="16"/>
  <c r="I131" i="16"/>
  <c r="J131" i="16"/>
  <c r="K131" i="16"/>
  <c r="L131" i="16"/>
  <c r="M131" i="16"/>
  <c r="N131" i="16"/>
  <c r="O131" i="16"/>
  <c r="P131" i="16"/>
  <c r="Q131" i="16"/>
  <c r="R131" i="16"/>
  <c r="S131" i="16"/>
  <c r="T131" i="16"/>
  <c r="U131" i="16"/>
  <c r="V131" i="16"/>
  <c r="A132" i="16"/>
  <c r="B132" i="16"/>
  <c r="C132" i="16"/>
  <c r="D132" i="16"/>
  <c r="E132" i="16"/>
  <c r="F132" i="16"/>
  <c r="G132" i="16"/>
  <c r="H132" i="16"/>
  <c r="I132" i="16"/>
  <c r="J132" i="16"/>
  <c r="K132" i="16"/>
  <c r="L132" i="16"/>
  <c r="M132" i="16"/>
  <c r="N132" i="16"/>
  <c r="O132" i="16"/>
  <c r="P132" i="16"/>
  <c r="Q132" i="16"/>
  <c r="R132" i="16"/>
  <c r="S132" i="16"/>
  <c r="T132" i="16"/>
  <c r="U132" i="16"/>
  <c r="V132" i="16"/>
  <c r="A133" i="16"/>
  <c r="B133" i="16"/>
  <c r="C133" i="16"/>
  <c r="D133" i="16"/>
  <c r="E133" i="16"/>
  <c r="F133" i="16"/>
  <c r="G133" i="16"/>
  <c r="H133" i="16"/>
  <c r="I133" i="16"/>
  <c r="J133" i="16"/>
  <c r="K133" i="16"/>
  <c r="L133" i="16"/>
  <c r="M133" i="16"/>
  <c r="N133" i="16"/>
  <c r="O133" i="16"/>
  <c r="P133" i="16"/>
  <c r="Q133" i="16"/>
  <c r="R133" i="16"/>
  <c r="S133" i="16"/>
  <c r="T133" i="16"/>
  <c r="U133" i="16"/>
  <c r="V133" i="16"/>
  <c r="A134" i="16"/>
  <c r="B134" i="16"/>
  <c r="C134" i="16"/>
  <c r="D134" i="16"/>
  <c r="E134" i="16"/>
  <c r="F134" i="16"/>
  <c r="G134" i="16"/>
  <c r="H134" i="16"/>
  <c r="I134" i="16"/>
  <c r="J134" i="16"/>
  <c r="K134" i="16"/>
  <c r="L134" i="16"/>
  <c r="M134" i="16"/>
  <c r="N134" i="16"/>
  <c r="O134" i="16"/>
  <c r="P134" i="16"/>
  <c r="Q134" i="16"/>
  <c r="R134" i="16"/>
  <c r="S134" i="16"/>
  <c r="T134" i="16"/>
  <c r="U134" i="16"/>
  <c r="V134" i="16"/>
  <c r="A135" i="16"/>
  <c r="B135" i="16"/>
  <c r="C135" i="16"/>
  <c r="D135" i="16"/>
  <c r="E135" i="16"/>
  <c r="F135" i="16"/>
  <c r="G135" i="16"/>
  <c r="H135" i="16"/>
  <c r="I135" i="16"/>
  <c r="J135" i="16"/>
  <c r="K135" i="16"/>
  <c r="L135" i="16"/>
  <c r="M135" i="16"/>
  <c r="N135" i="16"/>
  <c r="O135" i="16"/>
  <c r="P135" i="16"/>
  <c r="Q135" i="16"/>
  <c r="R135" i="16"/>
  <c r="S135" i="16"/>
  <c r="T135" i="16"/>
  <c r="U135" i="16"/>
  <c r="V135" i="16"/>
  <c r="A136" i="16"/>
  <c r="B136" i="16"/>
  <c r="C136" i="16"/>
  <c r="D136" i="16"/>
  <c r="E136" i="16"/>
  <c r="F136" i="16"/>
  <c r="G136" i="16"/>
  <c r="H136" i="16"/>
  <c r="I136" i="16"/>
  <c r="J136" i="16"/>
  <c r="K136" i="16"/>
  <c r="L136" i="16"/>
  <c r="M136" i="16"/>
  <c r="N136" i="16"/>
  <c r="O136" i="16"/>
  <c r="P136" i="16"/>
  <c r="Q136" i="16"/>
  <c r="R136" i="16"/>
  <c r="S136" i="16"/>
  <c r="T136" i="16"/>
  <c r="U136" i="16"/>
  <c r="V136" i="16"/>
  <c r="A137" i="16"/>
  <c r="B137" i="16"/>
  <c r="C137" i="16"/>
  <c r="D137" i="16"/>
  <c r="E137" i="16"/>
  <c r="F137" i="16"/>
  <c r="G137" i="16"/>
  <c r="H137" i="16"/>
  <c r="I137" i="16"/>
  <c r="J137" i="16"/>
  <c r="K137" i="16"/>
  <c r="L137" i="16"/>
  <c r="M137" i="16"/>
  <c r="N137" i="16"/>
  <c r="O137" i="16"/>
  <c r="P137" i="16"/>
  <c r="Q137" i="16"/>
  <c r="R137" i="16"/>
  <c r="S137" i="16"/>
  <c r="T137" i="16"/>
  <c r="U137" i="16"/>
  <c r="V137" i="16"/>
  <c r="A138" i="16"/>
  <c r="B138" i="16"/>
  <c r="C138" i="16"/>
  <c r="D138" i="16"/>
  <c r="E138" i="16"/>
  <c r="F138" i="16"/>
  <c r="G138" i="16"/>
  <c r="H138" i="16"/>
  <c r="I138" i="16"/>
  <c r="J138" i="16"/>
  <c r="K138" i="16"/>
  <c r="L138" i="16"/>
  <c r="M138" i="16"/>
  <c r="N138" i="16"/>
  <c r="O138" i="16"/>
  <c r="P138" i="16"/>
  <c r="Q138" i="16"/>
  <c r="R138" i="16"/>
  <c r="S138" i="16"/>
  <c r="T138" i="16"/>
  <c r="U138" i="16"/>
  <c r="V138" i="16"/>
  <c r="A139" i="16"/>
  <c r="B139" i="16"/>
  <c r="C139" i="16"/>
  <c r="D139" i="16"/>
  <c r="E139" i="16"/>
  <c r="F139" i="16"/>
  <c r="G139" i="16"/>
  <c r="H139" i="16"/>
  <c r="I139" i="16"/>
  <c r="J139" i="16"/>
  <c r="K139" i="16"/>
  <c r="L139" i="16"/>
  <c r="M139" i="16"/>
  <c r="N139" i="16"/>
  <c r="O139" i="16"/>
  <c r="P139" i="16"/>
  <c r="Q139" i="16"/>
  <c r="R139" i="16"/>
  <c r="S139" i="16"/>
  <c r="T139" i="16"/>
  <c r="U139" i="16"/>
  <c r="V139" i="16"/>
  <c r="A140" i="16"/>
  <c r="B140" i="16"/>
  <c r="C140" i="16"/>
  <c r="D140" i="16"/>
  <c r="E140" i="16"/>
  <c r="F140" i="16"/>
  <c r="G140" i="16"/>
  <c r="H140" i="16"/>
  <c r="I140" i="16"/>
  <c r="J140" i="16"/>
  <c r="K140" i="16"/>
  <c r="L140" i="16"/>
  <c r="M140" i="16"/>
  <c r="N140" i="16"/>
  <c r="O140" i="16"/>
  <c r="P140" i="16"/>
  <c r="Q140" i="16"/>
  <c r="R140" i="16"/>
  <c r="S140" i="16"/>
  <c r="T140" i="16"/>
  <c r="U140" i="16"/>
  <c r="V140" i="16"/>
  <c r="A141" i="16"/>
  <c r="B141" i="16"/>
  <c r="C141" i="16"/>
  <c r="D141" i="16"/>
  <c r="E141" i="16"/>
  <c r="F141" i="16"/>
  <c r="G141" i="16"/>
  <c r="H141" i="16"/>
  <c r="I141" i="16"/>
  <c r="J141" i="16"/>
  <c r="K141" i="16"/>
  <c r="L141" i="16"/>
  <c r="M141" i="16"/>
  <c r="N141" i="16"/>
  <c r="O141" i="16"/>
  <c r="P141" i="16"/>
  <c r="Q141" i="16"/>
  <c r="R141" i="16"/>
  <c r="S141" i="16"/>
  <c r="T141" i="16"/>
  <c r="U141" i="16"/>
  <c r="V141" i="16"/>
  <c r="A142" i="16"/>
  <c r="B142" i="16"/>
  <c r="C142" i="16"/>
  <c r="D142" i="16"/>
  <c r="E142" i="16"/>
  <c r="F142" i="16"/>
  <c r="G142" i="16"/>
  <c r="H142" i="16"/>
  <c r="I142" i="16"/>
  <c r="J142" i="16"/>
  <c r="K142" i="16"/>
  <c r="L142" i="16"/>
  <c r="M142" i="16"/>
  <c r="N142" i="16"/>
  <c r="O142" i="16"/>
  <c r="P142" i="16"/>
  <c r="Q142" i="16"/>
  <c r="R142" i="16"/>
  <c r="S142" i="16"/>
  <c r="T142" i="16"/>
  <c r="U142" i="16"/>
  <c r="V142" i="16"/>
  <c r="A143" i="16"/>
  <c r="B143" i="16"/>
  <c r="C143" i="16"/>
  <c r="D143" i="16"/>
  <c r="E143" i="16"/>
  <c r="F143" i="16"/>
  <c r="G143" i="16"/>
  <c r="H143" i="16"/>
  <c r="I143" i="16"/>
  <c r="J143" i="16"/>
  <c r="K143" i="16"/>
  <c r="L143" i="16"/>
  <c r="M143" i="16"/>
  <c r="N143" i="16"/>
  <c r="O143" i="16"/>
  <c r="P143" i="16"/>
  <c r="Q143" i="16"/>
  <c r="R143" i="16"/>
  <c r="S143" i="16"/>
  <c r="T143" i="16"/>
  <c r="U143" i="16"/>
  <c r="V143" i="16"/>
  <c r="A144" i="16"/>
  <c r="B144" i="16"/>
  <c r="C144" i="16"/>
  <c r="D144" i="16"/>
  <c r="E144" i="16"/>
  <c r="F144" i="16"/>
  <c r="G144" i="16"/>
  <c r="H144" i="16"/>
  <c r="I144" i="16"/>
  <c r="J144" i="16"/>
  <c r="K144" i="16"/>
  <c r="L144" i="16"/>
  <c r="M144" i="16"/>
  <c r="N144" i="16"/>
  <c r="O144" i="16"/>
  <c r="P144" i="16"/>
  <c r="Q144" i="16"/>
  <c r="R144" i="16"/>
  <c r="S144" i="16"/>
  <c r="T144" i="16"/>
  <c r="U144" i="16"/>
  <c r="V144" i="16"/>
  <c r="A145" i="16"/>
  <c r="B145" i="16"/>
  <c r="C145" i="16"/>
  <c r="D145" i="16"/>
  <c r="E145" i="16"/>
  <c r="F145" i="16"/>
  <c r="G145" i="16"/>
  <c r="H145" i="16"/>
  <c r="I145" i="16"/>
  <c r="J145" i="16"/>
  <c r="K145" i="16"/>
  <c r="L145" i="16"/>
  <c r="M145" i="16"/>
  <c r="N145" i="16"/>
  <c r="O145" i="16"/>
  <c r="P145" i="16"/>
  <c r="Q145" i="16"/>
  <c r="R145" i="16"/>
  <c r="S145" i="16"/>
  <c r="T145" i="16"/>
  <c r="U145" i="16"/>
  <c r="V145" i="16"/>
  <c r="A146" i="16"/>
  <c r="B146" i="16"/>
  <c r="C146" i="16"/>
  <c r="D146" i="16"/>
  <c r="E146" i="16"/>
  <c r="F146" i="16"/>
  <c r="G146" i="16"/>
  <c r="H146" i="16"/>
  <c r="I146" i="16"/>
  <c r="J146" i="16"/>
  <c r="K146" i="16"/>
  <c r="L146" i="16"/>
  <c r="M146" i="16"/>
  <c r="N146" i="16"/>
  <c r="O146" i="16"/>
  <c r="P146" i="16"/>
  <c r="Q146" i="16"/>
  <c r="R146" i="16"/>
  <c r="S146" i="16"/>
  <c r="T146" i="16"/>
  <c r="U146" i="16"/>
  <c r="V146" i="16"/>
  <c r="A147" i="16"/>
  <c r="B147" i="16"/>
  <c r="C147" i="16"/>
  <c r="D147" i="16"/>
  <c r="E147" i="16"/>
  <c r="F147" i="16"/>
  <c r="G147" i="16"/>
  <c r="H147" i="16"/>
  <c r="I147" i="16"/>
  <c r="J147" i="16"/>
  <c r="K147" i="16"/>
  <c r="L147" i="16"/>
  <c r="M147" i="16"/>
  <c r="N147" i="16"/>
  <c r="O147" i="16"/>
  <c r="P147" i="16"/>
  <c r="Q147" i="16"/>
  <c r="R147" i="16"/>
  <c r="S147" i="16"/>
  <c r="T147" i="16"/>
  <c r="U147" i="16"/>
  <c r="V147" i="16"/>
  <c r="A148" i="16"/>
  <c r="B148" i="16"/>
  <c r="C148" i="16"/>
  <c r="D148" i="16"/>
  <c r="E148" i="16"/>
  <c r="F148" i="16"/>
  <c r="G148" i="16"/>
  <c r="H148" i="16"/>
  <c r="I148" i="16"/>
  <c r="J148" i="16"/>
  <c r="K148" i="16"/>
  <c r="L148" i="16"/>
  <c r="M148" i="16"/>
  <c r="N148" i="16"/>
  <c r="O148" i="16"/>
  <c r="P148" i="16"/>
  <c r="Q148" i="16"/>
  <c r="R148" i="16"/>
  <c r="S148" i="16"/>
  <c r="T148" i="16"/>
  <c r="U148" i="16"/>
  <c r="V148" i="16"/>
  <c r="A149" i="16"/>
  <c r="B149" i="16"/>
  <c r="C149" i="16"/>
  <c r="D149" i="16"/>
  <c r="E149" i="16"/>
  <c r="F149" i="16"/>
  <c r="G149" i="16"/>
  <c r="H149" i="16"/>
  <c r="I149" i="16"/>
  <c r="J149" i="16"/>
  <c r="K149" i="16"/>
  <c r="L149" i="16"/>
  <c r="M149" i="16"/>
  <c r="N149" i="16"/>
  <c r="O149" i="16"/>
  <c r="P149" i="16"/>
  <c r="Q149" i="16"/>
  <c r="R149" i="16"/>
  <c r="S149" i="16"/>
  <c r="T149" i="16"/>
  <c r="U149" i="16"/>
  <c r="V149" i="16"/>
  <c r="A150" i="16"/>
  <c r="B150" i="16"/>
  <c r="C150" i="16"/>
  <c r="D150" i="16"/>
  <c r="E150" i="16"/>
  <c r="F150" i="16"/>
  <c r="G150" i="16"/>
  <c r="H150" i="16"/>
  <c r="I150" i="16"/>
  <c r="J150" i="16"/>
  <c r="K150" i="16"/>
  <c r="L150" i="16"/>
  <c r="M150" i="16"/>
  <c r="N150" i="16"/>
  <c r="O150" i="16"/>
  <c r="P150" i="16"/>
  <c r="Q150" i="16"/>
  <c r="R150" i="16"/>
  <c r="S150" i="16"/>
  <c r="T150" i="16"/>
  <c r="U150" i="16"/>
  <c r="V150" i="16"/>
  <c r="A151" i="16"/>
  <c r="B151" i="16"/>
  <c r="C151" i="16"/>
  <c r="D151" i="16"/>
  <c r="E151" i="16"/>
  <c r="F151" i="16"/>
  <c r="G151" i="16"/>
  <c r="H151" i="16"/>
  <c r="I151" i="16"/>
  <c r="J151" i="16"/>
  <c r="K151" i="16"/>
  <c r="L151" i="16"/>
  <c r="M151" i="16"/>
  <c r="N151" i="16"/>
  <c r="O151" i="16"/>
  <c r="P151" i="16"/>
  <c r="Q151" i="16"/>
  <c r="R151" i="16"/>
  <c r="S151" i="16"/>
  <c r="T151" i="16"/>
  <c r="U151" i="16"/>
  <c r="V151" i="16"/>
  <c r="A152" i="16"/>
  <c r="B152" i="16"/>
  <c r="C152" i="16"/>
  <c r="D152" i="16"/>
  <c r="E152" i="16"/>
  <c r="F152" i="16"/>
  <c r="G152" i="16"/>
  <c r="H152" i="16"/>
  <c r="I152" i="16"/>
  <c r="J152" i="16"/>
  <c r="K152" i="16"/>
  <c r="L152" i="16"/>
  <c r="M152" i="16"/>
  <c r="N152" i="16"/>
  <c r="O152" i="16"/>
  <c r="P152" i="16"/>
  <c r="Q152" i="16"/>
  <c r="R152" i="16"/>
  <c r="S152" i="16"/>
  <c r="T152" i="16"/>
  <c r="U152" i="16"/>
  <c r="V152" i="16"/>
  <c r="A153" i="16"/>
  <c r="B153" i="16"/>
  <c r="C153" i="16"/>
  <c r="D153" i="16"/>
  <c r="E153" i="16"/>
  <c r="F153" i="16"/>
  <c r="G153" i="16"/>
  <c r="H153" i="16"/>
  <c r="I153" i="16"/>
  <c r="J153" i="16"/>
  <c r="K153" i="16"/>
  <c r="L153" i="16"/>
  <c r="M153" i="16"/>
  <c r="N153" i="16"/>
  <c r="O153" i="16"/>
  <c r="P153" i="16"/>
  <c r="Q153" i="16"/>
  <c r="R153" i="16"/>
  <c r="S153" i="16"/>
  <c r="T153" i="16"/>
  <c r="U153" i="16"/>
  <c r="V153" i="16"/>
  <c r="A154" i="16"/>
  <c r="B154" i="16"/>
  <c r="C154" i="16"/>
  <c r="D154" i="16"/>
  <c r="E154" i="16"/>
  <c r="F154" i="16"/>
  <c r="G154" i="16"/>
  <c r="H154" i="16"/>
  <c r="I154" i="16"/>
  <c r="J154" i="16"/>
  <c r="K154" i="16"/>
  <c r="L154" i="16"/>
  <c r="M154" i="16"/>
  <c r="N154" i="16"/>
  <c r="O154" i="16"/>
  <c r="P154" i="16"/>
  <c r="Q154" i="16"/>
  <c r="R154" i="16"/>
  <c r="S154" i="16"/>
  <c r="T154" i="16"/>
  <c r="U154" i="16"/>
  <c r="V154" i="16"/>
  <c r="A155" i="16"/>
  <c r="B155" i="16"/>
  <c r="C155" i="16"/>
  <c r="D155" i="16"/>
  <c r="E155" i="16"/>
  <c r="F155" i="16"/>
  <c r="G155" i="16"/>
  <c r="H155" i="16"/>
  <c r="I155" i="16"/>
  <c r="J155" i="16"/>
  <c r="K155" i="16"/>
  <c r="L155" i="16"/>
  <c r="M155" i="16"/>
  <c r="N155" i="16"/>
  <c r="O155" i="16"/>
  <c r="P155" i="16"/>
  <c r="Q155" i="16"/>
  <c r="R155" i="16"/>
  <c r="S155" i="16"/>
  <c r="T155" i="16"/>
  <c r="U155" i="16"/>
  <c r="V155" i="16"/>
  <c r="A156" i="16"/>
  <c r="B156" i="16"/>
  <c r="C156" i="16"/>
  <c r="D156" i="16"/>
  <c r="E156" i="16"/>
  <c r="F156" i="16"/>
  <c r="G156" i="16"/>
  <c r="H156" i="16"/>
  <c r="I156" i="16"/>
  <c r="J156" i="16"/>
  <c r="K156" i="16"/>
  <c r="L156" i="16"/>
  <c r="M156" i="16"/>
  <c r="N156" i="16"/>
  <c r="O156" i="16"/>
  <c r="P156" i="16"/>
  <c r="Q156" i="16"/>
  <c r="R156" i="16"/>
  <c r="S156" i="16"/>
  <c r="T156" i="16"/>
  <c r="U156" i="16"/>
  <c r="V156" i="16"/>
  <c r="A157" i="16"/>
  <c r="B157" i="16"/>
  <c r="C157" i="16"/>
  <c r="D157" i="16"/>
  <c r="E157" i="16"/>
  <c r="F157" i="16"/>
  <c r="G157" i="16"/>
  <c r="H157" i="16"/>
  <c r="I157" i="16"/>
  <c r="J157" i="16"/>
  <c r="K157" i="16"/>
  <c r="L157" i="16"/>
  <c r="M157" i="16"/>
  <c r="N157" i="16"/>
  <c r="O157" i="16"/>
  <c r="P157" i="16"/>
  <c r="Q157" i="16"/>
  <c r="R157" i="16"/>
  <c r="S157" i="16"/>
  <c r="T157" i="16"/>
  <c r="U157" i="16"/>
  <c r="V157" i="16"/>
  <c r="A158" i="16"/>
  <c r="B158" i="16"/>
  <c r="C158" i="16"/>
  <c r="D158" i="16"/>
  <c r="E158" i="16"/>
  <c r="F158" i="16"/>
  <c r="G158" i="16"/>
  <c r="H158" i="16"/>
  <c r="I158" i="16"/>
  <c r="J158" i="16"/>
  <c r="K158" i="16"/>
  <c r="L158" i="16"/>
  <c r="M158" i="16"/>
  <c r="N158" i="16"/>
  <c r="O158" i="16"/>
  <c r="P158" i="16"/>
  <c r="Q158" i="16"/>
  <c r="R158" i="16"/>
  <c r="S158" i="16"/>
  <c r="T158" i="16"/>
  <c r="U158" i="16"/>
  <c r="V158" i="16"/>
  <c r="A159" i="16"/>
  <c r="B159" i="16"/>
  <c r="C159" i="16"/>
  <c r="D159" i="16"/>
  <c r="E159" i="16"/>
  <c r="F159" i="16"/>
  <c r="G159" i="16"/>
  <c r="H159" i="16"/>
  <c r="I159" i="16"/>
  <c r="J159" i="16"/>
  <c r="K159" i="16"/>
  <c r="L159" i="16"/>
  <c r="M159" i="16"/>
  <c r="N159" i="16"/>
  <c r="O159" i="16"/>
  <c r="P159" i="16"/>
  <c r="Q159" i="16"/>
  <c r="R159" i="16"/>
  <c r="S159" i="16"/>
  <c r="T159" i="16"/>
  <c r="U159" i="16"/>
  <c r="V159" i="16"/>
  <c r="A160" i="16"/>
  <c r="B160" i="16"/>
  <c r="C160" i="16"/>
  <c r="D160" i="16"/>
  <c r="E160" i="16"/>
  <c r="F160" i="16"/>
  <c r="G160" i="16"/>
  <c r="H160" i="16"/>
  <c r="I160" i="16"/>
  <c r="J160" i="16"/>
  <c r="K160" i="16"/>
  <c r="L160" i="16"/>
  <c r="M160" i="16"/>
  <c r="N160" i="16"/>
  <c r="O160" i="16"/>
  <c r="P160" i="16"/>
  <c r="Q160" i="16"/>
  <c r="R160" i="16"/>
  <c r="S160" i="16"/>
  <c r="T160" i="16"/>
  <c r="U160" i="16"/>
  <c r="V160" i="16"/>
  <c r="A161" i="16"/>
  <c r="B161" i="16"/>
  <c r="C161" i="16"/>
  <c r="D161" i="16"/>
  <c r="E161" i="16"/>
  <c r="F161" i="16"/>
  <c r="G161" i="16"/>
  <c r="H161" i="16"/>
  <c r="I161" i="16"/>
  <c r="J161" i="16"/>
  <c r="K161" i="16"/>
  <c r="L161" i="16"/>
  <c r="M161" i="16"/>
  <c r="N161" i="16"/>
  <c r="O161" i="16"/>
  <c r="P161" i="16"/>
  <c r="Q161" i="16"/>
  <c r="R161" i="16"/>
  <c r="S161" i="16"/>
  <c r="T161" i="16"/>
  <c r="U161" i="16"/>
  <c r="V161" i="16"/>
  <c r="A162" i="16"/>
  <c r="B162" i="16"/>
  <c r="C162" i="16"/>
  <c r="D162" i="16"/>
  <c r="E162" i="16"/>
  <c r="F162" i="16"/>
  <c r="G162" i="16"/>
  <c r="H162" i="16"/>
  <c r="I162" i="16"/>
  <c r="J162" i="16"/>
  <c r="K162" i="16"/>
  <c r="L162" i="16"/>
  <c r="M162" i="16"/>
  <c r="N162" i="16"/>
  <c r="O162" i="16"/>
  <c r="P162" i="16"/>
  <c r="Q162" i="16"/>
  <c r="R162" i="16"/>
  <c r="S162" i="16"/>
  <c r="T162" i="16"/>
  <c r="U162" i="16"/>
  <c r="V162" i="16"/>
  <c r="A163" i="16"/>
  <c r="B163" i="16"/>
  <c r="C163" i="16"/>
  <c r="D163" i="16"/>
  <c r="E163" i="16"/>
  <c r="F163" i="16"/>
  <c r="G163" i="16"/>
  <c r="H163" i="16"/>
  <c r="I163" i="16"/>
  <c r="J163" i="16"/>
  <c r="K163" i="16"/>
  <c r="L163" i="16"/>
  <c r="M163" i="16"/>
  <c r="N163" i="16"/>
  <c r="O163" i="16"/>
  <c r="P163" i="16"/>
  <c r="Q163" i="16"/>
  <c r="R163" i="16"/>
  <c r="S163" i="16"/>
  <c r="T163" i="16"/>
  <c r="U163" i="16"/>
  <c r="V163" i="16"/>
  <c r="A164" i="16"/>
  <c r="B164" i="16"/>
  <c r="C164" i="16"/>
  <c r="D164" i="16"/>
  <c r="E164" i="16"/>
  <c r="F164" i="16"/>
  <c r="G164" i="16"/>
  <c r="H164" i="16"/>
  <c r="I164" i="16"/>
  <c r="J164" i="16"/>
  <c r="K164" i="16"/>
  <c r="L164" i="16"/>
  <c r="M164" i="16"/>
  <c r="N164" i="16"/>
  <c r="O164" i="16"/>
  <c r="P164" i="16"/>
  <c r="Q164" i="16"/>
  <c r="R164" i="16"/>
  <c r="S164" i="16"/>
  <c r="T164" i="16"/>
  <c r="U164" i="16"/>
  <c r="V164" i="16"/>
  <c r="A165" i="16"/>
  <c r="B165" i="16"/>
  <c r="C165" i="16"/>
  <c r="D165" i="16"/>
  <c r="E165" i="16"/>
  <c r="F165" i="16"/>
  <c r="G165" i="16"/>
  <c r="H165" i="16"/>
  <c r="I165" i="16"/>
  <c r="J165" i="16"/>
  <c r="K165" i="16"/>
  <c r="L165" i="16"/>
  <c r="M165" i="16"/>
  <c r="N165" i="16"/>
  <c r="O165" i="16"/>
  <c r="P165" i="16"/>
  <c r="Q165" i="16"/>
  <c r="R165" i="16"/>
  <c r="S165" i="16"/>
  <c r="T165" i="16"/>
  <c r="U165" i="16"/>
  <c r="V165" i="16"/>
  <c r="A166" i="16"/>
  <c r="B166" i="16"/>
  <c r="C166" i="16"/>
  <c r="D166" i="16"/>
  <c r="E166" i="16"/>
  <c r="F166" i="16"/>
  <c r="G166" i="16"/>
  <c r="H166" i="16"/>
  <c r="I166" i="16"/>
  <c r="J166" i="16"/>
  <c r="K166" i="16"/>
  <c r="L166" i="16"/>
  <c r="M166" i="16"/>
  <c r="N166" i="16"/>
  <c r="O166" i="16"/>
  <c r="P166" i="16"/>
  <c r="Q166" i="16"/>
  <c r="R166" i="16"/>
  <c r="S166" i="16"/>
  <c r="T166" i="16"/>
  <c r="U166" i="16"/>
  <c r="V166" i="16"/>
  <c r="A167" i="16"/>
  <c r="B167" i="16"/>
  <c r="C167" i="16"/>
  <c r="D167" i="16"/>
  <c r="E167" i="16"/>
  <c r="F167" i="16"/>
  <c r="G167" i="16"/>
  <c r="H167" i="16"/>
  <c r="I167" i="16"/>
  <c r="J167" i="16"/>
  <c r="K167" i="16"/>
  <c r="L167" i="16"/>
  <c r="M167" i="16"/>
  <c r="N167" i="16"/>
  <c r="O167" i="16"/>
  <c r="P167" i="16"/>
  <c r="Q167" i="16"/>
  <c r="R167" i="16"/>
  <c r="S167" i="16"/>
  <c r="T167" i="16"/>
  <c r="U167" i="16"/>
  <c r="V167" i="16"/>
  <c r="A168" i="16"/>
  <c r="B168" i="16"/>
  <c r="C168" i="16"/>
  <c r="D168" i="16"/>
  <c r="E168" i="16"/>
  <c r="F168" i="16"/>
  <c r="G168" i="16"/>
  <c r="H168" i="16"/>
  <c r="I168" i="16"/>
  <c r="J168" i="16"/>
  <c r="K168" i="16"/>
  <c r="L168" i="16"/>
  <c r="M168" i="16"/>
  <c r="N168" i="16"/>
  <c r="O168" i="16"/>
  <c r="P168" i="16"/>
  <c r="Q168" i="16"/>
  <c r="R168" i="16"/>
  <c r="S168" i="16"/>
  <c r="T168" i="16"/>
  <c r="U168" i="16"/>
  <c r="V168" i="16"/>
  <c r="A169" i="16"/>
  <c r="B169" i="16"/>
  <c r="C169" i="16"/>
  <c r="D169" i="16"/>
  <c r="E169" i="16"/>
  <c r="F169" i="16"/>
  <c r="G169" i="16"/>
  <c r="H169" i="16"/>
  <c r="I169" i="16"/>
  <c r="J169" i="16"/>
  <c r="K169" i="16"/>
  <c r="L169" i="16"/>
  <c r="M169" i="16"/>
  <c r="N169" i="16"/>
  <c r="O169" i="16"/>
  <c r="P169" i="16"/>
  <c r="Q169" i="16"/>
  <c r="R169" i="16"/>
  <c r="S169" i="16"/>
  <c r="T169" i="16"/>
  <c r="U169" i="16"/>
  <c r="V169" i="16"/>
  <c r="A170" i="16"/>
  <c r="B170" i="16"/>
  <c r="C170" i="16"/>
  <c r="D170" i="16"/>
  <c r="E170" i="16"/>
  <c r="F170" i="16"/>
  <c r="G170" i="16"/>
  <c r="H170" i="16"/>
  <c r="I170" i="16"/>
  <c r="J170" i="16"/>
  <c r="K170" i="16"/>
  <c r="L170" i="16"/>
  <c r="M170" i="16"/>
  <c r="N170" i="16"/>
  <c r="O170" i="16"/>
  <c r="P170" i="16"/>
  <c r="Q170" i="16"/>
  <c r="R170" i="16"/>
  <c r="S170" i="16"/>
  <c r="T170" i="16"/>
  <c r="U170" i="16"/>
  <c r="V170" i="16"/>
  <c r="A171" i="16"/>
  <c r="B171" i="16"/>
  <c r="C171" i="16"/>
  <c r="D171" i="16"/>
  <c r="E171" i="16"/>
  <c r="F171" i="16"/>
  <c r="G171" i="16"/>
  <c r="H171" i="16"/>
  <c r="I171" i="16"/>
  <c r="J171" i="16"/>
  <c r="K171" i="16"/>
  <c r="L171" i="16"/>
  <c r="M171" i="16"/>
  <c r="N171" i="16"/>
  <c r="O171" i="16"/>
  <c r="P171" i="16"/>
  <c r="Q171" i="16"/>
  <c r="R171" i="16"/>
  <c r="S171" i="16"/>
  <c r="T171" i="16"/>
  <c r="U171" i="16"/>
  <c r="V171" i="16"/>
  <c r="A172" i="16"/>
  <c r="B172" i="16"/>
  <c r="C172" i="16"/>
  <c r="D172" i="16"/>
  <c r="E172" i="16"/>
  <c r="F172" i="16"/>
  <c r="G172" i="16"/>
  <c r="H172" i="16"/>
  <c r="I172" i="16"/>
  <c r="J172" i="16"/>
  <c r="K172" i="16"/>
  <c r="L172" i="16"/>
  <c r="M172" i="16"/>
  <c r="N172" i="16"/>
  <c r="O172" i="16"/>
  <c r="P172" i="16"/>
  <c r="Q172" i="16"/>
  <c r="R172" i="16"/>
  <c r="S172" i="16"/>
  <c r="T172" i="16"/>
  <c r="U172" i="16"/>
  <c r="V172" i="16"/>
  <c r="A173" i="16"/>
  <c r="B173" i="16"/>
  <c r="C173" i="16"/>
  <c r="D173" i="16"/>
  <c r="E173" i="16"/>
  <c r="F173" i="16"/>
  <c r="G173" i="16"/>
  <c r="H173" i="16"/>
  <c r="I173" i="16"/>
  <c r="J173" i="16"/>
  <c r="K173" i="16"/>
  <c r="L173" i="16"/>
  <c r="M173" i="16"/>
  <c r="N173" i="16"/>
  <c r="O173" i="16"/>
  <c r="P173" i="16"/>
  <c r="Q173" i="16"/>
  <c r="R173" i="16"/>
  <c r="S173" i="16"/>
  <c r="T173" i="16"/>
  <c r="U173" i="16"/>
  <c r="V173" i="16"/>
  <c r="A174" i="16"/>
  <c r="B174" i="16"/>
  <c r="C174" i="16"/>
  <c r="D174" i="16"/>
  <c r="E174" i="16"/>
  <c r="F174" i="16"/>
  <c r="G174" i="16"/>
  <c r="H174" i="16"/>
  <c r="I174" i="16"/>
  <c r="J174" i="16"/>
  <c r="K174" i="16"/>
  <c r="L174" i="16"/>
  <c r="M174" i="16"/>
  <c r="N174" i="16"/>
  <c r="O174" i="16"/>
  <c r="P174" i="16"/>
  <c r="Q174" i="16"/>
  <c r="R174" i="16"/>
  <c r="S174" i="16"/>
  <c r="T174" i="16"/>
  <c r="U174" i="16"/>
  <c r="V174" i="16"/>
  <c r="A175" i="16"/>
  <c r="B175" i="16"/>
  <c r="C175" i="16"/>
  <c r="D175" i="16"/>
  <c r="E175" i="16"/>
  <c r="F175" i="16"/>
  <c r="G175" i="16"/>
  <c r="H175" i="16"/>
  <c r="I175" i="16"/>
  <c r="J175" i="16"/>
  <c r="K175" i="16"/>
  <c r="L175" i="16"/>
  <c r="M175" i="16"/>
  <c r="N175" i="16"/>
  <c r="O175" i="16"/>
  <c r="P175" i="16"/>
  <c r="Q175" i="16"/>
  <c r="R175" i="16"/>
  <c r="S175" i="16"/>
  <c r="T175" i="16"/>
  <c r="U175" i="16"/>
  <c r="V175" i="16"/>
  <c r="A176" i="16"/>
  <c r="B176" i="16"/>
  <c r="C176" i="16"/>
  <c r="D176" i="16"/>
  <c r="E176" i="16"/>
  <c r="F176" i="16"/>
  <c r="G176" i="16"/>
  <c r="H176" i="16"/>
  <c r="I176" i="16"/>
  <c r="J176" i="16"/>
  <c r="K176" i="16"/>
  <c r="L176" i="16"/>
  <c r="M176" i="16"/>
  <c r="N176" i="16"/>
  <c r="O176" i="16"/>
  <c r="P176" i="16"/>
  <c r="Q176" i="16"/>
  <c r="R176" i="16"/>
  <c r="S176" i="16"/>
  <c r="T176" i="16"/>
  <c r="U176" i="16"/>
  <c r="V176" i="16"/>
  <c r="A177" i="16"/>
  <c r="B177" i="16"/>
  <c r="C177" i="16"/>
  <c r="D177" i="16"/>
  <c r="E177" i="16"/>
  <c r="F177" i="16"/>
  <c r="G177" i="16"/>
  <c r="H177" i="16"/>
  <c r="I177" i="16"/>
  <c r="J177" i="16"/>
  <c r="K177" i="16"/>
  <c r="L177" i="16"/>
  <c r="M177" i="16"/>
  <c r="N177" i="16"/>
  <c r="O177" i="16"/>
  <c r="P177" i="16"/>
  <c r="Q177" i="16"/>
  <c r="R177" i="16"/>
  <c r="S177" i="16"/>
  <c r="T177" i="16"/>
  <c r="U177" i="16"/>
  <c r="V177" i="16"/>
  <c r="A178" i="16"/>
  <c r="B178" i="16"/>
  <c r="C178" i="16"/>
  <c r="D178" i="16"/>
  <c r="E178" i="16"/>
  <c r="F178" i="16"/>
  <c r="G178" i="16"/>
  <c r="H178" i="16"/>
  <c r="I178" i="16"/>
  <c r="J178" i="16"/>
  <c r="K178" i="16"/>
  <c r="L178" i="16"/>
  <c r="M178" i="16"/>
  <c r="N178" i="16"/>
  <c r="O178" i="16"/>
  <c r="P178" i="16"/>
  <c r="Q178" i="16"/>
  <c r="R178" i="16"/>
  <c r="S178" i="16"/>
  <c r="T178" i="16"/>
  <c r="U178" i="16"/>
  <c r="V178" i="16"/>
  <c r="A179" i="16"/>
  <c r="B179" i="16"/>
  <c r="C179" i="16"/>
  <c r="D179" i="16"/>
  <c r="E179" i="16"/>
  <c r="F179" i="16"/>
  <c r="G179" i="16"/>
  <c r="H179" i="16"/>
  <c r="I179" i="16"/>
  <c r="J179" i="16"/>
  <c r="K179" i="16"/>
  <c r="L179" i="16"/>
  <c r="M179" i="16"/>
  <c r="N179" i="16"/>
  <c r="O179" i="16"/>
  <c r="P179" i="16"/>
  <c r="Q179" i="16"/>
  <c r="R179" i="16"/>
  <c r="S179" i="16"/>
  <c r="T179" i="16"/>
  <c r="U179" i="16"/>
  <c r="V179" i="16"/>
  <c r="A180" i="16"/>
  <c r="B180" i="16"/>
  <c r="C180" i="16"/>
  <c r="D180" i="16"/>
  <c r="E180" i="16"/>
  <c r="F180" i="16"/>
  <c r="G180" i="16"/>
  <c r="H180" i="16"/>
  <c r="I180" i="16"/>
  <c r="J180" i="16"/>
  <c r="K180" i="16"/>
  <c r="L180" i="16"/>
  <c r="M180" i="16"/>
  <c r="N180" i="16"/>
  <c r="O180" i="16"/>
  <c r="P180" i="16"/>
  <c r="Q180" i="16"/>
  <c r="R180" i="16"/>
  <c r="S180" i="16"/>
  <c r="T180" i="16"/>
  <c r="U180" i="16"/>
  <c r="V180" i="16"/>
  <c r="A181" i="16"/>
  <c r="B181" i="16"/>
  <c r="C181" i="16"/>
  <c r="D181" i="16"/>
  <c r="E181" i="16"/>
  <c r="F181" i="16"/>
  <c r="G181" i="16"/>
  <c r="H181" i="16"/>
  <c r="I181" i="16"/>
  <c r="J181" i="16"/>
  <c r="K181" i="16"/>
  <c r="L181" i="16"/>
  <c r="M181" i="16"/>
  <c r="N181" i="16"/>
  <c r="O181" i="16"/>
  <c r="P181" i="16"/>
  <c r="Q181" i="16"/>
  <c r="R181" i="16"/>
  <c r="S181" i="16"/>
  <c r="T181" i="16"/>
  <c r="U181" i="16"/>
  <c r="V181" i="16"/>
  <c r="A182" i="16"/>
  <c r="B182" i="16"/>
  <c r="C182" i="16"/>
  <c r="D182" i="16"/>
  <c r="E182" i="16"/>
  <c r="F182" i="16"/>
  <c r="G182" i="16"/>
  <c r="H182" i="16"/>
  <c r="I182" i="16"/>
  <c r="J182" i="16"/>
  <c r="K182" i="16"/>
  <c r="L182" i="16"/>
  <c r="M182" i="16"/>
  <c r="N182" i="16"/>
  <c r="O182" i="16"/>
  <c r="P182" i="16"/>
  <c r="Q182" i="16"/>
  <c r="R182" i="16"/>
  <c r="S182" i="16"/>
  <c r="T182" i="16"/>
  <c r="U182" i="16"/>
  <c r="V182" i="16"/>
  <c r="A183" i="16"/>
  <c r="B183" i="16"/>
  <c r="C183" i="16"/>
  <c r="D183" i="16"/>
  <c r="E183" i="16"/>
  <c r="F183" i="16"/>
  <c r="G183" i="16"/>
  <c r="H183" i="16"/>
  <c r="I183" i="16"/>
  <c r="J183" i="16"/>
  <c r="K183" i="16"/>
  <c r="L183" i="16"/>
  <c r="M183" i="16"/>
  <c r="N183" i="16"/>
  <c r="O183" i="16"/>
  <c r="P183" i="16"/>
  <c r="Q183" i="16"/>
  <c r="R183" i="16"/>
  <c r="S183" i="16"/>
  <c r="T183" i="16"/>
  <c r="U183" i="16"/>
  <c r="V183" i="16"/>
  <c r="A184" i="16"/>
  <c r="B184" i="16"/>
  <c r="C184" i="16"/>
  <c r="D184" i="16"/>
  <c r="E184" i="16"/>
  <c r="F184" i="16"/>
  <c r="G184" i="16"/>
  <c r="H184" i="16"/>
  <c r="I184" i="16"/>
  <c r="J184" i="16"/>
  <c r="K184" i="16"/>
  <c r="L184" i="16"/>
  <c r="M184" i="16"/>
  <c r="N184" i="16"/>
  <c r="O184" i="16"/>
  <c r="P184" i="16"/>
  <c r="Q184" i="16"/>
  <c r="R184" i="16"/>
  <c r="S184" i="16"/>
  <c r="T184" i="16"/>
  <c r="U184" i="16"/>
  <c r="V184" i="16"/>
  <c r="A185" i="16"/>
  <c r="B185" i="16"/>
  <c r="C185" i="16"/>
  <c r="D185" i="16"/>
  <c r="E185" i="16"/>
  <c r="F185" i="16"/>
  <c r="G185" i="16"/>
  <c r="H185" i="16"/>
  <c r="I185" i="16"/>
  <c r="J185" i="16"/>
  <c r="K185" i="16"/>
  <c r="L185" i="16"/>
  <c r="M185" i="16"/>
  <c r="N185" i="16"/>
  <c r="O185" i="16"/>
  <c r="P185" i="16"/>
  <c r="Q185" i="16"/>
  <c r="R185" i="16"/>
  <c r="S185" i="16"/>
  <c r="T185" i="16"/>
  <c r="U185" i="16"/>
  <c r="V185" i="16"/>
  <c r="A186" i="16"/>
  <c r="B186" i="16"/>
  <c r="C186" i="16"/>
  <c r="D186" i="16"/>
  <c r="E186" i="16"/>
  <c r="F186" i="16"/>
  <c r="G186" i="16"/>
  <c r="H186" i="16"/>
  <c r="I186" i="16"/>
  <c r="J186" i="16"/>
  <c r="K186" i="16"/>
  <c r="L186" i="16"/>
  <c r="M186" i="16"/>
  <c r="N186" i="16"/>
  <c r="O186" i="16"/>
  <c r="P186" i="16"/>
  <c r="Q186" i="16"/>
  <c r="R186" i="16"/>
  <c r="S186" i="16"/>
  <c r="T186" i="16"/>
  <c r="U186" i="16"/>
  <c r="V186" i="16"/>
  <c r="A187" i="16"/>
  <c r="B187" i="16"/>
  <c r="C187" i="16"/>
  <c r="D187" i="16"/>
  <c r="E187" i="16"/>
  <c r="F187" i="16"/>
  <c r="G187" i="16"/>
  <c r="H187" i="16"/>
  <c r="I187" i="16"/>
  <c r="J187" i="16"/>
  <c r="K187" i="16"/>
  <c r="L187" i="16"/>
  <c r="M187" i="16"/>
  <c r="N187" i="16"/>
  <c r="O187" i="16"/>
  <c r="P187" i="16"/>
  <c r="Q187" i="16"/>
  <c r="R187" i="16"/>
  <c r="S187" i="16"/>
  <c r="T187" i="16"/>
  <c r="U187" i="16"/>
  <c r="V187" i="16"/>
  <c r="A188" i="16"/>
  <c r="B188" i="16"/>
  <c r="C188" i="16"/>
  <c r="D188" i="16"/>
  <c r="E188" i="16"/>
  <c r="F188" i="16"/>
  <c r="G188" i="16"/>
  <c r="H188" i="16"/>
  <c r="I188" i="16"/>
  <c r="J188" i="16"/>
  <c r="K188" i="16"/>
  <c r="L188" i="16"/>
  <c r="M188" i="16"/>
  <c r="N188" i="16"/>
  <c r="O188" i="16"/>
  <c r="P188" i="16"/>
  <c r="Q188" i="16"/>
  <c r="R188" i="16"/>
  <c r="S188" i="16"/>
  <c r="T188" i="16"/>
  <c r="U188" i="16"/>
  <c r="V188" i="16"/>
  <c r="A189" i="16"/>
  <c r="B189" i="16"/>
  <c r="C189" i="16"/>
  <c r="D189" i="16"/>
  <c r="E189" i="16"/>
  <c r="F189" i="16"/>
  <c r="G189" i="16"/>
  <c r="H189" i="16"/>
  <c r="I189" i="16"/>
  <c r="J189" i="16"/>
  <c r="K189" i="16"/>
  <c r="L189" i="16"/>
  <c r="M189" i="16"/>
  <c r="N189" i="16"/>
  <c r="O189" i="16"/>
  <c r="P189" i="16"/>
  <c r="Q189" i="16"/>
  <c r="R189" i="16"/>
  <c r="S189" i="16"/>
  <c r="T189" i="16"/>
  <c r="U189" i="16"/>
  <c r="V189" i="16"/>
  <c r="A190" i="16"/>
  <c r="B190" i="16"/>
  <c r="C190" i="16"/>
  <c r="D190" i="16"/>
  <c r="E190" i="16"/>
  <c r="F190" i="16"/>
  <c r="G190" i="16"/>
  <c r="H190" i="16"/>
  <c r="I190" i="16"/>
  <c r="J190" i="16"/>
  <c r="K190" i="16"/>
  <c r="L190" i="16"/>
  <c r="M190" i="16"/>
  <c r="N190" i="16"/>
  <c r="O190" i="16"/>
  <c r="P190" i="16"/>
  <c r="Q190" i="16"/>
  <c r="R190" i="16"/>
  <c r="S190" i="16"/>
  <c r="T190" i="16"/>
  <c r="U190" i="16"/>
  <c r="V190" i="16"/>
  <c r="A191" i="16"/>
  <c r="B191" i="16"/>
  <c r="C191" i="16"/>
  <c r="D191" i="16"/>
  <c r="E191" i="16"/>
  <c r="F191" i="16"/>
  <c r="G191" i="16"/>
  <c r="H191" i="16"/>
  <c r="I191" i="16"/>
  <c r="J191" i="16"/>
  <c r="K191" i="16"/>
  <c r="L191" i="16"/>
  <c r="M191" i="16"/>
  <c r="N191" i="16"/>
  <c r="O191" i="16"/>
  <c r="P191" i="16"/>
  <c r="Q191" i="16"/>
  <c r="R191" i="16"/>
  <c r="S191" i="16"/>
  <c r="T191" i="16"/>
  <c r="U191" i="16"/>
  <c r="V191" i="16"/>
  <c r="A192" i="16"/>
  <c r="B192" i="16"/>
  <c r="C192" i="16"/>
  <c r="D192" i="16"/>
  <c r="E192" i="16"/>
  <c r="F192" i="16"/>
  <c r="G192" i="16"/>
  <c r="H192" i="16"/>
  <c r="I192" i="16"/>
  <c r="J192" i="16"/>
  <c r="K192" i="16"/>
  <c r="L192" i="16"/>
  <c r="M192" i="16"/>
  <c r="N192" i="16"/>
  <c r="O192" i="16"/>
  <c r="P192" i="16"/>
  <c r="Q192" i="16"/>
  <c r="R192" i="16"/>
  <c r="S192" i="16"/>
  <c r="T192" i="16"/>
  <c r="U192" i="16"/>
  <c r="V192" i="16"/>
  <c r="A193" i="16"/>
  <c r="B193" i="16"/>
  <c r="C193" i="16"/>
  <c r="D193" i="16"/>
  <c r="E193" i="16"/>
  <c r="F193" i="16"/>
  <c r="G193" i="16"/>
  <c r="H193" i="16"/>
  <c r="I193" i="16"/>
  <c r="J193" i="16"/>
  <c r="K193" i="16"/>
  <c r="L193" i="16"/>
  <c r="M193" i="16"/>
  <c r="N193" i="16"/>
  <c r="O193" i="16"/>
  <c r="P193" i="16"/>
  <c r="Q193" i="16"/>
  <c r="R193" i="16"/>
  <c r="S193" i="16"/>
  <c r="T193" i="16"/>
  <c r="U193" i="16"/>
  <c r="V193" i="16"/>
  <c r="A194" i="16"/>
  <c r="B194" i="16"/>
  <c r="C194" i="16"/>
  <c r="D194" i="16"/>
  <c r="E194" i="16"/>
  <c r="F194" i="16"/>
  <c r="G194" i="16"/>
  <c r="H194" i="16"/>
  <c r="I194" i="16"/>
  <c r="J194" i="16"/>
  <c r="K194" i="16"/>
  <c r="L194" i="16"/>
  <c r="M194" i="16"/>
  <c r="N194" i="16"/>
  <c r="O194" i="16"/>
  <c r="P194" i="16"/>
  <c r="Q194" i="16"/>
  <c r="R194" i="16"/>
  <c r="S194" i="16"/>
  <c r="T194" i="16"/>
  <c r="U194" i="16"/>
  <c r="V194" i="16"/>
  <c r="A195" i="16"/>
  <c r="B195" i="16"/>
  <c r="C195" i="16"/>
  <c r="D195" i="16"/>
  <c r="E195" i="16"/>
  <c r="F195" i="16"/>
  <c r="G195" i="16"/>
  <c r="H195" i="16"/>
  <c r="I195" i="16"/>
  <c r="J195" i="16"/>
  <c r="K195" i="16"/>
  <c r="L195" i="16"/>
  <c r="M195" i="16"/>
  <c r="N195" i="16"/>
  <c r="O195" i="16"/>
  <c r="P195" i="16"/>
  <c r="Q195" i="16"/>
  <c r="R195" i="16"/>
  <c r="S195" i="16"/>
  <c r="T195" i="16"/>
  <c r="U195" i="16"/>
  <c r="V195" i="16"/>
  <c r="A196" i="16"/>
  <c r="B196" i="16"/>
  <c r="C196" i="16"/>
  <c r="D196" i="16"/>
  <c r="E196" i="16"/>
  <c r="F196" i="16"/>
  <c r="G196" i="16"/>
  <c r="H196" i="16"/>
  <c r="I196" i="16"/>
  <c r="J196" i="16"/>
  <c r="K196" i="16"/>
  <c r="L196" i="16"/>
  <c r="M196" i="16"/>
  <c r="N196" i="16"/>
  <c r="O196" i="16"/>
  <c r="P196" i="16"/>
  <c r="Q196" i="16"/>
  <c r="R196" i="16"/>
  <c r="S196" i="16"/>
  <c r="T196" i="16"/>
  <c r="U196" i="16"/>
  <c r="V196" i="16"/>
  <c r="A197" i="16"/>
  <c r="B197" i="16"/>
  <c r="C197" i="16"/>
  <c r="D197" i="16"/>
  <c r="E197" i="16"/>
  <c r="F197" i="16"/>
  <c r="G197" i="16"/>
  <c r="H197" i="16"/>
  <c r="I197" i="16"/>
  <c r="J197" i="16"/>
  <c r="K197" i="16"/>
  <c r="L197" i="16"/>
  <c r="M197" i="16"/>
  <c r="N197" i="16"/>
  <c r="O197" i="16"/>
  <c r="P197" i="16"/>
  <c r="Q197" i="16"/>
  <c r="R197" i="16"/>
  <c r="S197" i="16"/>
  <c r="T197" i="16"/>
  <c r="U197" i="16"/>
  <c r="V197" i="16"/>
  <c r="A198" i="16"/>
  <c r="B198" i="16"/>
  <c r="C198" i="16"/>
  <c r="D198" i="16"/>
  <c r="E198" i="16"/>
  <c r="F198" i="16"/>
  <c r="G198" i="16"/>
  <c r="H198" i="16"/>
  <c r="I198" i="16"/>
  <c r="J198" i="16"/>
  <c r="K198" i="16"/>
  <c r="L198" i="16"/>
  <c r="M198" i="16"/>
  <c r="N198" i="16"/>
  <c r="O198" i="16"/>
  <c r="P198" i="16"/>
  <c r="Q198" i="16"/>
  <c r="R198" i="16"/>
  <c r="S198" i="16"/>
  <c r="T198" i="16"/>
  <c r="U198" i="16"/>
  <c r="V198" i="16"/>
  <c r="A199" i="16"/>
  <c r="B199" i="16"/>
  <c r="C199" i="16"/>
  <c r="D199" i="16"/>
  <c r="E199" i="16"/>
  <c r="F199" i="16"/>
  <c r="G199" i="16"/>
  <c r="H199" i="16"/>
  <c r="I199" i="16"/>
  <c r="J199" i="16"/>
  <c r="K199" i="16"/>
  <c r="L199" i="16"/>
  <c r="M199" i="16"/>
  <c r="N199" i="16"/>
  <c r="O199" i="16"/>
  <c r="P199" i="16"/>
  <c r="Q199" i="16"/>
  <c r="R199" i="16"/>
  <c r="S199" i="16"/>
  <c r="T199" i="16"/>
  <c r="U199" i="16"/>
  <c r="V199" i="16"/>
  <c r="A200" i="16"/>
  <c r="B200" i="16"/>
  <c r="C200" i="16"/>
  <c r="D200" i="16"/>
  <c r="E200" i="16"/>
  <c r="F200" i="16"/>
  <c r="G200" i="16"/>
  <c r="H200" i="16"/>
  <c r="I200" i="16"/>
  <c r="J200" i="16"/>
  <c r="K200" i="16"/>
  <c r="L200" i="16"/>
  <c r="M200" i="16"/>
  <c r="N200" i="16"/>
  <c r="O200" i="16"/>
  <c r="P200" i="16"/>
  <c r="Q200" i="16"/>
  <c r="R200" i="16"/>
  <c r="S200" i="16"/>
  <c r="T200" i="16"/>
  <c r="U200" i="16"/>
  <c r="V200" i="16"/>
  <c r="A201" i="16"/>
  <c r="B201" i="16"/>
  <c r="C201" i="16"/>
  <c r="D201" i="16"/>
  <c r="E201" i="16"/>
  <c r="F201" i="16"/>
  <c r="G201" i="16"/>
  <c r="H201" i="16"/>
  <c r="I201" i="16"/>
  <c r="J201" i="16"/>
  <c r="K201" i="16"/>
  <c r="L201" i="16"/>
  <c r="M201" i="16"/>
  <c r="N201" i="16"/>
  <c r="O201" i="16"/>
  <c r="P201" i="16"/>
  <c r="Q201" i="16"/>
  <c r="R201" i="16"/>
  <c r="S201" i="16"/>
  <c r="T201" i="16"/>
  <c r="U201" i="16"/>
  <c r="V201" i="16"/>
  <c r="A202" i="16"/>
  <c r="B202" i="16"/>
  <c r="C202" i="16"/>
  <c r="D202" i="16"/>
  <c r="E202" i="16"/>
  <c r="F202" i="16"/>
  <c r="G202" i="16"/>
  <c r="H202" i="16"/>
  <c r="I202" i="16"/>
  <c r="J202" i="16"/>
  <c r="K202" i="16"/>
  <c r="L202" i="16"/>
  <c r="M202" i="16"/>
  <c r="N202" i="16"/>
  <c r="O202" i="16"/>
  <c r="P202" i="16"/>
  <c r="Q202" i="16"/>
  <c r="R202" i="16"/>
  <c r="S202" i="16"/>
  <c r="T202" i="16"/>
  <c r="U202" i="16"/>
  <c r="V202" i="16"/>
  <c r="A203" i="16"/>
  <c r="B203" i="16"/>
  <c r="C203" i="16"/>
  <c r="D203" i="16"/>
  <c r="E203" i="16"/>
  <c r="F203" i="16"/>
  <c r="G203" i="16"/>
  <c r="H203" i="16"/>
  <c r="I203" i="16"/>
  <c r="J203" i="16"/>
  <c r="K203" i="16"/>
  <c r="L203" i="16"/>
  <c r="M203" i="16"/>
  <c r="N203" i="16"/>
  <c r="O203" i="16"/>
  <c r="P203" i="16"/>
  <c r="Q203" i="16"/>
  <c r="R203" i="16"/>
  <c r="S203" i="16"/>
  <c r="T203" i="16"/>
  <c r="U203" i="16"/>
  <c r="V203" i="16"/>
  <c r="A204" i="16"/>
  <c r="B204" i="16"/>
  <c r="C204" i="16"/>
  <c r="D204" i="16"/>
  <c r="E204" i="16"/>
  <c r="F204" i="16"/>
  <c r="G204" i="16"/>
  <c r="H204" i="16"/>
  <c r="I204" i="16"/>
  <c r="J204" i="16"/>
  <c r="K204" i="16"/>
  <c r="L204" i="16"/>
  <c r="M204" i="16"/>
  <c r="N204" i="16"/>
  <c r="O204" i="16"/>
  <c r="P204" i="16"/>
  <c r="Q204" i="16"/>
  <c r="R204" i="16"/>
  <c r="S204" i="16"/>
  <c r="T204" i="16"/>
  <c r="U204" i="16"/>
  <c r="V204" i="16"/>
  <c r="A205" i="16"/>
  <c r="B205" i="16"/>
  <c r="C205" i="16"/>
  <c r="D205" i="16"/>
  <c r="E205" i="16"/>
  <c r="F205" i="16"/>
  <c r="G205" i="16"/>
  <c r="H205" i="16"/>
  <c r="I205" i="16"/>
  <c r="J205" i="16"/>
  <c r="K205" i="16"/>
  <c r="L205" i="16"/>
  <c r="M205" i="16"/>
  <c r="N205" i="16"/>
  <c r="O205" i="16"/>
  <c r="P205" i="16"/>
  <c r="Q205" i="16"/>
  <c r="R205" i="16"/>
  <c r="S205" i="16"/>
  <c r="T205" i="16"/>
  <c r="U205" i="16"/>
  <c r="V205" i="16"/>
  <c r="A206" i="16"/>
  <c r="B206" i="16"/>
  <c r="C206" i="16"/>
  <c r="D206" i="16"/>
  <c r="E206" i="16"/>
  <c r="F206" i="16"/>
  <c r="G206" i="16"/>
  <c r="H206" i="16"/>
  <c r="I206" i="16"/>
  <c r="J206" i="16"/>
  <c r="K206" i="16"/>
  <c r="L206" i="16"/>
  <c r="M206" i="16"/>
  <c r="N206" i="16"/>
  <c r="O206" i="16"/>
  <c r="P206" i="16"/>
  <c r="Q206" i="16"/>
  <c r="R206" i="16"/>
  <c r="S206" i="16"/>
  <c r="T206" i="16"/>
  <c r="U206" i="16"/>
  <c r="V206" i="16"/>
  <c r="A207" i="16"/>
  <c r="B207" i="16"/>
  <c r="C207" i="16"/>
  <c r="D207" i="16"/>
  <c r="E207" i="16"/>
  <c r="F207" i="16"/>
  <c r="G207" i="16"/>
  <c r="H207" i="16"/>
  <c r="I207" i="16"/>
  <c r="J207" i="16"/>
  <c r="K207" i="16"/>
  <c r="L207" i="16"/>
  <c r="M207" i="16"/>
  <c r="N207" i="16"/>
  <c r="O207" i="16"/>
  <c r="P207" i="16"/>
  <c r="Q207" i="16"/>
  <c r="R207" i="16"/>
  <c r="S207" i="16"/>
  <c r="T207" i="16"/>
  <c r="U207" i="16"/>
  <c r="V207" i="16"/>
  <c r="A208" i="16"/>
  <c r="B208" i="16"/>
  <c r="C208" i="16"/>
  <c r="D208" i="16"/>
  <c r="E208" i="16"/>
  <c r="F208" i="16"/>
  <c r="G208" i="16"/>
  <c r="H208" i="16"/>
  <c r="I208" i="16"/>
  <c r="J208" i="16"/>
  <c r="K208" i="16"/>
  <c r="L208" i="16"/>
  <c r="M208" i="16"/>
  <c r="N208" i="16"/>
  <c r="O208" i="16"/>
  <c r="P208" i="16"/>
  <c r="Q208" i="16"/>
  <c r="R208" i="16"/>
  <c r="S208" i="16"/>
  <c r="T208" i="16"/>
  <c r="U208" i="16"/>
  <c r="V208" i="16"/>
  <c r="A209" i="16"/>
  <c r="B209" i="16"/>
  <c r="C209" i="16"/>
  <c r="D209" i="16"/>
  <c r="E209" i="16"/>
  <c r="F209" i="16"/>
  <c r="G209" i="16"/>
  <c r="H209" i="16"/>
  <c r="I209" i="16"/>
  <c r="J209" i="16"/>
  <c r="K209" i="16"/>
  <c r="L209" i="16"/>
  <c r="M209" i="16"/>
  <c r="N209" i="16"/>
  <c r="O209" i="16"/>
  <c r="P209" i="16"/>
  <c r="Q209" i="16"/>
  <c r="R209" i="16"/>
  <c r="S209" i="16"/>
  <c r="T209" i="16"/>
  <c r="U209" i="16"/>
  <c r="V209" i="16"/>
  <c r="A210" i="16"/>
  <c r="B210" i="16"/>
  <c r="C210" i="16"/>
  <c r="D210" i="16"/>
  <c r="E210" i="16"/>
  <c r="F210" i="16"/>
  <c r="G210" i="16"/>
  <c r="H210" i="16"/>
  <c r="I210" i="16"/>
  <c r="J210" i="16"/>
  <c r="K210" i="16"/>
  <c r="L210" i="16"/>
  <c r="M210" i="16"/>
  <c r="N210" i="16"/>
  <c r="O210" i="16"/>
  <c r="P210" i="16"/>
  <c r="Q210" i="16"/>
  <c r="R210" i="16"/>
  <c r="S210" i="16"/>
  <c r="T210" i="16"/>
  <c r="U210" i="16"/>
  <c r="V210" i="16"/>
  <c r="A211" i="16"/>
  <c r="B211" i="16"/>
  <c r="C211" i="16"/>
  <c r="D211" i="16"/>
  <c r="E211" i="16"/>
  <c r="F211" i="16"/>
  <c r="G211" i="16"/>
  <c r="H211" i="16"/>
  <c r="I211" i="16"/>
  <c r="J211" i="16"/>
  <c r="K211" i="16"/>
  <c r="L211" i="16"/>
  <c r="M211" i="16"/>
  <c r="N211" i="16"/>
  <c r="O211" i="16"/>
  <c r="P211" i="16"/>
  <c r="Q211" i="16"/>
  <c r="R211" i="16"/>
  <c r="S211" i="16"/>
  <c r="T211" i="16"/>
  <c r="U211" i="16"/>
  <c r="V211" i="16"/>
  <c r="A212" i="16"/>
  <c r="B212" i="16"/>
  <c r="C212" i="16"/>
  <c r="D212" i="16"/>
  <c r="E212" i="16"/>
  <c r="F212" i="16"/>
  <c r="G212" i="16"/>
  <c r="H212" i="16"/>
  <c r="I212" i="16"/>
  <c r="J212" i="16"/>
  <c r="K212" i="16"/>
  <c r="L212" i="16"/>
  <c r="M212" i="16"/>
  <c r="N212" i="16"/>
  <c r="O212" i="16"/>
  <c r="P212" i="16"/>
  <c r="Q212" i="16"/>
  <c r="R212" i="16"/>
  <c r="S212" i="16"/>
  <c r="T212" i="16"/>
  <c r="U212" i="16"/>
  <c r="V212" i="16"/>
  <c r="A213" i="16"/>
  <c r="B213" i="16"/>
  <c r="C213" i="16"/>
  <c r="D213" i="16"/>
  <c r="E213" i="16"/>
  <c r="F213" i="16"/>
  <c r="G213" i="16"/>
  <c r="H213" i="16"/>
  <c r="I213" i="16"/>
  <c r="J213" i="16"/>
  <c r="K213" i="16"/>
  <c r="L213" i="16"/>
  <c r="M213" i="16"/>
  <c r="N213" i="16"/>
  <c r="O213" i="16"/>
  <c r="P213" i="16"/>
  <c r="Q213" i="16"/>
  <c r="R213" i="16"/>
  <c r="S213" i="16"/>
  <c r="T213" i="16"/>
  <c r="U213" i="16"/>
  <c r="V213" i="16"/>
  <c r="A214" i="16"/>
  <c r="B214" i="16"/>
  <c r="C214" i="16"/>
  <c r="D214" i="16"/>
  <c r="E214" i="16"/>
  <c r="F214" i="16"/>
  <c r="G214" i="16"/>
  <c r="H214" i="16"/>
  <c r="I214" i="16"/>
  <c r="J214" i="16"/>
  <c r="K214" i="16"/>
  <c r="L214" i="16"/>
  <c r="M214" i="16"/>
  <c r="N214" i="16"/>
  <c r="O214" i="16"/>
  <c r="P214" i="16"/>
  <c r="Q214" i="16"/>
  <c r="R214" i="16"/>
  <c r="S214" i="16"/>
  <c r="T214" i="16"/>
  <c r="U214" i="16"/>
  <c r="V214" i="16"/>
  <c r="A215" i="16"/>
  <c r="B215" i="16"/>
  <c r="C215" i="16"/>
  <c r="D215" i="16"/>
  <c r="E215" i="16"/>
  <c r="F215" i="16"/>
  <c r="G215" i="16"/>
  <c r="H215" i="16"/>
  <c r="I215" i="16"/>
  <c r="J215" i="16"/>
  <c r="K215" i="16"/>
  <c r="L215" i="16"/>
  <c r="M215" i="16"/>
  <c r="N215" i="16"/>
  <c r="O215" i="16"/>
  <c r="P215" i="16"/>
  <c r="Q215" i="16"/>
  <c r="R215" i="16"/>
  <c r="S215" i="16"/>
  <c r="T215" i="16"/>
  <c r="U215" i="16"/>
  <c r="V215" i="16"/>
  <c r="A216" i="16"/>
  <c r="B216" i="16"/>
  <c r="C216" i="16"/>
  <c r="D216" i="16"/>
  <c r="E216" i="16"/>
  <c r="F216" i="16"/>
  <c r="G216" i="16"/>
  <c r="H216" i="16"/>
  <c r="I216" i="16"/>
  <c r="J216" i="16"/>
  <c r="K216" i="16"/>
  <c r="L216" i="16"/>
  <c r="M216" i="16"/>
  <c r="N216" i="16"/>
  <c r="O216" i="16"/>
  <c r="P216" i="16"/>
  <c r="Q216" i="16"/>
  <c r="R216" i="16"/>
  <c r="S216" i="16"/>
  <c r="T216" i="16"/>
  <c r="U216" i="16"/>
  <c r="V216" i="16"/>
  <c r="A217" i="16"/>
  <c r="B217" i="16"/>
  <c r="C217" i="16"/>
  <c r="D217" i="16"/>
  <c r="E217" i="16"/>
  <c r="F217" i="16"/>
  <c r="G217" i="16"/>
  <c r="H217" i="16"/>
  <c r="I217" i="16"/>
  <c r="J217" i="16"/>
  <c r="K217" i="16"/>
  <c r="L217" i="16"/>
  <c r="M217" i="16"/>
  <c r="N217" i="16"/>
  <c r="O217" i="16"/>
  <c r="P217" i="16"/>
  <c r="Q217" i="16"/>
  <c r="R217" i="16"/>
  <c r="S217" i="16"/>
  <c r="T217" i="16"/>
  <c r="U217" i="16"/>
  <c r="V217" i="16"/>
  <c r="A218" i="16"/>
  <c r="B218" i="16"/>
  <c r="C218" i="16"/>
  <c r="D218" i="16"/>
  <c r="E218" i="16"/>
  <c r="F218" i="16"/>
  <c r="G218" i="16"/>
  <c r="H218" i="16"/>
  <c r="I218" i="16"/>
  <c r="J218" i="16"/>
  <c r="K218" i="16"/>
  <c r="L218" i="16"/>
  <c r="M218" i="16"/>
  <c r="N218" i="16"/>
  <c r="O218" i="16"/>
  <c r="P218" i="16"/>
  <c r="Q218" i="16"/>
  <c r="R218" i="16"/>
  <c r="S218" i="16"/>
  <c r="T218" i="16"/>
  <c r="U218" i="16"/>
  <c r="V218" i="16"/>
  <c r="A219" i="16"/>
  <c r="B219" i="16"/>
  <c r="C219" i="16"/>
  <c r="D219" i="16"/>
  <c r="E219" i="16"/>
  <c r="F219" i="16"/>
  <c r="G219" i="16"/>
  <c r="H219" i="16"/>
  <c r="I219" i="16"/>
  <c r="J219" i="16"/>
  <c r="K219" i="16"/>
  <c r="L219" i="16"/>
  <c r="M219" i="16"/>
  <c r="N219" i="16"/>
  <c r="O219" i="16"/>
  <c r="P219" i="16"/>
  <c r="Q219" i="16"/>
  <c r="R219" i="16"/>
  <c r="S219" i="16"/>
  <c r="T219" i="16"/>
  <c r="U219" i="16"/>
  <c r="V219" i="16"/>
  <c r="A220" i="16"/>
  <c r="B220" i="16"/>
  <c r="C220" i="16"/>
  <c r="D220" i="16"/>
  <c r="E220" i="16"/>
  <c r="F220" i="16"/>
  <c r="G220" i="16"/>
  <c r="H220" i="16"/>
  <c r="I220" i="16"/>
  <c r="J220" i="16"/>
  <c r="K220" i="16"/>
  <c r="L220" i="16"/>
  <c r="M220" i="16"/>
  <c r="N220" i="16"/>
  <c r="O220" i="16"/>
  <c r="P220" i="16"/>
  <c r="Q220" i="16"/>
  <c r="R220" i="16"/>
  <c r="S220" i="16"/>
  <c r="T220" i="16"/>
  <c r="U220" i="16"/>
  <c r="V220" i="16"/>
  <c r="A221" i="16"/>
  <c r="B221" i="16"/>
  <c r="C221" i="16"/>
  <c r="D221" i="16"/>
  <c r="E221" i="16"/>
  <c r="F221" i="16"/>
  <c r="G221" i="16"/>
  <c r="H221" i="16"/>
  <c r="I221" i="16"/>
  <c r="J221" i="16"/>
  <c r="K221" i="16"/>
  <c r="L221" i="16"/>
  <c r="M221" i="16"/>
  <c r="N221" i="16"/>
  <c r="O221" i="16"/>
  <c r="P221" i="16"/>
  <c r="Q221" i="16"/>
  <c r="R221" i="16"/>
  <c r="S221" i="16"/>
  <c r="T221" i="16"/>
  <c r="U221" i="16"/>
  <c r="V221" i="16"/>
  <c r="A222" i="16"/>
  <c r="B222" i="16"/>
  <c r="C222" i="16"/>
  <c r="D222" i="16"/>
  <c r="E222" i="16"/>
  <c r="F222" i="16"/>
  <c r="G222" i="16"/>
  <c r="H222" i="16"/>
  <c r="I222" i="16"/>
  <c r="J222" i="16"/>
  <c r="K222" i="16"/>
  <c r="L222" i="16"/>
  <c r="M222" i="16"/>
  <c r="N222" i="16"/>
  <c r="O222" i="16"/>
  <c r="P222" i="16"/>
  <c r="Q222" i="16"/>
  <c r="R222" i="16"/>
  <c r="S222" i="16"/>
  <c r="T222" i="16"/>
  <c r="U222" i="16"/>
  <c r="V222" i="16"/>
  <c r="A223" i="16"/>
  <c r="B223" i="16"/>
  <c r="C223" i="16"/>
  <c r="D223" i="16"/>
  <c r="E223" i="16"/>
  <c r="F223" i="16"/>
  <c r="G223" i="16"/>
  <c r="H223" i="16"/>
  <c r="I223" i="16"/>
  <c r="J223" i="16"/>
  <c r="K223" i="16"/>
  <c r="L223" i="16"/>
  <c r="M223" i="16"/>
  <c r="N223" i="16"/>
  <c r="O223" i="16"/>
  <c r="P223" i="16"/>
  <c r="Q223" i="16"/>
  <c r="R223" i="16"/>
  <c r="S223" i="16"/>
  <c r="T223" i="16"/>
  <c r="U223" i="16"/>
  <c r="V223" i="16"/>
  <c r="A224" i="16"/>
  <c r="B224" i="16"/>
  <c r="C224" i="16"/>
  <c r="D224" i="16"/>
  <c r="E224" i="16"/>
  <c r="F224" i="16"/>
  <c r="G224" i="16"/>
  <c r="H224" i="16"/>
  <c r="I224" i="16"/>
  <c r="J224" i="16"/>
  <c r="K224" i="16"/>
  <c r="L224" i="16"/>
  <c r="M224" i="16"/>
  <c r="N224" i="16"/>
  <c r="O224" i="16"/>
  <c r="P224" i="16"/>
  <c r="Q224" i="16"/>
  <c r="R224" i="16"/>
  <c r="S224" i="16"/>
  <c r="T224" i="16"/>
  <c r="U224" i="16"/>
  <c r="V224" i="16"/>
  <c r="A225" i="16"/>
  <c r="B225" i="16"/>
  <c r="C225" i="16"/>
  <c r="D225" i="16"/>
  <c r="E225" i="16"/>
  <c r="F225" i="16"/>
  <c r="G225" i="16"/>
  <c r="H225" i="16"/>
  <c r="I225" i="16"/>
  <c r="J225" i="16"/>
  <c r="K225" i="16"/>
  <c r="L225" i="16"/>
  <c r="M225" i="16"/>
  <c r="N225" i="16"/>
  <c r="O225" i="16"/>
  <c r="P225" i="16"/>
  <c r="Q225" i="16"/>
  <c r="R225" i="16"/>
  <c r="S225" i="16"/>
  <c r="T225" i="16"/>
  <c r="U225" i="16"/>
  <c r="V225" i="16"/>
  <c r="A226" i="16"/>
  <c r="B226" i="16"/>
  <c r="C226" i="16"/>
  <c r="D226" i="16"/>
  <c r="E226" i="16"/>
  <c r="F226" i="16"/>
  <c r="G226" i="16"/>
  <c r="H226" i="16"/>
  <c r="I226" i="16"/>
  <c r="J226" i="16"/>
  <c r="K226" i="16"/>
  <c r="L226" i="16"/>
  <c r="M226" i="16"/>
  <c r="N226" i="16"/>
  <c r="O226" i="16"/>
  <c r="P226" i="16"/>
  <c r="Q226" i="16"/>
  <c r="R226" i="16"/>
  <c r="S226" i="16"/>
  <c r="T226" i="16"/>
  <c r="U226" i="16"/>
  <c r="V226" i="16"/>
  <c r="A227" i="16"/>
  <c r="B227" i="16"/>
  <c r="C227" i="16"/>
  <c r="D227" i="16"/>
  <c r="E227" i="16"/>
  <c r="F227" i="16"/>
  <c r="G227" i="16"/>
  <c r="H227" i="16"/>
  <c r="I227" i="16"/>
  <c r="J227" i="16"/>
  <c r="K227" i="16"/>
  <c r="L227" i="16"/>
  <c r="M227" i="16"/>
  <c r="N227" i="16"/>
  <c r="O227" i="16"/>
  <c r="P227" i="16"/>
  <c r="Q227" i="16"/>
  <c r="R227" i="16"/>
  <c r="S227" i="16"/>
  <c r="T227" i="16"/>
  <c r="U227" i="16"/>
  <c r="V227" i="16"/>
  <c r="A228" i="16"/>
  <c r="B228" i="16"/>
  <c r="C228" i="16"/>
  <c r="D228" i="16"/>
  <c r="E228" i="16"/>
  <c r="F228" i="16"/>
  <c r="G228" i="16"/>
  <c r="H228" i="16"/>
  <c r="I228" i="16"/>
  <c r="J228" i="16"/>
  <c r="K228" i="16"/>
  <c r="L228" i="16"/>
  <c r="M228" i="16"/>
  <c r="N228" i="16"/>
  <c r="O228" i="16"/>
  <c r="P228" i="16"/>
  <c r="Q228" i="16"/>
  <c r="R228" i="16"/>
  <c r="S228" i="16"/>
  <c r="T228" i="16"/>
  <c r="U228" i="16"/>
  <c r="V228" i="16"/>
  <c r="A229" i="16"/>
  <c r="B229" i="16"/>
  <c r="C229" i="16"/>
  <c r="D229" i="16"/>
  <c r="E229" i="16"/>
  <c r="F229" i="16"/>
  <c r="G229" i="16"/>
  <c r="H229" i="16"/>
  <c r="I229" i="16"/>
  <c r="J229" i="16"/>
  <c r="K229" i="16"/>
  <c r="L229" i="16"/>
  <c r="M229" i="16"/>
  <c r="N229" i="16"/>
  <c r="O229" i="16"/>
  <c r="P229" i="16"/>
  <c r="Q229" i="16"/>
  <c r="R229" i="16"/>
  <c r="S229" i="16"/>
  <c r="T229" i="16"/>
  <c r="U229" i="16"/>
  <c r="V229" i="16"/>
  <c r="A230" i="16"/>
  <c r="B230" i="16"/>
  <c r="C230" i="16"/>
  <c r="D230" i="16"/>
  <c r="E230" i="16"/>
  <c r="F230" i="16"/>
  <c r="G230" i="16"/>
  <c r="H230" i="16"/>
  <c r="I230" i="16"/>
  <c r="J230" i="16"/>
  <c r="K230" i="16"/>
  <c r="L230" i="16"/>
  <c r="M230" i="16"/>
  <c r="N230" i="16"/>
  <c r="O230" i="16"/>
  <c r="P230" i="16"/>
  <c r="Q230" i="16"/>
  <c r="R230" i="16"/>
  <c r="S230" i="16"/>
  <c r="T230" i="16"/>
  <c r="U230" i="16"/>
  <c r="V230" i="16"/>
  <c r="A231" i="16"/>
  <c r="B231" i="16"/>
  <c r="C231" i="16"/>
  <c r="D231" i="16"/>
  <c r="E231" i="16"/>
  <c r="F231" i="16"/>
  <c r="G231" i="16"/>
  <c r="H231" i="16"/>
  <c r="I231" i="16"/>
  <c r="J231" i="16"/>
  <c r="K231" i="16"/>
  <c r="L231" i="16"/>
  <c r="M231" i="16"/>
  <c r="N231" i="16"/>
  <c r="O231" i="16"/>
  <c r="P231" i="16"/>
  <c r="Q231" i="16"/>
  <c r="R231" i="16"/>
  <c r="S231" i="16"/>
  <c r="T231" i="16"/>
  <c r="U231" i="16"/>
  <c r="V231" i="16"/>
  <c r="A232" i="16"/>
  <c r="B232" i="16"/>
  <c r="C232" i="16"/>
  <c r="D232" i="16"/>
  <c r="E232" i="16"/>
  <c r="F232" i="16"/>
  <c r="G232" i="16"/>
  <c r="H232" i="16"/>
  <c r="I232" i="16"/>
  <c r="J232" i="16"/>
  <c r="K232" i="16"/>
  <c r="L232" i="16"/>
  <c r="M232" i="16"/>
  <c r="N232" i="16"/>
  <c r="O232" i="16"/>
  <c r="P232" i="16"/>
  <c r="Q232" i="16"/>
  <c r="R232" i="16"/>
  <c r="S232" i="16"/>
  <c r="T232" i="16"/>
  <c r="U232" i="16"/>
  <c r="V232" i="16"/>
  <c r="A233" i="16"/>
  <c r="B233" i="16"/>
  <c r="C233" i="16"/>
  <c r="D233" i="16"/>
  <c r="E233" i="16"/>
  <c r="F233" i="16"/>
  <c r="G233" i="16"/>
  <c r="H233" i="16"/>
  <c r="I233" i="16"/>
  <c r="J233" i="16"/>
  <c r="K233" i="16"/>
  <c r="L233" i="16"/>
  <c r="M233" i="16"/>
  <c r="N233" i="16"/>
  <c r="O233" i="16"/>
  <c r="P233" i="16"/>
  <c r="Q233" i="16"/>
  <c r="R233" i="16"/>
  <c r="S233" i="16"/>
  <c r="T233" i="16"/>
  <c r="U233" i="16"/>
  <c r="V233" i="16"/>
  <c r="A234" i="16"/>
  <c r="B234" i="16"/>
  <c r="C234" i="16"/>
  <c r="D234" i="16"/>
  <c r="E234" i="16"/>
  <c r="F234" i="16"/>
  <c r="G234" i="16"/>
  <c r="H234" i="16"/>
  <c r="I234" i="16"/>
  <c r="J234" i="16"/>
  <c r="K234" i="16"/>
  <c r="L234" i="16"/>
  <c r="M234" i="16"/>
  <c r="N234" i="16"/>
  <c r="O234" i="16"/>
  <c r="P234" i="16"/>
  <c r="Q234" i="16"/>
  <c r="R234" i="16"/>
  <c r="S234" i="16"/>
  <c r="T234" i="16"/>
  <c r="U234" i="16"/>
  <c r="V234" i="16"/>
  <c r="A235" i="16"/>
  <c r="B235" i="16"/>
  <c r="C235" i="16"/>
  <c r="D235" i="16"/>
  <c r="E235" i="16"/>
  <c r="F235" i="16"/>
  <c r="G235" i="16"/>
  <c r="H235" i="16"/>
  <c r="I235" i="16"/>
  <c r="J235" i="16"/>
  <c r="K235" i="16"/>
  <c r="L235" i="16"/>
  <c r="M235" i="16"/>
  <c r="N235" i="16"/>
  <c r="O235" i="16"/>
  <c r="P235" i="16"/>
  <c r="Q235" i="16"/>
  <c r="R235" i="16"/>
  <c r="S235" i="16"/>
  <c r="T235" i="16"/>
  <c r="U235" i="16"/>
  <c r="V235" i="16"/>
  <c r="A236" i="16"/>
  <c r="B236" i="16"/>
  <c r="C236" i="16"/>
  <c r="D236" i="16"/>
  <c r="E236" i="16"/>
  <c r="F236" i="16"/>
  <c r="G236" i="16"/>
  <c r="H236" i="16"/>
  <c r="I236" i="16"/>
  <c r="J236" i="16"/>
  <c r="K236" i="16"/>
  <c r="L236" i="16"/>
  <c r="M236" i="16"/>
  <c r="N236" i="16"/>
  <c r="O236" i="16"/>
  <c r="P236" i="16"/>
  <c r="Q236" i="16"/>
  <c r="R236" i="16"/>
  <c r="S236" i="16"/>
  <c r="T236" i="16"/>
  <c r="U236" i="16"/>
  <c r="V236" i="16"/>
  <c r="A237" i="16"/>
  <c r="B237" i="16"/>
  <c r="C237" i="16"/>
  <c r="D237" i="16"/>
  <c r="E237" i="16"/>
  <c r="F237" i="16"/>
  <c r="G237" i="16"/>
  <c r="H237" i="16"/>
  <c r="I237" i="16"/>
  <c r="J237" i="16"/>
  <c r="K237" i="16"/>
  <c r="L237" i="16"/>
  <c r="M237" i="16"/>
  <c r="N237" i="16"/>
  <c r="O237" i="16"/>
  <c r="P237" i="16"/>
  <c r="Q237" i="16"/>
  <c r="R237" i="16"/>
  <c r="S237" i="16"/>
  <c r="T237" i="16"/>
  <c r="U237" i="16"/>
  <c r="V237" i="16"/>
  <c r="A238" i="16"/>
  <c r="B238" i="16"/>
  <c r="C238" i="16"/>
  <c r="D238" i="16"/>
  <c r="E238" i="16"/>
  <c r="F238" i="16"/>
  <c r="G238" i="16"/>
  <c r="H238" i="16"/>
  <c r="I238" i="16"/>
  <c r="J238" i="16"/>
  <c r="K238" i="16"/>
  <c r="L238" i="16"/>
  <c r="M238" i="16"/>
  <c r="N238" i="16"/>
  <c r="O238" i="16"/>
  <c r="P238" i="16"/>
  <c r="Q238" i="16"/>
  <c r="R238" i="16"/>
  <c r="S238" i="16"/>
  <c r="T238" i="16"/>
  <c r="U238" i="16"/>
  <c r="V238" i="16"/>
  <c r="A239" i="16"/>
  <c r="B239" i="16"/>
  <c r="C239" i="16"/>
  <c r="D239" i="16"/>
  <c r="E239" i="16"/>
  <c r="F239" i="16"/>
  <c r="G239" i="16"/>
  <c r="H239" i="16"/>
  <c r="I239" i="16"/>
  <c r="J239" i="16"/>
  <c r="K239" i="16"/>
  <c r="L239" i="16"/>
  <c r="M239" i="16"/>
  <c r="N239" i="16"/>
  <c r="O239" i="16"/>
  <c r="P239" i="16"/>
  <c r="Q239" i="16"/>
  <c r="R239" i="16"/>
  <c r="S239" i="16"/>
  <c r="T239" i="16"/>
  <c r="U239" i="16"/>
  <c r="V239" i="16"/>
  <c r="A240" i="16"/>
  <c r="B240" i="16"/>
  <c r="C240" i="16"/>
  <c r="D240" i="16"/>
  <c r="E240" i="16"/>
  <c r="F240" i="16"/>
  <c r="G240" i="16"/>
  <c r="H240" i="16"/>
  <c r="I240" i="16"/>
  <c r="J240" i="16"/>
  <c r="K240" i="16"/>
  <c r="L240" i="16"/>
  <c r="M240" i="16"/>
  <c r="N240" i="16"/>
  <c r="O240" i="16"/>
  <c r="P240" i="16"/>
  <c r="Q240" i="16"/>
  <c r="R240" i="16"/>
  <c r="S240" i="16"/>
  <c r="T240" i="16"/>
  <c r="U240" i="16"/>
  <c r="V240" i="16"/>
  <c r="A241" i="16"/>
  <c r="B241" i="16"/>
  <c r="C241" i="16"/>
  <c r="D241" i="16"/>
  <c r="E241" i="16"/>
  <c r="F241" i="16"/>
  <c r="G241" i="16"/>
  <c r="H241" i="16"/>
  <c r="I241" i="16"/>
  <c r="J241" i="16"/>
  <c r="K241" i="16"/>
  <c r="L241" i="16"/>
  <c r="M241" i="16"/>
  <c r="N241" i="16"/>
  <c r="O241" i="16"/>
  <c r="P241" i="16"/>
  <c r="Q241" i="16"/>
  <c r="R241" i="16"/>
  <c r="S241" i="16"/>
  <c r="T241" i="16"/>
  <c r="U241" i="16"/>
  <c r="V241" i="16"/>
  <c r="A242" i="16"/>
  <c r="B242" i="16"/>
  <c r="C242" i="16"/>
  <c r="D242" i="16"/>
  <c r="E242" i="16"/>
  <c r="F242" i="16"/>
  <c r="G242" i="16"/>
  <c r="H242" i="16"/>
  <c r="I242" i="16"/>
  <c r="J242" i="16"/>
  <c r="K242" i="16"/>
  <c r="L242" i="16"/>
  <c r="M242" i="16"/>
  <c r="N242" i="16"/>
  <c r="O242" i="16"/>
  <c r="P242" i="16"/>
  <c r="Q242" i="16"/>
  <c r="R242" i="16"/>
  <c r="S242" i="16"/>
  <c r="T242" i="16"/>
  <c r="U242" i="16"/>
  <c r="V242" i="16"/>
  <c r="A243" i="16"/>
  <c r="B243" i="16"/>
  <c r="C243" i="16"/>
  <c r="D243" i="16"/>
  <c r="E243" i="16"/>
  <c r="F243" i="16"/>
  <c r="G243" i="16"/>
  <c r="H243" i="16"/>
  <c r="I243" i="16"/>
  <c r="J243" i="16"/>
  <c r="K243" i="16"/>
  <c r="L243" i="16"/>
  <c r="M243" i="16"/>
  <c r="N243" i="16"/>
  <c r="O243" i="16"/>
  <c r="P243" i="16"/>
  <c r="Q243" i="16"/>
  <c r="R243" i="16"/>
  <c r="S243" i="16"/>
  <c r="T243" i="16"/>
  <c r="U243" i="16"/>
  <c r="V243" i="16"/>
  <c r="A244" i="16"/>
  <c r="B244" i="16"/>
  <c r="C244" i="16"/>
  <c r="D244" i="16"/>
  <c r="E244" i="16"/>
  <c r="F244" i="16"/>
  <c r="G244" i="16"/>
  <c r="H244" i="16"/>
  <c r="I244" i="16"/>
  <c r="J244" i="16"/>
  <c r="K244" i="16"/>
  <c r="L244" i="16"/>
  <c r="M244" i="16"/>
  <c r="N244" i="16"/>
  <c r="O244" i="16"/>
  <c r="P244" i="16"/>
  <c r="Q244" i="16"/>
  <c r="R244" i="16"/>
  <c r="S244" i="16"/>
  <c r="T244" i="16"/>
  <c r="U244" i="16"/>
  <c r="V244" i="16"/>
  <c r="A245" i="16"/>
  <c r="B245" i="16"/>
  <c r="C245" i="16"/>
  <c r="D245" i="16"/>
  <c r="E245" i="16"/>
  <c r="F245" i="16"/>
  <c r="G245" i="16"/>
  <c r="H245" i="16"/>
  <c r="I245" i="16"/>
  <c r="J245" i="16"/>
  <c r="K245" i="16"/>
  <c r="L245" i="16"/>
  <c r="M245" i="16"/>
  <c r="N245" i="16"/>
  <c r="O245" i="16"/>
  <c r="P245" i="16"/>
  <c r="Q245" i="16"/>
  <c r="R245" i="16"/>
  <c r="S245" i="16"/>
  <c r="T245" i="16"/>
  <c r="U245" i="16"/>
  <c r="V245" i="16"/>
  <c r="A246" i="16"/>
  <c r="B246" i="16"/>
  <c r="C246" i="16"/>
  <c r="D246" i="16"/>
  <c r="E246" i="16"/>
  <c r="F246" i="16"/>
  <c r="G246" i="16"/>
  <c r="H246" i="16"/>
  <c r="I246" i="16"/>
  <c r="J246" i="16"/>
  <c r="K246" i="16"/>
  <c r="L246" i="16"/>
  <c r="M246" i="16"/>
  <c r="N246" i="16"/>
  <c r="O246" i="16"/>
  <c r="P246" i="16"/>
  <c r="Q246" i="16"/>
  <c r="R246" i="16"/>
  <c r="S246" i="16"/>
  <c r="T246" i="16"/>
  <c r="U246" i="16"/>
  <c r="V246" i="16"/>
  <c r="A247" i="16"/>
  <c r="B247" i="16"/>
  <c r="C247" i="16"/>
  <c r="D247" i="16"/>
  <c r="E247" i="16"/>
  <c r="F247" i="16"/>
  <c r="G247" i="16"/>
  <c r="H247" i="16"/>
  <c r="I247" i="16"/>
  <c r="J247" i="16"/>
  <c r="K247" i="16"/>
  <c r="L247" i="16"/>
  <c r="M247" i="16"/>
  <c r="N247" i="16"/>
  <c r="O247" i="16"/>
  <c r="P247" i="16"/>
  <c r="Q247" i="16"/>
  <c r="R247" i="16"/>
  <c r="S247" i="16"/>
  <c r="T247" i="16"/>
  <c r="U247" i="16"/>
  <c r="V247" i="16"/>
  <c r="A248" i="16"/>
  <c r="B248" i="16"/>
  <c r="C248" i="16"/>
  <c r="D248" i="16"/>
  <c r="E248" i="16"/>
  <c r="F248" i="16"/>
  <c r="G248" i="16"/>
  <c r="H248" i="16"/>
  <c r="I248" i="16"/>
  <c r="J248" i="16"/>
  <c r="K248" i="16"/>
  <c r="L248" i="16"/>
  <c r="M248" i="16"/>
  <c r="N248" i="16"/>
  <c r="O248" i="16"/>
  <c r="P248" i="16"/>
  <c r="Q248" i="16"/>
  <c r="R248" i="16"/>
  <c r="S248" i="16"/>
  <c r="T248" i="16"/>
  <c r="U248" i="16"/>
  <c r="V248" i="16"/>
  <c r="A249" i="16"/>
  <c r="B249" i="16"/>
  <c r="C249" i="16"/>
  <c r="D249" i="16"/>
  <c r="E249" i="16"/>
  <c r="F249" i="16"/>
  <c r="G249" i="16"/>
  <c r="H249" i="16"/>
  <c r="I249" i="16"/>
  <c r="J249" i="16"/>
  <c r="K249" i="16"/>
  <c r="L249" i="16"/>
  <c r="M249" i="16"/>
  <c r="N249" i="16"/>
  <c r="O249" i="16"/>
  <c r="P249" i="16"/>
  <c r="Q249" i="16"/>
  <c r="R249" i="16"/>
  <c r="S249" i="16"/>
  <c r="T249" i="16"/>
  <c r="U249" i="16"/>
  <c r="V249" i="16"/>
  <c r="A250" i="16"/>
  <c r="B250" i="16"/>
  <c r="C250" i="16"/>
  <c r="D250" i="16"/>
  <c r="E250" i="16"/>
  <c r="F250" i="16"/>
  <c r="G250" i="16"/>
  <c r="H250" i="16"/>
  <c r="I250" i="16"/>
  <c r="J250" i="16"/>
  <c r="K250" i="16"/>
  <c r="L250" i="16"/>
  <c r="M250" i="16"/>
  <c r="N250" i="16"/>
  <c r="O250" i="16"/>
  <c r="P250" i="16"/>
  <c r="Q250" i="16"/>
  <c r="R250" i="16"/>
  <c r="S250" i="16"/>
  <c r="T250" i="16"/>
  <c r="U250" i="16"/>
  <c r="V250" i="16"/>
  <c r="A251" i="16"/>
  <c r="B251" i="16"/>
  <c r="C251" i="16"/>
  <c r="D251" i="16"/>
  <c r="E251" i="16"/>
  <c r="F251" i="16"/>
  <c r="G251" i="16"/>
  <c r="H251" i="16"/>
  <c r="I251" i="16"/>
  <c r="J251" i="16"/>
  <c r="K251" i="16"/>
  <c r="L251" i="16"/>
  <c r="M251" i="16"/>
  <c r="N251" i="16"/>
  <c r="O251" i="16"/>
  <c r="P251" i="16"/>
  <c r="Q251" i="16"/>
  <c r="R251" i="16"/>
  <c r="S251" i="16"/>
  <c r="T251" i="16"/>
  <c r="U251" i="16"/>
  <c r="V251" i="16"/>
  <c r="A252" i="16"/>
  <c r="B252" i="16"/>
  <c r="C252" i="16"/>
  <c r="D252" i="16"/>
  <c r="E252" i="16"/>
  <c r="F252" i="16"/>
  <c r="G252" i="16"/>
  <c r="H252" i="16"/>
  <c r="I252" i="16"/>
  <c r="J252" i="16"/>
  <c r="K252" i="16"/>
  <c r="L252" i="16"/>
  <c r="M252" i="16"/>
  <c r="N252" i="16"/>
  <c r="O252" i="16"/>
  <c r="P252" i="16"/>
  <c r="Q252" i="16"/>
  <c r="R252" i="16"/>
  <c r="S252" i="16"/>
  <c r="T252" i="16"/>
  <c r="U252" i="16"/>
  <c r="V252" i="16"/>
  <c r="A253" i="16"/>
  <c r="B253" i="16"/>
  <c r="C253" i="16"/>
  <c r="D253" i="16"/>
  <c r="E253" i="16"/>
  <c r="F253" i="16"/>
  <c r="G253" i="16"/>
  <c r="H253" i="16"/>
  <c r="I253" i="16"/>
  <c r="J253" i="16"/>
  <c r="K253" i="16"/>
  <c r="L253" i="16"/>
  <c r="M253" i="16"/>
  <c r="N253" i="16"/>
  <c r="O253" i="16"/>
  <c r="P253" i="16"/>
  <c r="Q253" i="16"/>
  <c r="R253" i="16"/>
  <c r="S253" i="16"/>
  <c r="T253" i="16"/>
  <c r="U253" i="16"/>
  <c r="V253" i="16"/>
  <c r="A254" i="16"/>
  <c r="B254" i="16"/>
  <c r="C254" i="16"/>
  <c r="D254" i="16"/>
  <c r="E254" i="16"/>
  <c r="F254" i="16"/>
  <c r="G254" i="16"/>
  <c r="H254" i="16"/>
  <c r="I254" i="16"/>
  <c r="J254" i="16"/>
  <c r="K254" i="16"/>
  <c r="L254" i="16"/>
  <c r="M254" i="16"/>
  <c r="N254" i="16"/>
  <c r="O254" i="16"/>
  <c r="P254" i="16"/>
  <c r="Q254" i="16"/>
  <c r="R254" i="16"/>
  <c r="S254" i="16"/>
  <c r="T254" i="16"/>
  <c r="U254" i="16"/>
  <c r="V254" i="16"/>
  <c r="A255" i="16"/>
  <c r="B255" i="16"/>
  <c r="C255" i="16"/>
  <c r="D255" i="16"/>
  <c r="E255" i="16"/>
  <c r="F255" i="16"/>
  <c r="G255" i="16"/>
  <c r="H255" i="16"/>
  <c r="I255" i="16"/>
  <c r="J255" i="16"/>
  <c r="K255" i="16"/>
  <c r="L255" i="16"/>
  <c r="M255" i="16"/>
  <c r="N255" i="16"/>
  <c r="O255" i="16"/>
  <c r="P255" i="16"/>
  <c r="Q255" i="16"/>
  <c r="R255" i="16"/>
  <c r="S255" i="16"/>
  <c r="T255" i="16"/>
  <c r="U255" i="16"/>
  <c r="V255" i="16"/>
  <c r="A256" i="16"/>
  <c r="B256" i="16"/>
  <c r="C256" i="16"/>
  <c r="D256" i="16"/>
  <c r="E256" i="16"/>
  <c r="F256" i="16"/>
  <c r="G256" i="16"/>
  <c r="H256" i="16"/>
  <c r="I256" i="16"/>
  <c r="J256" i="16"/>
  <c r="K256" i="16"/>
  <c r="L256" i="16"/>
  <c r="M256" i="16"/>
  <c r="N256" i="16"/>
  <c r="O256" i="16"/>
  <c r="P256" i="16"/>
  <c r="Q256" i="16"/>
  <c r="R256" i="16"/>
  <c r="S256" i="16"/>
  <c r="T256" i="16"/>
  <c r="U256" i="16"/>
  <c r="V256" i="16"/>
  <c r="A257" i="16"/>
  <c r="B257" i="16"/>
  <c r="C257" i="16"/>
  <c r="D257" i="16"/>
  <c r="E257" i="16"/>
  <c r="F257" i="16"/>
  <c r="G257" i="16"/>
  <c r="H257" i="16"/>
  <c r="I257" i="16"/>
  <c r="J257" i="16"/>
  <c r="K257" i="16"/>
  <c r="L257" i="16"/>
  <c r="M257" i="16"/>
  <c r="N257" i="16"/>
  <c r="O257" i="16"/>
  <c r="P257" i="16"/>
  <c r="Q257" i="16"/>
  <c r="R257" i="16"/>
  <c r="S257" i="16"/>
  <c r="T257" i="16"/>
  <c r="U257" i="16"/>
  <c r="V257" i="16"/>
  <c r="A258" i="16"/>
  <c r="B258" i="16"/>
  <c r="C258" i="16"/>
  <c r="D258" i="16"/>
  <c r="E258" i="16"/>
  <c r="F258" i="16"/>
  <c r="G258" i="16"/>
  <c r="H258" i="16"/>
  <c r="I258" i="16"/>
  <c r="J258" i="16"/>
  <c r="K258" i="16"/>
  <c r="L258" i="16"/>
  <c r="M258" i="16"/>
  <c r="N258" i="16"/>
  <c r="O258" i="16"/>
  <c r="P258" i="16"/>
  <c r="Q258" i="16"/>
  <c r="R258" i="16"/>
  <c r="S258" i="16"/>
  <c r="T258" i="16"/>
  <c r="U258" i="16"/>
  <c r="V258" i="16"/>
  <c r="A259" i="16"/>
  <c r="B259" i="16"/>
  <c r="C259" i="16"/>
  <c r="D259" i="16"/>
  <c r="E259" i="16"/>
  <c r="F259" i="16"/>
  <c r="G259" i="16"/>
  <c r="H259" i="16"/>
  <c r="I259" i="16"/>
  <c r="J259" i="16"/>
  <c r="K259" i="16"/>
  <c r="L259" i="16"/>
  <c r="M259" i="16"/>
  <c r="N259" i="16"/>
  <c r="O259" i="16"/>
  <c r="P259" i="16"/>
  <c r="Q259" i="16"/>
  <c r="R259" i="16"/>
  <c r="S259" i="16"/>
  <c r="T259" i="16"/>
  <c r="U259" i="16"/>
  <c r="V259" i="16"/>
  <c r="A260" i="16"/>
  <c r="B260" i="16"/>
  <c r="C260" i="16"/>
  <c r="D260" i="16"/>
  <c r="E260" i="16"/>
  <c r="F260" i="16"/>
  <c r="G260" i="16"/>
  <c r="H260" i="16"/>
  <c r="I260" i="16"/>
  <c r="J260" i="16"/>
  <c r="K260" i="16"/>
  <c r="L260" i="16"/>
  <c r="M260" i="16"/>
  <c r="N260" i="16"/>
  <c r="O260" i="16"/>
  <c r="P260" i="16"/>
  <c r="Q260" i="16"/>
  <c r="R260" i="16"/>
  <c r="S260" i="16"/>
  <c r="T260" i="16"/>
  <c r="U260" i="16"/>
  <c r="V260" i="16"/>
  <c r="A261" i="16"/>
  <c r="B261" i="16"/>
  <c r="C261" i="16"/>
  <c r="D261" i="16"/>
  <c r="E261" i="16"/>
  <c r="F261" i="16"/>
  <c r="G261" i="16"/>
  <c r="H261" i="16"/>
  <c r="I261" i="16"/>
  <c r="J261" i="16"/>
  <c r="K261" i="16"/>
  <c r="L261" i="16"/>
  <c r="M261" i="16"/>
  <c r="N261" i="16"/>
  <c r="O261" i="16"/>
  <c r="P261" i="16"/>
  <c r="Q261" i="16"/>
  <c r="R261" i="16"/>
  <c r="S261" i="16"/>
  <c r="T261" i="16"/>
  <c r="U261" i="16"/>
  <c r="V261" i="16"/>
  <c r="A262" i="16"/>
  <c r="B262" i="16"/>
  <c r="C262" i="16"/>
  <c r="D262" i="16"/>
  <c r="E262" i="16"/>
  <c r="F262" i="16"/>
  <c r="G262" i="16"/>
  <c r="H262" i="16"/>
  <c r="I262" i="16"/>
  <c r="J262" i="16"/>
  <c r="K262" i="16"/>
  <c r="L262" i="16"/>
  <c r="M262" i="16"/>
  <c r="N262" i="16"/>
  <c r="O262" i="16"/>
  <c r="P262" i="16"/>
  <c r="Q262" i="16"/>
  <c r="R262" i="16"/>
  <c r="S262" i="16"/>
  <c r="T262" i="16"/>
  <c r="U262" i="16"/>
  <c r="V262" i="16"/>
  <c r="A263" i="16"/>
  <c r="B263" i="16"/>
  <c r="C263" i="16"/>
  <c r="D263" i="16"/>
  <c r="E263" i="16"/>
  <c r="F263" i="16"/>
  <c r="G263" i="16"/>
  <c r="H263" i="16"/>
  <c r="I263" i="16"/>
  <c r="J263" i="16"/>
  <c r="K263" i="16"/>
  <c r="L263" i="16"/>
  <c r="M263" i="16"/>
  <c r="N263" i="16"/>
  <c r="O263" i="16"/>
  <c r="P263" i="16"/>
  <c r="Q263" i="16"/>
  <c r="R263" i="16"/>
  <c r="S263" i="16"/>
  <c r="T263" i="16"/>
  <c r="U263" i="16"/>
  <c r="V263" i="16"/>
  <c r="A264" i="16"/>
  <c r="B264" i="16"/>
  <c r="C264" i="16"/>
  <c r="D264" i="16"/>
  <c r="E264" i="16"/>
  <c r="F264" i="16"/>
  <c r="G264" i="16"/>
  <c r="H264" i="16"/>
  <c r="I264" i="16"/>
  <c r="J264" i="16"/>
  <c r="K264" i="16"/>
  <c r="L264" i="16"/>
  <c r="M264" i="16"/>
  <c r="N264" i="16"/>
  <c r="O264" i="16"/>
  <c r="P264" i="16"/>
  <c r="Q264" i="16"/>
  <c r="R264" i="16"/>
  <c r="S264" i="16"/>
  <c r="T264" i="16"/>
  <c r="U264" i="16"/>
  <c r="V264" i="16"/>
  <c r="A265" i="16"/>
  <c r="B265" i="16"/>
  <c r="C265" i="16"/>
  <c r="D265" i="16"/>
  <c r="E265" i="16"/>
  <c r="F265" i="16"/>
  <c r="G265" i="16"/>
  <c r="H265" i="16"/>
  <c r="I265" i="16"/>
  <c r="J265" i="16"/>
  <c r="K265" i="16"/>
  <c r="L265" i="16"/>
  <c r="M265" i="16"/>
  <c r="N265" i="16"/>
  <c r="O265" i="16"/>
  <c r="P265" i="16"/>
  <c r="Q265" i="16"/>
  <c r="R265" i="16"/>
  <c r="S265" i="16"/>
  <c r="T265" i="16"/>
  <c r="U265" i="16"/>
  <c r="V265" i="16"/>
  <c r="A266" i="16"/>
  <c r="B266" i="16"/>
  <c r="C266" i="16"/>
  <c r="D266" i="16"/>
  <c r="E266" i="16"/>
  <c r="F266" i="16"/>
  <c r="G266" i="16"/>
  <c r="H266" i="16"/>
  <c r="I266" i="16"/>
  <c r="J266" i="16"/>
  <c r="K266" i="16"/>
  <c r="L266" i="16"/>
  <c r="M266" i="16"/>
  <c r="N266" i="16"/>
  <c r="O266" i="16"/>
  <c r="P266" i="16"/>
  <c r="Q266" i="16"/>
  <c r="R266" i="16"/>
  <c r="S266" i="16"/>
  <c r="T266" i="16"/>
  <c r="U266" i="16"/>
  <c r="V266" i="16"/>
  <c r="A267" i="16"/>
  <c r="B267" i="16"/>
  <c r="C267" i="16"/>
  <c r="D267" i="16"/>
  <c r="E267" i="16"/>
  <c r="F267" i="16"/>
  <c r="G267" i="16"/>
  <c r="H267" i="16"/>
  <c r="I267" i="16"/>
  <c r="J267" i="16"/>
  <c r="K267" i="16"/>
  <c r="L267" i="16"/>
  <c r="M267" i="16"/>
  <c r="N267" i="16"/>
  <c r="O267" i="16"/>
  <c r="P267" i="16"/>
  <c r="Q267" i="16"/>
  <c r="R267" i="16"/>
  <c r="S267" i="16"/>
  <c r="T267" i="16"/>
  <c r="U267" i="16"/>
  <c r="V267" i="16"/>
  <c r="A268" i="16"/>
  <c r="B268" i="16"/>
  <c r="C268" i="16"/>
  <c r="D268" i="16"/>
  <c r="E268" i="16"/>
  <c r="F268" i="16"/>
  <c r="G268" i="16"/>
  <c r="H268" i="16"/>
  <c r="I268" i="16"/>
  <c r="J268" i="16"/>
  <c r="K268" i="16"/>
  <c r="L268" i="16"/>
  <c r="M268" i="16"/>
  <c r="N268" i="16"/>
  <c r="O268" i="16"/>
  <c r="P268" i="16"/>
  <c r="Q268" i="16"/>
  <c r="R268" i="16"/>
  <c r="S268" i="16"/>
  <c r="T268" i="16"/>
  <c r="U268" i="16"/>
  <c r="V268" i="16"/>
  <c r="A269" i="16"/>
  <c r="B269" i="16"/>
  <c r="C269" i="16"/>
  <c r="D269" i="16"/>
  <c r="E269" i="16"/>
  <c r="F269" i="16"/>
  <c r="G269" i="16"/>
  <c r="H269" i="16"/>
  <c r="I269" i="16"/>
  <c r="J269" i="16"/>
  <c r="K269" i="16"/>
  <c r="L269" i="16"/>
  <c r="M269" i="16"/>
  <c r="N269" i="16"/>
  <c r="O269" i="16"/>
  <c r="P269" i="16"/>
  <c r="Q269" i="16"/>
  <c r="R269" i="16"/>
  <c r="S269" i="16"/>
  <c r="T269" i="16"/>
  <c r="U269" i="16"/>
  <c r="V269" i="16"/>
  <c r="A270" i="16"/>
  <c r="B270" i="16"/>
  <c r="C270" i="16"/>
  <c r="D270" i="16"/>
  <c r="E270" i="16"/>
  <c r="F270" i="16"/>
  <c r="G270" i="16"/>
  <c r="H270" i="16"/>
  <c r="I270" i="16"/>
  <c r="J270" i="16"/>
  <c r="K270" i="16"/>
  <c r="L270" i="16"/>
  <c r="M270" i="16"/>
  <c r="N270" i="16"/>
  <c r="O270" i="16"/>
  <c r="P270" i="16"/>
  <c r="Q270" i="16"/>
  <c r="R270" i="16"/>
  <c r="S270" i="16"/>
  <c r="T270" i="16"/>
  <c r="U270" i="16"/>
  <c r="V270" i="16"/>
  <c r="A271" i="16"/>
  <c r="B271" i="16"/>
  <c r="C271" i="16"/>
  <c r="D271" i="16"/>
  <c r="E271" i="16"/>
  <c r="F271" i="16"/>
  <c r="G271" i="16"/>
  <c r="H271" i="16"/>
  <c r="I271" i="16"/>
  <c r="J271" i="16"/>
  <c r="K271" i="16"/>
  <c r="L271" i="16"/>
  <c r="M271" i="16"/>
  <c r="N271" i="16"/>
  <c r="O271" i="16"/>
  <c r="P271" i="16"/>
  <c r="Q271" i="16"/>
  <c r="R271" i="16"/>
  <c r="S271" i="16"/>
  <c r="T271" i="16"/>
  <c r="U271" i="16"/>
  <c r="V271" i="16"/>
  <c r="A272" i="16"/>
  <c r="B272" i="16"/>
  <c r="C272" i="16"/>
  <c r="D272" i="16"/>
  <c r="E272" i="16"/>
  <c r="F272" i="16"/>
  <c r="G272" i="16"/>
  <c r="H272" i="16"/>
  <c r="I272" i="16"/>
  <c r="J272" i="16"/>
  <c r="K272" i="16"/>
  <c r="L272" i="16"/>
  <c r="M272" i="16"/>
  <c r="N272" i="16"/>
  <c r="O272" i="16"/>
  <c r="P272" i="16"/>
  <c r="Q272" i="16"/>
  <c r="R272" i="16"/>
  <c r="S272" i="16"/>
  <c r="T272" i="16"/>
  <c r="U272" i="16"/>
  <c r="V272" i="16"/>
  <c r="A273" i="16"/>
  <c r="B273" i="16"/>
  <c r="C273" i="16"/>
  <c r="D273" i="16"/>
  <c r="E273" i="16"/>
  <c r="F273" i="16"/>
  <c r="G273" i="16"/>
  <c r="H273" i="16"/>
  <c r="I273" i="16"/>
  <c r="J273" i="16"/>
  <c r="K273" i="16"/>
  <c r="L273" i="16"/>
  <c r="M273" i="16"/>
  <c r="N273" i="16"/>
  <c r="O273" i="16"/>
  <c r="P273" i="16"/>
  <c r="Q273" i="16"/>
  <c r="R273" i="16"/>
  <c r="S273" i="16"/>
  <c r="T273" i="16"/>
  <c r="U273" i="16"/>
  <c r="V273" i="16"/>
  <c r="A274" i="16"/>
  <c r="B274" i="16"/>
  <c r="C274" i="16"/>
  <c r="D274" i="16"/>
  <c r="E274" i="16"/>
  <c r="F274" i="16"/>
  <c r="G274" i="16"/>
  <c r="H274" i="16"/>
  <c r="I274" i="16"/>
  <c r="J274" i="16"/>
  <c r="K274" i="16"/>
  <c r="L274" i="16"/>
  <c r="M274" i="16"/>
  <c r="N274" i="16"/>
  <c r="O274" i="16"/>
  <c r="P274" i="16"/>
  <c r="Q274" i="16"/>
  <c r="R274" i="16"/>
  <c r="S274" i="16"/>
  <c r="T274" i="16"/>
  <c r="U274" i="16"/>
  <c r="V274" i="16"/>
  <c r="A275" i="16"/>
  <c r="B275" i="16"/>
  <c r="C275" i="16"/>
  <c r="D275" i="16"/>
  <c r="E275" i="16"/>
  <c r="F275" i="16"/>
  <c r="G275" i="16"/>
  <c r="H275" i="16"/>
  <c r="I275" i="16"/>
  <c r="J275" i="16"/>
  <c r="K275" i="16"/>
  <c r="L275" i="16"/>
  <c r="M275" i="16"/>
  <c r="N275" i="16"/>
  <c r="O275" i="16"/>
  <c r="P275" i="16"/>
  <c r="Q275" i="16"/>
  <c r="R275" i="16"/>
  <c r="S275" i="16"/>
  <c r="T275" i="16"/>
  <c r="U275" i="16"/>
  <c r="V275" i="16"/>
  <c r="A276" i="16"/>
  <c r="B276" i="16"/>
  <c r="C276" i="16"/>
  <c r="D276" i="16"/>
  <c r="E276" i="16"/>
  <c r="F276" i="16"/>
  <c r="G276" i="16"/>
  <c r="H276" i="16"/>
  <c r="I276" i="16"/>
  <c r="J276" i="16"/>
  <c r="K276" i="16"/>
  <c r="L276" i="16"/>
  <c r="M276" i="16"/>
  <c r="N276" i="16"/>
  <c r="O276" i="16"/>
  <c r="P276" i="16"/>
  <c r="Q276" i="16"/>
  <c r="R276" i="16"/>
  <c r="S276" i="16"/>
  <c r="T276" i="16"/>
  <c r="U276" i="16"/>
  <c r="V276" i="16"/>
  <c r="A277" i="16"/>
  <c r="B277" i="16"/>
  <c r="C277" i="16"/>
  <c r="D277" i="16"/>
  <c r="E277" i="16"/>
  <c r="F277" i="16"/>
  <c r="G277" i="16"/>
  <c r="H277" i="16"/>
  <c r="I277" i="16"/>
  <c r="J277" i="16"/>
  <c r="K277" i="16"/>
  <c r="L277" i="16"/>
  <c r="M277" i="16"/>
  <c r="N277" i="16"/>
  <c r="O277" i="16"/>
  <c r="P277" i="16"/>
  <c r="Q277" i="16"/>
  <c r="R277" i="16"/>
  <c r="S277" i="16"/>
  <c r="T277" i="16"/>
  <c r="U277" i="16"/>
  <c r="V277" i="16"/>
  <c r="A278" i="16"/>
  <c r="B278" i="16"/>
  <c r="C278" i="16"/>
  <c r="D278" i="16"/>
  <c r="E278" i="16"/>
  <c r="F278" i="16"/>
  <c r="G278" i="16"/>
  <c r="H278" i="16"/>
  <c r="I278" i="16"/>
  <c r="J278" i="16"/>
  <c r="K278" i="16"/>
  <c r="L278" i="16"/>
  <c r="M278" i="16"/>
  <c r="N278" i="16"/>
  <c r="O278" i="16"/>
  <c r="P278" i="16"/>
  <c r="Q278" i="16"/>
  <c r="R278" i="16"/>
  <c r="S278" i="16"/>
  <c r="T278" i="16"/>
  <c r="U278" i="16"/>
  <c r="V278" i="16"/>
  <c r="A279" i="16"/>
  <c r="B279" i="16"/>
  <c r="C279" i="16"/>
  <c r="D279" i="16"/>
  <c r="E279" i="16"/>
  <c r="F279" i="16"/>
  <c r="G279" i="16"/>
  <c r="H279" i="16"/>
  <c r="I279" i="16"/>
  <c r="J279" i="16"/>
  <c r="K279" i="16"/>
  <c r="L279" i="16"/>
  <c r="M279" i="16"/>
  <c r="N279" i="16"/>
  <c r="O279" i="16"/>
  <c r="P279" i="16"/>
  <c r="Q279" i="16"/>
  <c r="R279" i="16"/>
  <c r="S279" i="16"/>
  <c r="T279" i="16"/>
  <c r="U279" i="16"/>
  <c r="V279" i="16"/>
  <c r="A280" i="16"/>
  <c r="B280" i="16"/>
  <c r="C280" i="16"/>
  <c r="D280" i="16"/>
  <c r="E280" i="16"/>
  <c r="F280" i="16"/>
  <c r="G280" i="16"/>
  <c r="H280" i="16"/>
  <c r="I280" i="16"/>
  <c r="J280" i="16"/>
  <c r="K280" i="16"/>
  <c r="L280" i="16"/>
  <c r="M280" i="16"/>
  <c r="N280" i="16"/>
  <c r="O280" i="16"/>
  <c r="P280" i="16"/>
  <c r="Q280" i="16"/>
  <c r="R280" i="16"/>
  <c r="S280" i="16"/>
  <c r="T280" i="16"/>
  <c r="U280" i="16"/>
  <c r="V280" i="16"/>
  <c r="A281" i="16"/>
  <c r="B281" i="16"/>
  <c r="C281" i="16"/>
  <c r="D281" i="16"/>
  <c r="E281" i="16"/>
  <c r="F281" i="16"/>
  <c r="G281" i="16"/>
  <c r="H281" i="16"/>
  <c r="I281" i="16"/>
  <c r="J281" i="16"/>
  <c r="K281" i="16"/>
  <c r="L281" i="16"/>
  <c r="M281" i="16"/>
  <c r="N281" i="16"/>
  <c r="O281" i="16"/>
  <c r="P281" i="16"/>
  <c r="Q281" i="16"/>
  <c r="R281" i="16"/>
  <c r="S281" i="16"/>
  <c r="T281" i="16"/>
  <c r="U281" i="16"/>
  <c r="V281" i="16"/>
  <c r="A282" i="16"/>
  <c r="B282" i="16"/>
  <c r="C282" i="16"/>
  <c r="D282" i="16"/>
  <c r="E282" i="16"/>
  <c r="F282" i="16"/>
  <c r="G282" i="16"/>
  <c r="H282" i="16"/>
  <c r="I282" i="16"/>
  <c r="J282" i="16"/>
  <c r="K282" i="16"/>
  <c r="L282" i="16"/>
  <c r="M282" i="16"/>
  <c r="N282" i="16"/>
  <c r="O282" i="16"/>
  <c r="P282" i="16"/>
  <c r="Q282" i="16"/>
  <c r="R282" i="16"/>
  <c r="S282" i="16"/>
  <c r="T282" i="16"/>
  <c r="U282" i="16"/>
  <c r="V282" i="16"/>
  <c r="A283" i="16"/>
  <c r="B283" i="16"/>
  <c r="C283" i="16"/>
  <c r="D283" i="16"/>
  <c r="E283" i="16"/>
  <c r="F283" i="16"/>
  <c r="G283" i="16"/>
  <c r="H283" i="16"/>
  <c r="I283" i="16"/>
  <c r="J283" i="16"/>
  <c r="K283" i="16"/>
  <c r="L283" i="16"/>
  <c r="M283" i="16"/>
  <c r="N283" i="16"/>
  <c r="O283" i="16"/>
  <c r="P283" i="16"/>
  <c r="Q283" i="16"/>
  <c r="R283" i="16"/>
  <c r="S283" i="16"/>
  <c r="T283" i="16"/>
  <c r="U283" i="16"/>
  <c r="V283" i="16"/>
  <c r="A284" i="16"/>
  <c r="B284" i="16"/>
  <c r="C284" i="16"/>
  <c r="D284" i="16"/>
  <c r="E284" i="16"/>
  <c r="F284" i="16"/>
  <c r="G284" i="16"/>
  <c r="H284" i="16"/>
  <c r="I284" i="16"/>
  <c r="J284" i="16"/>
  <c r="K284" i="16"/>
  <c r="L284" i="16"/>
  <c r="M284" i="16"/>
  <c r="N284" i="16"/>
  <c r="O284" i="16"/>
  <c r="P284" i="16"/>
  <c r="Q284" i="16"/>
  <c r="R284" i="16"/>
  <c r="S284" i="16"/>
  <c r="T284" i="16"/>
  <c r="U284" i="16"/>
  <c r="V284" i="16"/>
  <c r="A285" i="16"/>
  <c r="B285" i="16"/>
  <c r="C285" i="16"/>
  <c r="D285" i="16"/>
  <c r="E285" i="16"/>
  <c r="F285" i="16"/>
  <c r="G285" i="16"/>
  <c r="H285" i="16"/>
  <c r="I285" i="16"/>
  <c r="J285" i="16"/>
  <c r="K285" i="16"/>
  <c r="L285" i="16"/>
  <c r="M285" i="16"/>
  <c r="N285" i="16"/>
  <c r="O285" i="16"/>
  <c r="P285" i="16"/>
  <c r="Q285" i="16"/>
  <c r="R285" i="16"/>
  <c r="S285" i="16"/>
  <c r="T285" i="16"/>
  <c r="U285" i="16"/>
  <c r="V285" i="16"/>
  <c r="A286" i="16"/>
  <c r="B286" i="16"/>
  <c r="C286" i="16"/>
  <c r="D286" i="16"/>
  <c r="E286" i="16"/>
  <c r="F286" i="16"/>
  <c r="G286" i="16"/>
  <c r="H286" i="16"/>
  <c r="I286" i="16"/>
  <c r="J286" i="16"/>
  <c r="K286" i="16"/>
  <c r="L286" i="16"/>
  <c r="M286" i="16"/>
  <c r="N286" i="16"/>
  <c r="O286" i="16"/>
  <c r="P286" i="16"/>
  <c r="Q286" i="16"/>
  <c r="R286" i="16"/>
  <c r="S286" i="16"/>
  <c r="T286" i="16"/>
  <c r="U286" i="16"/>
  <c r="V286" i="16"/>
  <c r="A287" i="16"/>
  <c r="B287" i="16"/>
  <c r="C287" i="16"/>
  <c r="D287" i="16"/>
  <c r="E287" i="16"/>
  <c r="F287" i="16"/>
  <c r="G287" i="16"/>
  <c r="H287" i="16"/>
  <c r="I287" i="16"/>
  <c r="J287" i="16"/>
  <c r="K287" i="16"/>
  <c r="L287" i="16"/>
  <c r="M287" i="16"/>
  <c r="N287" i="16"/>
  <c r="O287" i="16"/>
  <c r="P287" i="16"/>
  <c r="Q287" i="16"/>
  <c r="R287" i="16"/>
  <c r="S287" i="16"/>
  <c r="T287" i="16"/>
  <c r="U287" i="16"/>
  <c r="V287" i="16"/>
  <c r="A288" i="16"/>
  <c r="B288" i="16"/>
  <c r="C288" i="16"/>
  <c r="D288" i="16"/>
  <c r="E288" i="16"/>
  <c r="F288" i="16"/>
  <c r="G288" i="16"/>
  <c r="H288" i="16"/>
  <c r="I288" i="16"/>
  <c r="J288" i="16"/>
  <c r="K288" i="16"/>
  <c r="L288" i="16"/>
  <c r="M288" i="16"/>
  <c r="N288" i="16"/>
  <c r="O288" i="16"/>
  <c r="P288" i="16"/>
  <c r="Q288" i="16"/>
  <c r="R288" i="16"/>
  <c r="S288" i="16"/>
  <c r="T288" i="16"/>
  <c r="U288" i="16"/>
  <c r="V288" i="16"/>
  <c r="A289" i="16"/>
  <c r="B289" i="16"/>
  <c r="C289" i="16"/>
  <c r="D289" i="16"/>
  <c r="E289" i="16"/>
  <c r="F289" i="16"/>
  <c r="G289" i="16"/>
  <c r="H289" i="16"/>
  <c r="I289" i="16"/>
  <c r="J289" i="16"/>
  <c r="K289" i="16"/>
  <c r="L289" i="16"/>
  <c r="M289" i="16"/>
  <c r="N289" i="16"/>
  <c r="O289" i="16"/>
  <c r="P289" i="16"/>
  <c r="Q289" i="16"/>
  <c r="R289" i="16"/>
  <c r="S289" i="16"/>
  <c r="T289" i="16"/>
  <c r="U289" i="16"/>
  <c r="V289" i="16"/>
  <c r="A290" i="16"/>
  <c r="B290" i="16"/>
  <c r="C290" i="16"/>
  <c r="D290" i="16"/>
  <c r="E290" i="16"/>
  <c r="F290" i="16"/>
  <c r="G290" i="16"/>
  <c r="H290" i="16"/>
  <c r="I290" i="16"/>
  <c r="J290" i="16"/>
  <c r="K290" i="16"/>
  <c r="L290" i="16"/>
  <c r="M290" i="16"/>
  <c r="N290" i="16"/>
  <c r="O290" i="16"/>
  <c r="P290" i="16"/>
  <c r="Q290" i="16"/>
  <c r="R290" i="16"/>
  <c r="S290" i="16"/>
  <c r="T290" i="16"/>
  <c r="U290" i="16"/>
  <c r="V290" i="16"/>
  <c r="A291" i="16"/>
  <c r="B291" i="16"/>
  <c r="C291" i="16"/>
  <c r="D291" i="16"/>
  <c r="E291" i="16"/>
  <c r="F291" i="16"/>
  <c r="G291" i="16"/>
  <c r="H291" i="16"/>
  <c r="I291" i="16"/>
  <c r="J291" i="16"/>
  <c r="K291" i="16"/>
  <c r="L291" i="16"/>
  <c r="M291" i="16"/>
  <c r="N291" i="16"/>
  <c r="O291" i="16"/>
  <c r="P291" i="16"/>
  <c r="Q291" i="16"/>
  <c r="R291" i="16"/>
  <c r="S291" i="16"/>
  <c r="T291" i="16"/>
  <c r="U291" i="16"/>
  <c r="V291" i="16"/>
  <c r="A292" i="16"/>
  <c r="B292" i="16"/>
  <c r="C292" i="16"/>
  <c r="D292" i="16"/>
  <c r="E292" i="16"/>
  <c r="F292" i="16"/>
  <c r="G292" i="16"/>
  <c r="H292" i="16"/>
  <c r="I292" i="16"/>
  <c r="J292" i="16"/>
  <c r="K292" i="16"/>
  <c r="L292" i="16"/>
  <c r="M292" i="16"/>
  <c r="N292" i="16"/>
  <c r="O292" i="16"/>
  <c r="P292" i="16"/>
  <c r="Q292" i="16"/>
  <c r="R292" i="16"/>
  <c r="S292" i="16"/>
  <c r="T292" i="16"/>
  <c r="U292" i="16"/>
  <c r="V292" i="16"/>
  <c r="A293" i="16"/>
  <c r="B293" i="16"/>
  <c r="C293" i="16"/>
  <c r="D293" i="16"/>
  <c r="E293" i="16"/>
  <c r="F293" i="16"/>
  <c r="G293" i="16"/>
  <c r="H293" i="16"/>
  <c r="I293" i="16"/>
  <c r="J293" i="16"/>
  <c r="K293" i="16"/>
  <c r="L293" i="16"/>
  <c r="M293" i="16"/>
  <c r="N293" i="16"/>
  <c r="O293" i="16"/>
  <c r="P293" i="16"/>
  <c r="Q293" i="16"/>
  <c r="R293" i="16"/>
  <c r="S293" i="16"/>
  <c r="T293" i="16"/>
  <c r="U293" i="16"/>
  <c r="V293" i="16"/>
  <c r="A294" i="16"/>
  <c r="B294" i="16"/>
  <c r="C294" i="16"/>
  <c r="D294" i="16"/>
  <c r="E294" i="16"/>
  <c r="F294" i="16"/>
  <c r="G294" i="16"/>
  <c r="H294" i="16"/>
  <c r="I294" i="16"/>
  <c r="J294" i="16"/>
  <c r="K294" i="16"/>
  <c r="L294" i="16"/>
  <c r="M294" i="16"/>
  <c r="N294" i="16"/>
  <c r="O294" i="16"/>
  <c r="P294" i="16"/>
  <c r="Q294" i="16"/>
  <c r="R294" i="16"/>
  <c r="S294" i="16"/>
  <c r="T294" i="16"/>
  <c r="U294" i="16"/>
  <c r="V294" i="16"/>
  <c r="A295" i="16"/>
  <c r="B295" i="16"/>
  <c r="C295" i="16"/>
  <c r="D295" i="16"/>
  <c r="E295" i="16"/>
  <c r="F295" i="16"/>
  <c r="G295" i="16"/>
  <c r="H295" i="16"/>
  <c r="I295" i="16"/>
  <c r="J295" i="16"/>
  <c r="K295" i="16"/>
  <c r="L295" i="16"/>
  <c r="M295" i="16"/>
  <c r="N295" i="16"/>
  <c r="O295" i="16"/>
  <c r="P295" i="16"/>
  <c r="Q295" i="16"/>
  <c r="R295" i="16"/>
  <c r="S295" i="16"/>
  <c r="T295" i="16"/>
  <c r="U295" i="16"/>
  <c r="V295" i="16"/>
  <c r="A296" i="16"/>
  <c r="B296" i="16"/>
  <c r="C296" i="16"/>
  <c r="D296" i="16"/>
  <c r="E296" i="16"/>
  <c r="F296" i="16"/>
  <c r="G296" i="16"/>
  <c r="H296" i="16"/>
  <c r="I296" i="16"/>
  <c r="J296" i="16"/>
  <c r="K296" i="16"/>
  <c r="L296" i="16"/>
  <c r="M296" i="16"/>
  <c r="N296" i="16"/>
  <c r="O296" i="16"/>
  <c r="P296" i="16"/>
  <c r="Q296" i="16"/>
  <c r="R296" i="16"/>
  <c r="S296" i="16"/>
  <c r="T296" i="16"/>
  <c r="U296" i="16"/>
  <c r="V296" i="16"/>
  <c r="A297" i="16"/>
  <c r="B297" i="16"/>
  <c r="C297" i="16"/>
  <c r="D297" i="16"/>
  <c r="E297" i="16"/>
  <c r="F297" i="16"/>
  <c r="G297" i="16"/>
  <c r="H297" i="16"/>
  <c r="I297" i="16"/>
  <c r="J297" i="16"/>
  <c r="K297" i="16"/>
  <c r="L297" i="16"/>
  <c r="M297" i="16"/>
  <c r="N297" i="16"/>
  <c r="O297" i="16"/>
  <c r="P297" i="16"/>
  <c r="Q297" i="16"/>
  <c r="R297" i="16"/>
  <c r="S297" i="16"/>
  <c r="T297" i="16"/>
  <c r="U297" i="16"/>
  <c r="V297" i="16"/>
  <c r="A298" i="16"/>
  <c r="B298" i="16"/>
  <c r="C298" i="16"/>
  <c r="D298" i="16"/>
  <c r="E298" i="16"/>
  <c r="F298" i="16"/>
  <c r="G298" i="16"/>
  <c r="H298" i="16"/>
  <c r="I298" i="16"/>
  <c r="J298" i="16"/>
  <c r="K298" i="16"/>
  <c r="L298" i="16"/>
  <c r="M298" i="16"/>
  <c r="N298" i="16"/>
  <c r="O298" i="16"/>
  <c r="P298" i="16"/>
  <c r="Q298" i="16"/>
  <c r="R298" i="16"/>
  <c r="S298" i="16"/>
  <c r="T298" i="16"/>
  <c r="U298" i="16"/>
  <c r="V298" i="16"/>
  <c r="A299" i="16"/>
  <c r="B299" i="16"/>
  <c r="C299" i="16"/>
  <c r="D299" i="16"/>
  <c r="E299" i="16"/>
  <c r="F299" i="16"/>
  <c r="G299" i="16"/>
  <c r="H299" i="16"/>
  <c r="I299" i="16"/>
  <c r="J299" i="16"/>
  <c r="K299" i="16"/>
  <c r="L299" i="16"/>
  <c r="M299" i="16"/>
  <c r="N299" i="16"/>
  <c r="O299" i="16"/>
  <c r="P299" i="16"/>
  <c r="Q299" i="16"/>
  <c r="R299" i="16"/>
  <c r="S299" i="16"/>
  <c r="T299" i="16"/>
  <c r="U299" i="16"/>
  <c r="V299" i="16"/>
  <c r="A300" i="16"/>
  <c r="B300" i="16"/>
  <c r="C300" i="16"/>
  <c r="D300" i="16"/>
  <c r="E300" i="16"/>
  <c r="F300" i="16"/>
  <c r="G300" i="16"/>
  <c r="H300" i="16"/>
  <c r="I300" i="16"/>
  <c r="J300" i="16"/>
  <c r="K300" i="16"/>
  <c r="L300" i="16"/>
  <c r="M300" i="16"/>
  <c r="N300" i="16"/>
  <c r="O300" i="16"/>
  <c r="P300" i="16"/>
  <c r="Q300" i="16"/>
  <c r="R300" i="16"/>
  <c r="S300" i="16"/>
  <c r="T300" i="16"/>
  <c r="U300" i="16"/>
  <c r="V300" i="16"/>
  <c r="A301" i="16"/>
  <c r="B301" i="16"/>
  <c r="C301" i="16"/>
  <c r="D301" i="16"/>
  <c r="E301" i="16"/>
  <c r="F301" i="16"/>
  <c r="G301" i="16"/>
  <c r="H301" i="16"/>
  <c r="I301" i="16"/>
  <c r="J301" i="16"/>
  <c r="K301" i="16"/>
  <c r="L301" i="16"/>
  <c r="M301" i="16"/>
  <c r="N301" i="16"/>
  <c r="O301" i="16"/>
  <c r="P301" i="16"/>
  <c r="Q301" i="16"/>
  <c r="R301" i="16"/>
  <c r="S301" i="16"/>
  <c r="T301" i="16"/>
  <c r="U301" i="16"/>
  <c r="V301" i="16"/>
  <c r="A302" i="16"/>
  <c r="B302" i="16"/>
  <c r="C302" i="16"/>
  <c r="D302" i="16"/>
  <c r="E302" i="16"/>
  <c r="F302" i="16"/>
  <c r="G302" i="16"/>
  <c r="H302" i="16"/>
  <c r="I302" i="16"/>
  <c r="J302" i="16"/>
  <c r="K302" i="16"/>
  <c r="L302" i="16"/>
  <c r="M302" i="16"/>
  <c r="N302" i="16"/>
  <c r="O302" i="16"/>
  <c r="P302" i="16"/>
  <c r="Q302" i="16"/>
  <c r="R302" i="16"/>
  <c r="S302" i="16"/>
  <c r="T302" i="16"/>
  <c r="U302" i="16"/>
  <c r="V302" i="16"/>
  <c r="A303" i="16"/>
  <c r="B303" i="16"/>
  <c r="C303" i="16"/>
  <c r="D303" i="16"/>
  <c r="E303" i="16"/>
  <c r="F303" i="16"/>
  <c r="G303" i="16"/>
  <c r="H303" i="16"/>
  <c r="I303" i="16"/>
  <c r="J303" i="16"/>
  <c r="K303" i="16"/>
  <c r="L303" i="16"/>
  <c r="M303" i="16"/>
  <c r="N303" i="16"/>
  <c r="O303" i="16"/>
  <c r="P303" i="16"/>
  <c r="Q303" i="16"/>
  <c r="R303" i="16"/>
  <c r="S303" i="16"/>
  <c r="T303" i="16"/>
  <c r="U303" i="16"/>
  <c r="V303" i="16"/>
  <c r="A304" i="16"/>
  <c r="B304" i="16"/>
  <c r="C304" i="16"/>
  <c r="D304" i="16"/>
  <c r="E304" i="16"/>
  <c r="F304" i="16"/>
  <c r="G304" i="16"/>
  <c r="H304" i="16"/>
  <c r="I304" i="16"/>
  <c r="J304" i="16"/>
  <c r="K304" i="16"/>
  <c r="L304" i="16"/>
  <c r="M304" i="16"/>
  <c r="N304" i="16"/>
  <c r="O304" i="16"/>
  <c r="P304" i="16"/>
  <c r="Q304" i="16"/>
  <c r="R304" i="16"/>
  <c r="S304" i="16"/>
  <c r="T304" i="16"/>
  <c r="U304" i="16"/>
  <c r="V304" i="16"/>
  <c r="A305" i="16"/>
  <c r="B305" i="16"/>
  <c r="C305" i="16"/>
  <c r="D305" i="16"/>
  <c r="E305" i="16"/>
  <c r="F305" i="16"/>
  <c r="G305" i="16"/>
  <c r="H305" i="16"/>
  <c r="I305" i="16"/>
  <c r="J305" i="16"/>
  <c r="K305" i="16"/>
  <c r="L305" i="16"/>
  <c r="M305" i="16"/>
  <c r="N305" i="16"/>
  <c r="O305" i="16"/>
  <c r="P305" i="16"/>
  <c r="Q305" i="16"/>
  <c r="R305" i="16"/>
  <c r="S305" i="16"/>
  <c r="T305" i="16"/>
  <c r="U305" i="16"/>
  <c r="V305" i="16"/>
  <c r="A306" i="16"/>
  <c r="B306" i="16"/>
  <c r="C306" i="16"/>
  <c r="D306" i="16"/>
  <c r="E306" i="16"/>
  <c r="F306" i="16"/>
  <c r="G306" i="16"/>
  <c r="H306" i="16"/>
  <c r="I306" i="16"/>
  <c r="J306" i="16"/>
  <c r="K306" i="16"/>
  <c r="L306" i="16"/>
  <c r="M306" i="16"/>
  <c r="N306" i="16"/>
  <c r="O306" i="16"/>
  <c r="P306" i="16"/>
  <c r="Q306" i="16"/>
  <c r="R306" i="16"/>
  <c r="S306" i="16"/>
  <c r="T306" i="16"/>
  <c r="U306" i="16"/>
  <c r="V306" i="16"/>
  <c r="A307" i="16"/>
  <c r="B307" i="16"/>
  <c r="C307" i="16"/>
  <c r="D307" i="16"/>
  <c r="E307" i="16"/>
  <c r="F307" i="16"/>
  <c r="G307" i="16"/>
  <c r="H307" i="16"/>
  <c r="I307" i="16"/>
  <c r="J307" i="16"/>
  <c r="K307" i="16"/>
  <c r="L307" i="16"/>
  <c r="M307" i="16"/>
  <c r="N307" i="16"/>
  <c r="O307" i="16"/>
  <c r="P307" i="16"/>
  <c r="Q307" i="16"/>
  <c r="R307" i="16"/>
  <c r="S307" i="16"/>
  <c r="T307" i="16"/>
  <c r="U307" i="16"/>
  <c r="V307" i="16"/>
  <c r="A308" i="16"/>
  <c r="B308" i="16"/>
  <c r="C308" i="16"/>
  <c r="D308" i="16"/>
  <c r="E308" i="16"/>
  <c r="F308" i="16"/>
  <c r="G308" i="16"/>
  <c r="H308" i="16"/>
  <c r="I308" i="16"/>
  <c r="J308" i="16"/>
  <c r="K308" i="16"/>
  <c r="L308" i="16"/>
  <c r="M308" i="16"/>
  <c r="N308" i="16"/>
  <c r="O308" i="16"/>
  <c r="P308" i="16"/>
  <c r="Q308" i="16"/>
  <c r="R308" i="16"/>
  <c r="S308" i="16"/>
  <c r="T308" i="16"/>
  <c r="U308" i="16"/>
  <c r="V308" i="16"/>
  <c r="A309" i="16"/>
  <c r="B309" i="16"/>
  <c r="C309" i="16"/>
  <c r="D309" i="16"/>
  <c r="E309" i="16"/>
  <c r="F309" i="16"/>
  <c r="G309" i="16"/>
  <c r="H309" i="16"/>
  <c r="I309" i="16"/>
  <c r="J309" i="16"/>
  <c r="K309" i="16"/>
  <c r="L309" i="16"/>
  <c r="M309" i="16"/>
  <c r="N309" i="16"/>
  <c r="O309" i="16"/>
  <c r="P309" i="16"/>
  <c r="Q309" i="16"/>
  <c r="R309" i="16"/>
  <c r="S309" i="16"/>
  <c r="T309" i="16"/>
  <c r="U309" i="16"/>
  <c r="V309" i="16"/>
  <c r="A310" i="16"/>
  <c r="B310" i="16"/>
  <c r="C310" i="16"/>
  <c r="D310" i="16"/>
  <c r="E310" i="16"/>
  <c r="F310" i="16"/>
  <c r="G310" i="16"/>
  <c r="H310" i="16"/>
  <c r="I310" i="16"/>
  <c r="J310" i="16"/>
  <c r="K310" i="16"/>
  <c r="L310" i="16"/>
  <c r="M310" i="16"/>
  <c r="N310" i="16"/>
  <c r="O310" i="16"/>
  <c r="P310" i="16"/>
  <c r="Q310" i="16"/>
  <c r="R310" i="16"/>
  <c r="S310" i="16"/>
  <c r="T310" i="16"/>
  <c r="U310" i="16"/>
  <c r="V310" i="16"/>
  <c r="A311" i="16"/>
  <c r="B311" i="16"/>
  <c r="C311" i="16"/>
  <c r="D311" i="16"/>
  <c r="E311" i="16"/>
  <c r="F311" i="16"/>
  <c r="G311" i="16"/>
  <c r="H311" i="16"/>
  <c r="I311" i="16"/>
  <c r="J311" i="16"/>
  <c r="K311" i="16"/>
  <c r="L311" i="16"/>
  <c r="M311" i="16"/>
  <c r="N311" i="16"/>
  <c r="O311" i="16"/>
  <c r="P311" i="16"/>
  <c r="Q311" i="16"/>
  <c r="R311" i="16"/>
  <c r="S311" i="16"/>
  <c r="T311" i="16"/>
  <c r="U311" i="16"/>
  <c r="V311" i="16"/>
  <c r="A312" i="16"/>
  <c r="B312" i="16"/>
  <c r="C312" i="16"/>
  <c r="D312" i="16"/>
  <c r="E312" i="16"/>
  <c r="F312" i="16"/>
  <c r="G312" i="16"/>
  <c r="H312" i="16"/>
  <c r="I312" i="16"/>
  <c r="J312" i="16"/>
  <c r="K312" i="16"/>
  <c r="L312" i="16"/>
  <c r="M312" i="16"/>
  <c r="N312" i="16"/>
  <c r="O312" i="16"/>
  <c r="P312" i="16"/>
  <c r="Q312" i="16"/>
  <c r="R312" i="16"/>
  <c r="S312" i="16"/>
  <c r="T312" i="16"/>
  <c r="U312" i="16"/>
  <c r="V312" i="16"/>
  <c r="A313" i="16"/>
  <c r="B313" i="16"/>
  <c r="C313" i="16"/>
  <c r="D313" i="16"/>
  <c r="E313" i="16"/>
  <c r="F313" i="16"/>
  <c r="G313" i="16"/>
  <c r="H313" i="16"/>
  <c r="I313" i="16"/>
  <c r="J313" i="16"/>
  <c r="K313" i="16"/>
  <c r="L313" i="16"/>
  <c r="M313" i="16"/>
  <c r="N313" i="16"/>
  <c r="O313" i="16"/>
  <c r="P313" i="16"/>
  <c r="Q313" i="16"/>
  <c r="R313" i="16"/>
  <c r="S313" i="16"/>
  <c r="T313" i="16"/>
  <c r="U313" i="16"/>
  <c r="V313" i="16"/>
  <c r="A314" i="16"/>
  <c r="B314" i="16"/>
  <c r="C314" i="16"/>
  <c r="D314" i="16"/>
  <c r="E314" i="16"/>
  <c r="F314" i="16"/>
  <c r="G314" i="16"/>
  <c r="H314" i="16"/>
  <c r="I314" i="16"/>
  <c r="J314" i="16"/>
  <c r="K314" i="16"/>
  <c r="L314" i="16"/>
  <c r="M314" i="16"/>
  <c r="N314" i="16"/>
  <c r="O314" i="16"/>
  <c r="P314" i="16"/>
  <c r="Q314" i="16"/>
  <c r="R314" i="16"/>
  <c r="S314" i="16"/>
  <c r="T314" i="16"/>
  <c r="U314" i="16"/>
  <c r="V314" i="16"/>
  <c r="A315" i="16"/>
  <c r="B315" i="16"/>
  <c r="C315" i="16"/>
  <c r="D315" i="16"/>
  <c r="E315" i="16"/>
  <c r="F315" i="16"/>
  <c r="G315" i="16"/>
  <c r="H315" i="16"/>
  <c r="I315" i="16"/>
  <c r="J315" i="16"/>
  <c r="K315" i="16"/>
  <c r="L315" i="16"/>
  <c r="M315" i="16"/>
  <c r="N315" i="16"/>
  <c r="O315" i="16"/>
  <c r="P315" i="16"/>
  <c r="Q315" i="16"/>
  <c r="R315" i="16"/>
  <c r="S315" i="16"/>
  <c r="T315" i="16"/>
  <c r="U315" i="16"/>
  <c r="V315" i="16"/>
  <c r="A316" i="16"/>
  <c r="B316" i="16"/>
  <c r="C316" i="16"/>
  <c r="D316" i="16"/>
  <c r="E316" i="16"/>
  <c r="F316" i="16"/>
  <c r="G316" i="16"/>
  <c r="H316" i="16"/>
  <c r="I316" i="16"/>
  <c r="J316" i="16"/>
  <c r="K316" i="16"/>
  <c r="L316" i="16"/>
  <c r="M316" i="16"/>
  <c r="N316" i="16"/>
  <c r="O316" i="16"/>
  <c r="P316" i="16"/>
  <c r="Q316" i="16"/>
  <c r="R316" i="16"/>
  <c r="S316" i="16"/>
  <c r="T316" i="16"/>
  <c r="U316" i="16"/>
  <c r="V316" i="16"/>
  <c r="A317" i="16"/>
  <c r="B317" i="16"/>
  <c r="C317" i="16"/>
  <c r="D317" i="16"/>
  <c r="E317" i="16"/>
  <c r="F317" i="16"/>
  <c r="G317" i="16"/>
  <c r="H317" i="16"/>
  <c r="I317" i="16"/>
  <c r="J317" i="16"/>
  <c r="K317" i="16"/>
  <c r="L317" i="16"/>
  <c r="M317" i="16"/>
  <c r="N317" i="16"/>
  <c r="O317" i="16"/>
  <c r="P317" i="16"/>
  <c r="Q317" i="16"/>
  <c r="R317" i="16"/>
  <c r="S317" i="16"/>
  <c r="T317" i="16"/>
  <c r="U317" i="16"/>
  <c r="V317" i="16"/>
  <c r="A318" i="16"/>
  <c r="B318" i="16"/>
  <c r="C318" i="16"/>
  <c r="D318" i="16"/>
  <c r="E318" i="16"/>
  <c r="F318" i="16"/>
  <c r="G318" i="16"/>
  <c r="H318" i="16"/>
  <c r="I318" i="16"/>
  <c r="J318" i="16"/>
  <c r="K318" i="16"/>
  <c r="L318" i="16"/>
  <c r="M318" i="16"/>
  <c r="N318" i="16"/>
  <c r="O318" i="16"/>
  <c r="P318" i="16"/>
  <c r="Q318" i="16"/>
  <c r="R318" i="16"/>
  <c r="S318" i="16"/>
  <c r="T318" i="16"/>
  <c r="U318" i="16"/>
  <c r="V318" i="16"/>
  <c r="A319" i="16"/>
  <c r="B319" i="16"/>
  <c r="C319" i="16"/>
  <c r="D319" i="16"/>
  <c r="E319" i="16"/>
  <c r="F319" i="16"/>
  <c r="G319" i="16"/>
  <c r="H319" i="16"/>
  <c r="I319" i="16"/>
  <c r="J319" i="16"/>
  <c r="K319" i="16"/>
  <c r="L319" i="16"/>
  <c r="M319" i="16"/>
  <c r="N319" i="16"/>
  <c r="O319" i="16"/>
  <c r="P319" i="16"/>
  <c r="Q319" i="16"/>
  <c r="R319" i="16"/>
  <c r="S319" i="16"/>
  <c r="T319" i="16"/>
  <c r="U319" i="16"/>
  <c r="V319" i="16"/>
  <c r="A320" i="16"/>
  <c r="B320" i="16"/>
  <c r="C320" i="16"/>
  <c r="D320" i="16"/>
  <c r="E320" i="16"/>
  <c r="F320" i="16"/>
  <c r="G320" i="16"/>
  <c r="H320" i="16"/>
  <c r="I320" i="16"/>
  <c r="J320" i="16"/>
  <c r="K320" i="16"/>
  <c r="L320" i="16"/>
  <c r="M320" i="16"/>
  <c r="N320" i="16"/>
  <c r="O320" i="16"/>
  <c r="P320" i="16"/>
  <c r="Q320" i="16"/>
  <c r="R320" i="16"/>
  <c r="S320" i="16"/>
  <c r="T320" i="16"/>
  <c r="U320" i="16"/>
  <c r="V320" i="16"/>
  <c r="A321" i="16"/>
  <c r="B321" i="16"/>
  <c r="C321" i="16"/>
  <c r="D321" i="16"/>
  <c r="E321" i="16"/>
  <c r="F321" i="16"/>
  <c r="G321" i="16"/>
  <c r="H321" i="16"/>
  <c r="I321" i="16"/>
  <c r="J321" i="16"/>
  <c r="K321" i="16"/>
  <c r="L321" i="16"/>
  <c r="M321" i="16"/>
  <c r="N321" i="16"/>
  <c r="O321" i="16"/>
  <c r="P321" i="16"/>
  <c r="Q321" i="16"/>
  <c r="R321" i="16"/>
  <c r="S321" i="16"/>
  <c r="T321" i="16"/>
  <c r="U321" i="16"/>
  <c r="V321" i="16"/>
  <c r="A322" i="16"/>
  <c r="B322" i="16"/>
  <c r="C322" i="16"/>
  <c r="D322" i="16"/>
  <c r="E322" i="16"/>
  <c r="F322" i="16"/>
  <c r="G322" i="16"/>
  <c r="H322" i="16"/>
  <c r="I322" i="16"/>
  <c r="J322" i="16"/>
  <c r="K322" i="16"/>
  <c r="L322" i="16"/>
  <c r="M322" i="16"/>
  <c r="N322" i="16"/>
  <c r="O322" i="16"/>
  <c r="P322" i="16"/>
  <c r="Q322" i="16"/>
  <c r="R322" i="16"/>
  <c r="S322" i="16"/>
  <c r="T322" i="16"/>
  <c r="U322" i="16"/>
  <c r="V322" i="16"/>
  <c r="A323" i="16"/>
  <c r="B323" i="16"/>
  <c r="C323" i="16"/>
  <c r="D323" i="16"/>
  <c r="E323" i="16"/>
  <c r="F323" i="16"/>
  <c r="G323" i="16"/>
  <c r="H323" i="16"/>
  <c r="I323" i="16"/>
  <c r="J323" i="16"/>
  <c r="K323" i="16"/>
  <c r="L323" i="16"/>
  <c r="M323" i="16"/>
  <c r="N323" i="16"/>
  <c r="O323" i="16"/>
  <c r="P323" i="16"/>
  <c r="Q323" i="16"/>
  <c r="R323" i="16"/>
  <c r="S323" i="16"/>
  <c r="T323" i="16"/>
  <c r="U323" i="16"/>
  <c r="V323" i="16"/>
  <c r="A324" i="16"/>
  <c r="B324" i="16"/>
  <c r="C324" i="16"/>
  <c r="D324" i="16"/>
  <c r="E324" i="16"/>
  <c r="F324" i="16"/>
  <c r="G324" i="16"/>
  <c r="H324" i="16"/>
  <c r="I324" i="16"/>
  <c r="J324" i="16"/>
  <c r="K324" i="16"/>
  <c r="L324" i="16"/>
  <c r="M324" i="16"/>
  <c r="N324" i="16"/>
  <c r="O324" i="16"/>
  <c r="P324" i="16"/>
  <c r="Q324" i="16"/>
  <c r="R324" i="16"/>
  <c r="S324" i="16"/>
  <c r="T324" i="16"/>
  <c r="U324" i="16"/>
  <c r="V324" i="16"/>
  <c r="A325" i="16"/>
  <c r="B325" i="16"/>
  <c r="C325" i="16"/>
  <c r="D325" i="16"/>
  <c r="E325" i="16"/>
  <c r="F325" i="16"/>
  <c r="G325" i="16"/>
  <c r="H325" i="16"/>
  <c r="I325" i="16"/>
  <c r="J325" i="16"/>
  <c r="K325" i="16"/>
  <c r="L325" i="16"/>
  <c r="M325" i="16"/>
  <c r="N325" i="16"/>
  <c r="O325" i="16"/>
  <c r="P325" i="16"/>
  <c r="Q325" i="16"/>
  <c r="R325" i="16"/>
  <c r="S325" i="16"/>
  <c r="T325" i="16"/>
  <c r="U325" i="16"/>
  <c r="V325" i="16"/>
  <c r="A326" i="16"/>
  <c r="B326" i="16"/>
  <c r="C326" i="16"/>
  <c r="D326" i="16"/>
  <c r="E326" i="16"/>
  <c r="F326" i="16"/>
  <c r="G326" i="16"/>
  <c r="H326" i="16"/>
  <c r="I326" i="16"/>
  <c r="J326" i="16"/>
  <c r="K326" i="16"/>
  <c r="L326" i="16"/>
  <c r="M326" i="16"/>
  <c r="N326" i="16"/>
  <c r="O326" i="16"/>
  <c r="P326" i="16"/>
  <c r="Q326" i="16"/>
  <c r="R326" i="16"/>
  <c r="S326" i="16"/>
  <c r="T326" i="16"/>
  <c r="U326" i="16"/>
  <c r="V326" i="16"/>
  <c r="A327" i="16"/>
  <c r="B327" i="16"/>
  <c r="C327" i="16"/>
  <c r="D327" i="16"/>
  <c r="E327" i="16"/>
  <c r="F327" i="16"/>
  <c r="G327" i="16"/>
  <c r="H327" i="16"/>
  <c r="I327" i="16"/>
  <c r="J327" i="16"/>
  <c r="K327" i="16"/>
  <c r="L327" i="16"/>
  <c r="M327" i="16"/>
  <c r="N327" i="16"/>
  <c r="O327" i="16"/>
  <c r="P327" i="16"/>
  <c r="Q327" i="16"/>
  <c r="R327" i="16"/>
  <c r="S327" i="16"/>
  <c r="T327" i="16"/>
  <c r="U327" i="16"/>
  <c r="V327" i="16"/>
  <c r="A328" i="16"/>
  <c r="B328" i="16"/>
  <c r="C328" i="16"/>
  <c r="D328" i="16"/>
  <c r="E328" i="16"/>
  <c r="F328" i="16"/>
  <c r="G328" i="16"/>
  <c r="H328" i="16"/>
  <c r="I328" i="16"/>
  <c r="J328" i="16"/>
  <c r="K328" i="16"/>
  <c r="L328" i="16"/>
  <c r="M328" i="16"/>
  <c r="N328" i="16"/>
  <c r="O328" i="16"/>
  <c r="P328" i="16"/>
  <c r="Q328" i="16"/>
  <c r="R328" i="16"/>
  <c r="S328" i="16"/>
  <c r="T328" i="16"/>
  <c r="U328" i="16"/>
  <c r="V328" i="16"/>
  <c r="A329" i="16"/>
  <c r="B329" i="16"/>
  <c r="C329" i="16"/>
  <c r="D329" i="16"/>
  <c r="E329" i="16"/>
  <c r="F329" i="16"/>
  <c r="G329" i="16"/>
  <c r="H329" i="16"/>
  <c r="I329" i="16"/>
  <c r="J329" i="16"/>
  <c r="K329" i="16"/>
  <c r="L329" i="16"/>
  <c r="M329" i="16"/>
  <c r="N329" i="16"/>
  <c r="O329" i="16"/>
  <c r="P329" i="16"/>
  <c r="Q329" i="16"/>
  <c r="R329" i="16"/>
  <c r="S329" i="16"/>
  <c r="T329" i="16"/>
  <c r="U329" i="16"/>
  <c r="V329" i="16"/>
  <c r="A330" i="16"/>
  <c r="B330" i="16"/>
  <c r="C330" i="16"/>
  <c r="D330" i="16"/>
  <c r="E330" i="16"/>
  <c r="F330" i="16"/>
  <c r="G330" i="16"/>
  <c r="H330" i="16"/>
  <c r="I330" i="16"/>
  <c r="J330" i="16"/>
  <c r="K330" i="16"/>
  <c r="L330" i="16"/>
  <c r="M330" i="16"/>
  <c r="N330" i="16"/>
  <c r="O330" i="16"/>
  <c r="P330" i="16"/>
  <c r="Q330" i="16"/>
  <c r="R330" i="16"/>
  <c r="S330" i="16"/>
  <c r="T330" i="16"/>
  <c r="U330" i="16"/>
  <c r="V330" i="16"/>
  <c r="A331" i="16"/>
  <c r="B331" i="16"/>
  <c r="C331" i="16"/>
  <c r="D331" i="16"/>
  <c r="E331" i="16"/>
  <c r="F331" i="16"/>
  <c r="G331" i="16"/>
  <c r="H331" i="16"/>
  <c r="I331" i="16"/>
  <c r="J331" i="16"/>
  <c r="K331" i="16"/>
  <c r="L331" i="16"/>
  <c r="M331" i="16"/>
  <c r="N331" i="16"/>
  <c r="O331" i="16"/>
  <c r="P331" i="16"/>
  <c r="Q331" i="16"/>
  <c r="R331" i="16"/>
  <c r="S331" i="16"/>
  <c r="T331" i="16"/>
  <c r="U331" i="16"/>
  <c r="V331" i="16"/>
  <c r="A332" i="16"/>
  <c r="B332" i="16"/>
  <c r="C332" i="16"/>
  <c r="D332" i="16"/>
  <c r="E332" i="16"/>
  <c r="F332" i="16"/>
  <c r="G332" i="16"/>
  <c r="H332" i="16"/>
  <c r="I332" i="16"/>
  <c r="J332" i="16"/>
  <c r="K332" i="16"/>
  <c r="L332" i="16"/>
  <c r="M332" i="16"/>
  <c r="N332" i="16"/>
  <c r="O332" i="16"/>
  <c r="P332" i="16"/>
  <c r="Q332" i="16"/>
  <c r="R332" i="16"/>
  <c r="S332" i="16"/>
  <c r="T332" i="16"/>
  <c r="U332" i="16"/>
  <c r="V332" i="16"/>
  <c r="A333" i="16"/>
  <c r="B333" i="16"/>
  <c r="C333" i="16"/>
  <c r="D333" i="16"/>
  <c r="E333" i="16"/>
  <c r="F333" i="16"/>
  <c r="G333" i="16"/>
  <c r="H333" i="16"/>
  <c r="I333" i="16"/>
  <c r="J333" i="16"/>
  <c r="K333" i="16"/>
  <c r="L333" i="16"/>
  <c r="M333" i="16"/>
  <c r="N333" i="16"/>
  <c r="O333" i="16"/>
  <c r="P333" i="16"/>
  <c r="Q333" i="16"/>
  <c r="R333" i="16"/>
  <c r="S333" i="16"/>
  <c r="T333" i="16"/>
  <c r="U333" i="16"/>
  <c r="V333" i="16"/>
  <c r="A334" i="16"/>
  <c r="B334" i="16"/>
  <c r="C334" i="16"/>
  <c r="D334" i="16"/>
  <c r="E334" i="16"/>
  <c r="F334" i="16"/>
  <c r="G334" i="16"/>
  <c r="H334" i="16"/>
  <c r="I334" i="16"/>
  <c r="J334" i="16"/>
  <c r="K334" i="16"/>
  <c r="L334" i="16"/>
  <c r="M334" i="16"/>
  <c r="N334" i="16"/>
  <c r="O334" i="16"/>
  <c r="P334" i="16"/>
  <c r="Q334" i="16"/>
  <c r="R334" i="16"/>
  <c r="S334" i="16"/>
  <c r="T334" i="16"/>
  <c r="U334" i="16"/>
  <c r="V334" i="16"/>
  <c r="A335" i="16"/>
  <c r="B335" i="16"/>
  <c r="C335" i="16"/>
  <c r="D335" i="16"/>
  <c r="E335" i="16"/>
  <c r="F335" i="16"/>
  <c r="G335" i="16"/>
  <c r="H335" i="16"/>
  <c r="I335" i="16"/>
  <c r="J335" i="16"/>
  <c r="K335" i="16"/>
  <c r="L335" i="16"/>
  <c r="M335" i="16"/>
  <c r="N335" i="16"/>
  <c r="O335" i="16"/>
  <c r="P335" i="16"/>
  <c r="Q335" i="16"/>
  <c r="R335" i="16"/>
  <c r="S335" i="16"/>
  <c r="T335" i="16"/>
  <c r="U335" i="16"/>
  <c r="V335" i="16"/>
  <c r="A336" i="16"/>
  <c r="B336" i="16"/>
  <c r="C336" i="16"/>
  <c r="D336" i="16"/>
  <c r="E336" i="16"/>
  <c r="F336" i="16"/>
  <c r="G336" i="16"/>
  <c r="H336" i="16"/>
  <c r="I336" i="16"/>
  <c r="J336" i="16"/>
  <c r="K336" i="16"/>
  <c r="L336" i="16"/>
  <c r="M336" i="16"/>
  <c r="N336" i="16"/>
  <c r="O336" i="16"/>
  <c r="P336" i="16"/>
  <c r="Q336" i="16"/>
  <c r="R336" i="16"/>
  <c r="S336" i="16"/>
  <c r="T336" i="16"/>
  <c r="U336" i="16"/>
  <c r="V336" i="16"/>
  <c r="A337" i="16"/>
  <c r="B337" i="16"/>
  <c r="C337" i="16"/>
  <c r="D337" i="16"/>
  <c r="E337" i="16"/>
  <c r="F337" i="16"/>
  <c r="G337" i="16"/>
  <c r="H337" i="16"/>
  <c r="I337" i="16"/>
  <c r="J337" i="16"/>
  <c r="K337" i="16"/>
  <c r="L337" i="16"/>
  <c r="M337" i="16"/>
  <c r="N337" i="16"/>
  <c r="O337" i="16"/>
  <c r="P337" i="16"/>
  <c r="Q337" i="16"/>
  <c r="R337" i="16"/>
  <c r="S337" i="16"/>
  <c r="T337" i="16"/>
  <c r="U337" i="16"/>
  <c r="V337" i="16"/>
  <c r="A338" i="16"/>
  <c r="B338" i="16"/>
  <c r="C338" i="16"/>
  <c r="D338" i="16"/>
  <c r="E338" i="16"/>
  <c r="F338" i="16"/>
  <c r="G338" i="16"/>
  <c r="H338" i="16"/>
  <c r="I338" i="16"/>
  <c r="J338" i="16"/>
  <c r="K338" i="16"/>
  <c r="L338" i="16"/>
  <c r="M338" i="16"/>
  <c r="N338" i="16"/>
  <c r="O338" i="16"/>
  <c r="P338" i="16"/>
  <c r="Q338" i="16"/>
  <c r="R338" i="16"/>
  <c r="S338" i="16"/>
  <c r="T338" i="16"/>
  <c r="U338" i="16"/>
  <c r="V338" i="16"/>
  <c r="A339" i="16"/>
  <c r="B339" i="16"/>
  <c r="C339" i="16"/>
  <c r="D339" i="16"/>
  <c r="E339" i="16"/>
  <c r="F339" i="16"/>
  <c r="G339" i="16"/>
  <c r="H339" i="16"/>
  <c r="I339" i="16"/>
  <c r="J339" i="16"/>
  <c r="K339" i="16"/>
  <c r="L339" i="16"/>
  <c r="M339" i="16"/>
  <c r="N339" i="16"/>
  <c r="O339" i="16"/>
  <c r="P339" i="16"/>
  <c r="Q339" i="16"/>
  <c r="R339" i="16"/>
  <c r="S339" i="16"/>
  <c r="T339" i="16"/>
  <c r="U339" i="16"/>
  <c r="V339" i="16"/>
  <c r="A340" i="16"/>
  <c r="B340" i="16"/>
  <c r="C340" i="16"/>
  <c r="D340" i="16"/>
  <c r="E340" i="16"/>
  <c r="F340" i="16"/>
  <c r="G340" i="16"/>
  <c r="H340" i="16"/>
  <c r="I340" i="16"/>
  <c r="J340" i="16"/>
  <c r="K340" i="16"/>
  <c r="L340" i="16"/>
  <c r="M340" i="16"/>
  <c r="N340" i="16"/>
  <c r="O340" i="16"/>
  <c r="P340" i="16"/>
  <c r="Q340" i="16"/>
  <c r="R340" i="16"/>
  <c r="S340" i="16"/>
  <c r="T340" i="16"/>
  <c r="U340" i="16"/>
  <c r="V340" i="16"/>
  <c r="A341" i="16"/>
  <c r="B341" i="16"/>
  <c r="C341" i="16"/>
  <c r="D341" i="16"/>
  <c r="E341" i="16"/>
  <c r="F341" i="16"/>
  <c r="G341" i="16"/>
  <c r="H341" i="16"/>
  <c r="I341" i="16"/>
  <c r="J341" i="16"/>
  <c r="K341" i="16"/>
  <c r="L341" i="16"/>
  <c r="M341" i="16"/>
  <c r="N341" i="16"/>
  <c r="O341" i="16"/>
  <c r="P341" i="16"/>
  <c r="Q341" i="16"/>
  <c r="R341" i="16"/>
  <c r="S341" i="16"/>
  <c r="T341" i="16"/>
  <c r="U341" i="16"/>
  <c r="V341" i="16"/>
  <c r="A342" i="16"/>
  <c r="B342" i="16"/>
  <c r="C342" i="16"/>
  <c r="D342" i="16"/>
  <c r="E342" i="16"/>
  <c r="F342" i="16"/>
  <c r="G342" i="16"/>
  <c r="H342" i="16"/>
  <c r="I342" i="16"/>
  <c r="J342" i="16"/>
  <c r="K342" i="16"/>
  <c r="L342" i="16"/>
  <c r="M342" i="16"/>
  <c r="N342" i="16"/>
  <c r="O342" i="16"/>
  <c r="P342" i="16"/>
  <c r="Q342" i="16"/>
  <c r="R342" i="16"/>
  <c r="S342" i="16"/>
  <c r="T342" i="16"/>
  <c r="U342" i="16"/>
  <c r="V342" i="16"/>
  <c r="A343" i="16"/>
  <c r="B343" i="16"/>
  <c r="C343" i="16"/>
  <c r="D343" i="16"/>
  <c r="E343" i="16"/>
  <c r="F343" i="16"/>
  <c r="G343" i="16"/>
  <c r="H343" i="16"/>
  <c r="I343" i="16"/>
  <c r="J343" i="16"/>
  <c r="K343" i="16"/>
  <c r="L343" i="16"/>
  <c r="M343" i="16"/>
  <c r="N343" i="16"/>
  <c r="O343" i="16"/>
  <c r="P343" i="16"/>
  <c r="Q343" i="16"/>
  <c r="R343" i="16"/>
  <c r="S343" i="16"/>
  <c r="T343" i="16"/>
  <c r="U343" i="16"/>
  <c r="V343" i="16"/>
  <c r="A344" i="16"/>
  <c r="B344" i="16"/>
  <c r="C344" i="16"/>
  <c r="D344" i="16"/>
  <c r="E344" i="16"/>
  <c r="F344" i="16"/>
  <c r="G344" i="16"/>
  <c r="H344" i="16"/>
  <c r="I344" i="16"/>
  <c r="J344" i="16"/>
  <c r="K344" i="16"/>
  <c r="L344" i="16"/>
  <c r="M344" i="16"/>
  <c r="N344" i="16"/>
  <c r="O344" i="16"/>
  <c r="P344" i="16"/>
  <c r="Q344" i="16"/>
  <c r="R344" i="16"/>
  <c r="S344" i="16"/>
  <c r="T344" i="16"/>
  <c r="U344" i="16"/>
  <c r="V344" i="16"/>
  <c r="A345" i="16"/>
  <c r="B345" i="16"/>
  <c r="C345" i="16"/>
  <c r="D345" i="16"/>
  <c r="E345" i="16"/>
  <c r="F345" i="16"/>
  <c r="G345" i="16"/>
  <c r="H345" i="16"/>
  <c r="I345" i="16"/>
  <c r="J345" i="16"/>
  <c r="K345" i="16"/>
  <c r="L345" i="16"/>
  <c r="M345" i="16"/>
  <c r="N345" i="16"/>
  <c r="O345" i="16"/>
  <c r="P345" i="16"/>
  <c r="Q345" i="16"/>
  <c r="R345" i="16"/>
  <c r="S345" i="16"/>
  <c r="T345" i="16"/>
  <c r="U345" i="16"/>
  <c r="V345" i="16"/>
  <c r="A346" i="16"/>
  <c r="B346" i="16"/>
  <c r="C346" i="16"/>
  <c r="D346" i="16"/>
  <c r="E346" i="16"/>
  <c r="F346" i="16"/>
  <c r="G346" i="16"/>
  <c r="H346" i="16"/>
  <c r="I346" i="16"/>
  <c r="J346" i="16"/>
  <c r="K346" i="16"/>
  <c r="L346" i="16"/>
  <c r="M346" i="16"/>
  <c r="N346" i="16"/>
  <c r="O346" i="16"/>
  <c r="P346" i="16"/>
  <c r="Q346" i="16"/>
  <c r="R346" i="16"/>
  <c r="S346" i="16"/>
  <c r="T346" i="16"/>
  <c r="U346" i="16"/>
  <c r="V346" i="16"/>
  <c r="A347" i="16"/>
  <c r="B347" i="16"/>
  <c r="C347" i="16"/>
  <c r="D347" i="16"/>
  <c r="E347" i="16"/>
  <c r="F347" i="16"/>
  <c r="G347" i="16"/>
  <c r="H347" i="16"/>
  <c r="I347" i="16"/>
  <c r="J347" i="16"/>
  <c r="K347" i="16"/>
  <c r="L347" i="16"/>
  <c r="M347" i="16"/>
  <c r="N347" i="16"/>
  <c r="O347" i="16"/>
  <c r="P347" i="16"/>
  <c r="Q347" i="16"/>
  <c r="R347" i="16"/>
  <c r="S347" i="16"/>
  <c r="T347" i="16"/>
  <c r="U347" i="16"/>
  <c r="V347" i="16"/>
  <c r="A348" i="16"/>
  <c r="B348" i="16"/>
  <c r="C348" i="16"/>
  <c r="D348" i="16"/>
  <c r="E348" i="16"/>
  <c r="F348" i="16"/>
  <c r="G348" i="16"/>
  <c r="H348" i="16"/>
  <c r="I348" i="16"/>
  <c r="J348" i="16"/>
  <c r="K348" i="16"/>
  <c r="L348" i="16"/>
  <c r="M348" i="16"/>
  <c r="N348" i="16"/>
  <c r="O348" i="16"/>
  <c r="P348" i="16"/>
  <c r="Q348" i="16"/>
  <c r="R348" i="16"/>
  <c r="S348" i="16"/>
  <c r="T348" i="16"/>
  <c r="U348" i="16"/>
  <c r="V348" i="16"/>
  <c r="A349" i="16"/>
  <c r="B349" i="16"/>
  <c r="C349" i="16"/>
  <c r="D349" i="16"/>
  <c r="E349" i="16"/>
  <c r="F349" i="16"/>
  <c r="G349" i="16"/>
  <c r="H349" i="16"/>
  <c r="I349" i="16"/>
  <c r="J349" i="16"/>
  <c r="K349" i="16"/>
  <c r="L349" i="16"/>
  <c r="M349" i="16"/>
  <c r="N349" i="16"/>
  <c r="O349" i="16"/>
  <c r="P349" i="16"/>
  <c r="Q349" i="16"/>
  <c r="R349" i="16"/>
  <c r="S349" i="16"/>
  <c r="T349" i="16"/>
  <c r="U349" i="16"/>
  <c r="V349" i="16"/>
  <c r="A350" i="16"/>
  <c r="B350" i="16"/>
  <c r="C350" i="16"/>
  <c r="D350" i="16"/>
  <c r="E350" i="16"/>
  <c r="F350" i="16"/>
  <c r="G350" i="16"/>
  <c r="H350" i="16"/>
  <c r="I350" i="16"/>
  <c r="J350" i="16"/>
  <c r="K350" i="16"/>
  <c r="L350" i="16"/>
  <c r="M350" i="16"/>
  <c r="N350" i="16"/>
  <c r="O350" i="16"/>
  <c r="P350" i="16"/>
  <c r="Q350" i="16"/>
  <c r="R350" i="16"/>
  <c r="S350" i="16"/>
  <c r="T350" i="16"/>
  <c r="U350" i="16"/>
  <c r="V350" i="16"/>
  <c r="A351" i="16"/>
  <c r="B351" i="16"/>
  <c r="C351" i="16"/>
  <c r="D351" i="16"/>
  <c r="E351" i="16"/>
  <c r="F351" i="16"/>
  <c r="G351" i="16"/>
  <c r="H351" i="16"/>
  <c r="I351" i="16"/>
  <c r="J351" i="16"/>
  <c r="K351" i="16"/>
  <c r="L351" i="16"/>
  <c r="M351" i="16"/>
  <c r="N351" i="16"/>
  <c r="O351" i="16"/>
  <c r="P351" i="16"/>
  <c r="Q351" i="16"/>
  <c r="R351" i="16"/>
  <c r="S351" i="16"/>
  <c r="T351" i="16"/>
  <c r="U351" i="16"/>
  <c r="V351" i="16"/>
  <c r="A352" i="16"/>
  <c r="B352" i="16"/>
  <c r="C352" i="16"/>
  <c r="D352" i="16"/>
  <c r="E352" i="16"/>
  <c r="F352" i="16"/>
  <c r="G352" i="16"/>
  <c r="H352" i="16"/>
  <c r="I352" i="16"/>
  <c r="J352" i="16"/>
  <c r="K352" i="16"/>
  <c r="L352" i="16"/>
  <c r="M352" i="16"/>
  <c r="N352" i="16"/>
  <c r="O352" i="16"/>
  <c r="P352" i="16"/>
  <c r="Q352" i="16"/>
  <c r="R352" i="16"/>
  <c r="S352" i="16"/>
  <c r="T352" i="16"/>
  <c r="U352" i="16"/>
  <c r="V352" i="16"/>
  <c r="A353" i="16"/>
  <c r="B353" i="16"/>
  <c r="C353" i="16"/>
  <c r="D353" i="16"/>
  <c r="E353" i="16"/>
  <c r="F353" i="16"/>
  <c r="G353" i="16"/>
  <c r="H353" i="16"/>
  <c r="I353" i="16"/>
  <c r="J353" i="16"/>
  <c r="K353" i="16"/>
  <c r="L353" i="16"/>
  <c r="M353" i="16"/>
  <c r="N353" i="16"/>
  <c r="O353" i="16"/>
  <c r="P353" i="16"/>
  <c r="Q353" i="16"/>
  <c r="R353" i="16"/>
  <c r="S353" i="16"/>
  <c r="T353" i="16"/>
  <c r="U353" i="16"/>
  <c r="V353" i="16"/>
  <c r="A354" i="16"/>
  <c r="B354" i="16"/>
  <c r="C354" i="16"/>
  <c r="D354" i="16"/>
  <c r="E354" i="16"/>
  <c r="F354" i="16"/>
  <c r="G354" i="16"/>
  <c r="H354" i="16"/>
  <c r="I354" i="16"/>
  <c r="J354" i="16"/>
  <c r="K354" i="16"/>
  <c r="L354" i="16"/>
  <c r="M354" i="16"/>
  <c r="N354" i="16"/>
  <c r="O354" i="16"/>
  <c r="P354" i="16"/>
  <c r="Q354" i="16"/>
  <c r="R354" i="16"/>
  <c r="S354" i="16"/>
  <c r="T354" i="16"/>
  <c r="U354" i="16"/>
  <c r="V354" i="16"/>
  <c r="A355" i="16"/>
  <c r="B355" i="16"/>
  <c r="C355" i="16"/>
  <c r="D355" i="16"/>
  <c r="E355" i="16"/>
  <c r="F355" i="16"/>
  <c r="G355" i="16"/>
  <c r="H355" i="16"/>
  <c r="I355" i="16"/>
  <c r="J355" i="16"/>
  <c r="K355" i="16"/>
  <c r="L355" i="16"/>
  <c r="M355" i="16"/>
  <c r="N355" i="16"/>
  <c r="O355" i="16"/>
  <c r="P355" i="16"/>
  <c r="Q355" i="16"/>
  <c r="R355" i="16"/>
  <c r="S355" i="16"/>
  <c r="T355" i="16"/>
  <c r="U355" i="16"/>
  <c r="V355" i="16"/>
  <c r="A356" i="16"/>
  <c r="B356" i="16"/>
  <c r="C356" i="16"/>
  <c r="D356" i="16"/>
  <c r="E356" i="16"/>
  <c r="F356" i="16"/>
  <c r="G356" i="16"/>
  <c r="H356" i="16"/>
  <c r="I356" i="16"/>
  <c r="J356" i="16"/>
  <c r="K356" i="16"/>
  <c r="L356" i="16"/>
  <c r="M356" i="16"/>
  <c r="N356" i="16"/>
  <c r="O356" i="16"/>
  <c r="P356" i="16"/>
  <c r="Q356" i="16"/>
  <c r="R356" i="16"/>
  <c r="S356" i="16"/>
  <c r="T356" i="16"/>
  <c r="U356" i="16"/>
  <c r="V356" i="16"/>
  <c r="A357" i="16"/>
  <c r="B357" i="16"/>
  <c r="C357" i="16"/>
  <c r="D357" i="16"/>
  <c r="E357" i="16"/>
  <c r="F357" i="16"/>
  <c r="G357" i="16"/>
  <c r="H357" i="16"/>
  <c r="I357" i="16"/>
  <c r="J357" i="16"/>
  <c r="K357" i="16"/>
  <c r="L357" i="16"/>
  <c r="M357" i="16"/>
  <c r="N357" i="16"/>
  <c r="O357" i="16"/>
  <c r="P357" i="16"/>
  <c r="Q357" i="16"/>
  <c r="R357" i="16"/>
  <c r="S357" i="16"/>
  <c r="T357" i="16"/>
  <c r="U357" i="16"/>
  <c r="V357" i="16"/>
  <c r="A358" i="16"/>
  <c r="B358" i="16"/>
  <c r="C358" i="16"/>
  <c r="D358" i="16"/>
  <c r="E358" i="16"/>
  <c r="F358" i="16"/>
  <c r="G358" i="16"/>
  <c r="H358" i="16"/>
  <c r="I358" i="16"/>
  <c r="J358" i="16"/>
  <c r="K358" i="16"/>
  <c r="L358" i="16"/>
  <c r="M358" i="16"/>
  <c r="N358" i="16"/>
  <c r="O358" i="16"/>
  <c r="P358" i="16"/>
  <c r="Q358" i="16"/>
  <c r="R358" i="16"/>
  <c r="S358" i="16"/>
  <c r="T358" i="16"/>
  <c r="U358" i="16"/>
  <c r="V358" i="16"/>
  <c r="A359" i="16"/>
  <c r="B359" i="16"/>
  <c r="C359" i="16"/>
  <c r="D359" i="16"/>
  <c r="E359" i="16"/>
  <c r="F359" i="16"/>
  <c r="G359" i="16"/>
  <c r="H359" i="16"/>
  <c r="I359" i="16"/>
  <c r="J359" i="16"/>
  <c r="K359" i="16"/>
  <c r="L359" i="16"/>
  <c r="M359" i="16"/>
  <c r="N359" i="16"/>
  <c r="O359" i="16"/>
  <c r="P359" i="16"/>
  <c r="Q359" i="16"/>
  <c r="R359" i="16"/>
  <c r="S359" i="16"/>
  <c r="T359" i="16"/>
  <c r="U359" i="16"/>
  <c r="V359" i="16"/>
  <c r="A360" i="16"/>
  <c r="B360" i="16"/>
  <c r="C360" i="16"/>
  <c r="D360" i="16"/>
  <c r="E360" i="16"/>
  <c r="F360" i="16"/>
  <c r="G360" i="16"/>
  <c r="H360" i="16"/>
  <c r="I360" i="16"/>
  <c r="J360" i="16"/>
  <c r="K360" i="16"/>
  <c r="L360" i="16"/>
  <c r="M360" i="16"/>
  <c r="N360" i="16"/>
  <c r="O360" i="16"/>
  <c r="P360" i="16"/>
  <c r="Q360" i="16"/>
  <c r="R360" i="16"/>
  <c r="S360" i="16"/>
  <c r="T360" i="16"/>
  <c r="U360" i="16"/>
  <c r="V360" i="16"/>
  <c r="A361" i="16"/>
  <c r="B361" i="16"/>
  <c r="C361" i="16"/>
  <c r="D361" i="16"/>
  <c r="E361" i="16"/>
  <c r="F361" i="16"/>
  <c r="G361" i="16"/>
  <c r="H361" i="16"/>
  <c r="I361" i="16"/>
  <c r="J361" i="16"/>
  <c r="K361" i="16"/>
  <c r="L361" i="16"/>
  <c r="M361" i="16"/>
  <c r="N361" i="16"/>
  <c r="O361" i="16"/>
  <c r="P361" i="16"/>
  <c r="Q361" i="16"/>
  <c r="R361" i="16"/>
  <c r="S361" i="16"/>
  <c r="T361" i="16"/>
  <c r="U361" i="16"/>
  <c r="V361" i="16"/>
  <c r="A362" i="16"/>
  <c r="B362" i="16"/>
  <c r="C362" i="16"/>
  <c r="D362" i="16"/>
  <c r="E362" i="16"/>
  <c r="F362" i="16"/>
  <c r="G362" i="16"/>
  <c r="H362" i="16"/>
  <c r="I362" i="16"/>
  <c r="J362" i="16"/>
  <c r="K362" i="16"/>
  <c r="L362" i="16"/>
  <c r="M362" i="16"/>
  <c r="N362" i="16"/>
  <c r="O362" i="16"/>
  <c r="P362" i="16"/>
  <c r="Q362" i="16"/>
  <c r="R362" i="16"/>
  <c r="S362" i="16"/>
  <c r="T362" i="16"/>
  <c r="U362" i="16"/>
  <c r="V362" i="16"/>
  <c r="A363" i="16"/>
  <c r="B363" i="16"/>
  <c r="C363" i="16"/>
  <c r="D363" i="16"/>
  <c r="E363" i="16"/>
  <c r="F363" i="16"/>
  <c r="G363" i="16"/>
  <c r="H363" i="16"/>
  <c r="I363" i="16"/>
  <c r="J363" i="16"/>
  <c r="K363" i="16"/>
  <c r="L363" i="16"/>
  <c r="M363" i="16"/>
  <c r="N363" i="16"/>
  <c r="O363" i="16"/>
  <c r="P363" i="16"/>
  <c r="Q363" i="16"/>
  <c r="R363" i="16"/>
  <c r="S363" i="16"/>
  <c r="T363" i="16"/>
  <c r="U363" i="16"/>
  <c r="V363" i="16"/>
  <c r="A364" i="16"/>
  <c r="B364" i="16"/>
  <c r="C364" i="16"/>
  <c r="D364" i="16"/>
  <c r="E364" i="16"/>
  <c r="F364" i="16"/>
  <c r="G364" i="16"/>
  <c r="H364" i="16"/>
  <c r="I364" i="16"/>
  <c r="J364" i="16"/>
  <c r="K364" i="16"/>
  <c r="L364" i="16"/>
  <c r="M364" i="16"/>
  <c r="N364" i="16"/>
  <c r="O364" i="16"/>
  <c r="P364" i="16"/>
  <c r="Q364" i="16"/>
  <c r="R364" i="16"/>
  <c r="S364" i="16"/>
  <c r="T364" i="16"/>
  <c r="U364" i="16"/>
  <c r="V364" i="16"/>
  <c r="A365" i="16"/>
  <c r="B365" i="16"/>
  <c r="C365" i="16"/>
  <c r="D365" i="16"/>
  <c r="E365" i="16"/>
  <c r="F365" i="16"/>
  <c r="G365" i="16"/>
  <c r="H365" i="16"/>
  <c r="I365" i="16"/>
  <c r="J365" i="16"/>
  <c r="K365" i="16"/>
  <c r="L365" i="16"/>
  <c r="M365" i="16"/>
  <c r="N365" i="16"/>
  <c r="O365" i="16"/>
  <c r="P365" i="16"/>
  <c r="Q365" i="16"/>
  <c r="R365" i="16"/>
  <c r="S365" i="16"/>
  <c r="T365" i="16"/>
  <c r="U365" i="16"/>
  <c r="V365" i="16"/>
  <c r="A366" i="16"/>
  <c r="B366" i="16"/>
  <c r="C366" i="16"/>
  <c r="D366" i="16"/>
  <c r="E366" i="16"/>
  <c r="F366" i="16"/>
  <c r="G366" i="16"/>
  <c r="H366" i="16"/>
  <c r="I366" i="16"/>
  <c r="J366" i="16"/>
  <c r="K366" i="16"/>
  <c r="L366" i="16"/>
  <c r="M366" i="16"/>
  <c r="N366" i="16"/>
  <c r="O366" i="16"/>
  <c r="P366" i="16"/>
  <c r="Q366" i="16"/>
  <c r="R366" i="16"/>
  <c r="S366" i="16"/>
  <c r="T366" i="16"/>
  <c r="U366" i="16"/>
  <c r="V366" i="16"/>
  <c r="A367" i="16"/>
  <c r="B367" i="16"/>
  <c r="C367" i="16"/>
  <c r="D367" i="16"/>
  <c r="E367" i="16"/>
  <c r="F367" i="16"/>
  <c r="G367" i="16"/>
  <c r="H367" i="16"/>
  <c r="I367" i="16"/>
  <c r="J367" i="16"/>
  <c r="K367" i="16"/>
  <c r="L367" i="16"/>
  <c r="M367" i="16"/>
  <c r="N367" i="16"/>
  <c r="O367" i="16"/>
  <c r="P367" i="16"/>
  <c r="Q367" i="16"/>
  <c r="R367" i="16"/>
  <c r="S367" i="16"/>
  <c r="T367" i="16"/>
  <c r="U367" i="16"/>
  <c r="V367" i="16"/>
  <c r="A368" i="16"/>
  <c r="B368" i="16"/>
  <c r="C368" i="16"/>
  <c r="D368" i="16"/>
  <c r="E368" i="16"/>
  <c r="F368" i="16"/>
  <c r="G368" i="16"/>
  <c r="H368" i="16"/>
  <c r="I368" i="16"/>
  <c r="J368" i="16"/>
  <c r="K368" i="16"/>
  <c r="L368" i="16"/>
  <c r="M368" i="16"/>
  <c r="N368" i="16"/>
  <c r="O368" i="16"/>
  <c r="P368" i="16"/>
  <c r="Q368" i="16"/>
  <c r="R368" i="16"/>
  <c r="S368" i="16"/>
  <c r="T368" i="16"/>
  <c r="U368" i="16"/>
  <c r="V368" i="16"/>
  <c r="A369" i="16"/>
  <c r="B369" i="16"/>
  <c r="C369" i="16"/>
  <c r="D369" i="16"/>
  <c r="E369" i="16"/>
  <c r="F369" i="16"/>
  <c r="G369" i="16"/>
  <c r="H369" i="16"/>
  <c r="I369" i="16"/>
  <c r="J369" i="16"/>
  <c r="K369" i="16"/>
  <c r="L369" i="16"/>
  <c r="M369" i="16"/>
  <c r="N369" i="16"/>
  <c r="O369" i="16"/>
  <c r="P369" i="16"/>
  <c r="Q369" i="16"/>
  <c r="R369" i="16"/>
  <c r="S369" i="16"/>
  <c r="T369" i="16"/>
  <c r="U369" i="16"/>
  <c r="V369" i="16"/>
  <c r="A370" i="16"/>
  <c r="B370" i="16"/>
  <c r="C370" i="16"/>
  <c r="D370" i="16"/>
  <c r="E370" i="16"/>
  <c r="F370" i="16"/>
  <c r="G370" i="16"/>
  <c r="H370" i="16"/>
  <c r="I370" i="16"/>
  <c r="J370" i="16"/>
  <c r="K370" i="16"/>
  <c r="L370" i="16"/>
  <c r="M370" i="16"/>
  <c r="N370" i="16"/>
  <c r="O370" i="16"/>
  <c r="P370" i="16"/>
  <c r="Q370" i="16"/>
  <c r="R370" i="16"/>
  <c r="S370" i="16"/>
  <c r="T370" i="16"/>
  <c r="U370" i="16"/>
  <c r="V370" i="16"/>
  <c r="A371" i="16"/>
  <c r="B371" i="16"/>
  <c r="C371" i="16"/>
  <c r="D371" i="16"/>
  <c r="E371" i="16"/>
  <c r="F371" i="16"/>
  <c r="G371" i="16"/>
  <c r="H371" i="16"/>
  <c r="I371" i="16"/>
  <c r="J371" i="16"/>
  <c r="K371" i="16"/>
  <c r="L371" i="16"/>
  <c r="M371" i="16"/>
  <c r="N371" i="16"/>
  <c r="O371" i="16"/>
  <c r="P371" i="16"/>
  <c r="Q371" i="16"/>
  <c r="R371" i="16"/>
  <c r="S371" i="16"/>
  <c r="T371" i="16"/>
  <c r="U371" i="16"/>
  <c r="V371" i="16"/>
  <c r="A372" i="16"/>
  <c r="B372" i="16"/>
  <c r="C372" i="16"/>
  <c r="D372" i="16"/>
  <c r="E372" i="16"/>
  <c r="F372" i="16"/>
  <c r="G372" i="16"/>
  <c r="H372" i="16"/>
  <c r="I372" i="16"/>
  <c r="J372" i="16"/>
  <c r="K372" i="16"/>
  <c r="L372" i="16"/>
  <c r="M372" i="16"/>
  <c r="N372" i="16"/>
  <c r="O372" i="16"/>
  <c r="P372" i="16"/>
  <c r="Q372" i="16"/>
  <c r="R372" i="16"/>
  <c r="S372" i="16"/>
  <c r="T372" i="16"/>
  <c r="U372" i="16"/>
  <c r="V372" i="16"/>
  <c r="A373" i="16"/>
  <c r="B373" i="16"/>
  <c r="C373" i="16"/>
  <c r="D373" i="16"/>
  <c r="E373" i="16"/>
  <c r="F373" i="16"/>
  <c r="G373" i="16"/>
  <c r="H373" i="16"/>
  <c r="I373" i="16"/>
  <c r="J373" i="16"/>
  <c r="K373" i="16"/>
  <c r="L373" i="16"/>
  <c r="M373" i="16"/>
  <c r="N373" i="16"/>
  <c r="O373" i="16"/>
  <c r="P373" i="16"/>
  <c r="Q373" i="16"/>
  <c r="R373" i="16"/>
  <c r="S373" i="16"/>
  <c r="T373" i="16"/>
  <c r="U373" i="16"/>
  <c r="V373" i="16"/>
  <c r="A374" i="16"/>
  <c r="B374" i="16"/>
  <c r="C374" i="16"/>
  <c r="D374" i="16"/>
  <c r="E374" i="16"/>
  <c r="F374" i="16"/>
  <c r="G374" i="16"/>
  <c r="H374" i="16"/>
  <c r="I374" i="16"/>
  <c r="J374" i="16"/>
  <c r="K374" i="16"/>
  <c r="L374" i="16"/>
  <c r="M374" i="16"/>
  <c r="N374" i="16"/>
  <c r="O374" i="16"/>
  <c r="P374" i="16"/>
  <c r="Q374" i="16"/>
  <c r="R374" i="16"/>
  <c r="S374" i="16"/>
  <c r="T374" i="16"/>
  <c r="U374" i="16"/>
  <c r="V374" i="16"/>
  <c r="A375" i="16"/>
  <c r="B375" i="16"/>
  <c r="C375" i="16"/>
  <c r="D375" i="16"/>
  <c r="E375" i="16"/>
  <c r="F375" i="16"/>
  <c r="G375" i="16"/>
  <c r="H375" i="16"/>
  <c r="I375" i="16"/>
  <c r="J375" i="16"/>
  <c r="K375" i="16"/>
  <c r="L375" i="16"/>
  <c r="M375" i="16"/>
  <c r="N375" i="16"/>
  <c r="O375" i="16"/>
  <c r="P375" i="16"/>
  <c r="Q375" i="16"/>
  <c r="R375" i="16"/>
  <c r="S375" i="16"/>
  <c r="T375" i="16"/>
  <c r="U375" i="16"/>
  <c r="V375" i="16"/>
  <c r="A376" i="16"/>
  <c r="B376" i="16"/>
  <c r="C376" i="16"/>
  <c r="D376" i="16"/>
  <c r="E376" i="16"/>
  <c r="F376" i="16"/>
  <c r="G376" i="16"/>
  <c r="H376" i="16"/>
  <c r="I376" i="16"/>
  <c r="J376" i="16"/>
  <c r="K376" i="16"/>
  <c r="L376" i="16"/>
  <c r="M376" i="16"/>
  <c r="N376" i="16"/>
  <c r="O376" i="16"/>
  <c r="P376" i="16"/>
  <c r="Q376" i="16"/>
  <c r="R376" i="16"/>
  <c r="S376" i="16"/>
  <c r="T376" i="16"/>
  <c r="U376" i="16"/>
  <c r="V376" i="16"/>
  <c r="A377" i="16"/>
  <c r="B377" i="16"/>
  <c r="C377" i="16"/>
  <c r="D377" i="16"/>
  <c r="E377" i="16"/>
  <c r="F377" i="16"/>
  <c r="G377" i="16"/>
  <c r="H377" i="16"/>
  <c r="I377" i="16"/>
  <c r="J377" i="16"/>
  <c r="K377" i="16"/>
  <c r="L377" i="16"/>
  <c r="M377" i="16"/>
  <c r="N377" i="16"/>
  <c r="O377" i="16"/>
  <c r="P377" i="16"/>
  <c r="Q377" i="16"/>
  <c r="R377" i="16"/>
  <c r="S377" i="16"/>
  <c r="T377" i="16"/>
  <c r="U377" i="16"/>
  <c r="V377" i="16"/>
  <c r="A378" i="16"/>
  <c r="B378" i="16"/>
  <c r="C378" i="16"/>
  <c r="D378" i="16"/>
  <c r="E378" i="16"/>
  <c r="F378" i="16"/>
  <c r="G378" i="16"/>
  <c r="H378" i="16"/>
  <c r="I378" i="16"/>
  <c r="J378" i="16"/>
  <c r="K378" i="16"/>
  <c r="L378" i="16"/>
  <c r="M378" i="16"/>
  <c r="N378" i="16"/>
  <c r="O378" i="16"/>
  <c r="P378" i="16"/>
  <c r="Q378" i="16"/>
  <c r="R378" i="16"/>
  <c r="S378" i="16"/>
  <c r="T378" i="16"/>
  <c r="U378" i="16"/>
  <c r="V378" i="16"/>
  <c r="A379" i="16"/>
  <c r="B379" i="16"/>
  <c r="C379" i="16"/>
  <c r="D379" i="16"/>
  <c r="E379" i="16"/>
  <c r="F379" i="16"/>
  <c r="G379" i="16"/>
  <c r="H379" i="16"/>
  <c r="I379" i="16"/>
  <c r="J379" i="16"/>
  <c r="K379" i="16"/>
  <c r="L379" i="16"/>
  <c r="M379" i="16"/>
  <c r="N379" i="16"/>
  <c r="O379" i="16"/>
  <c r="P379" i="16"/>
  <c r="Q379" i="16"/>
  <c r="R379" i="16"/>
  <c r="S379" i="16"/>
  <c r="T379" i="16"/>
  <c r="U379" i="16"/>
  <c r="V379" i="16"/>
  <c r="A380" i="16"/>
  <c r="B380" i="16"/>
  <c r="C380" i="16"/>
  <c r="D380" i="16"/>
  <c r="E380" i="16"/>
  <c r="F380" i="16"/>
  <c r="G380" i="16"/>
  <c r="H380" i="16"/>
  <c r="I380" i="16"/>
  <c r="J380" i="16"/>
  <c r="K380" i="16"/>
  <c r="L380" i="16"/>
  <c r="M380" i="16"/>
  <c r="N380" i="16"/>
  <c r="O380" i="16"/>
  <c r="P380" i="16"/>
  <c r="Q380" i="16"/>
  <c r="R380" i="16"/>
  <c r="S380" i="16"/>
  <c r="T380" i="16"/>
  <c r="U380" i="16"/>
  <c r="V380" i="16"/>
  <c r="A381" i="16"/>
  <c r="B381" i="16"/>
  <c r="C381" i="16"/>
  <c r="D381" i="16"/>
  <c r="E381" i="16"/>
  <c r="F381" i="16"/>
  <c r="G381" i="16"/>
  <c r="H381" i="16"/>
  <c r="I381" i="16"/>
  <c r="J381" i="16"/>
  <c r="K381" i="16"/>
  <c r="L381" i="16"/>
  <c r="M381" i="16"/>
  <c r="N381" i="16"/>
  <c r="O381" i="16"/>
  <c r="P381" i="16"/>
  <c r="Q381" i="16"/>
  <c r="R381" i="16"/>
  <c r="S381" i="16"/>
  <c r="T381" i="16"/>
  <c r="U381" i="16"/>
  <c r="V381" i="16"/>
  <c r="A382" i="16"/>
  <c r="B382" i="16"/>
  <c r="C382" i="16"/>
  <c r="D382" i="16"/>
  <c r="E382" i="16"/>
  <c r="F382" i="16"/>
  <c r="G382" i="16"/>
  <c r="H382" i="16"/>
  <c r="I382" i="16"/>
  <c r="J382" i="16"/>
  <c r="K382" i="16"/>
  <c r="L382" i="16"/>
  <c r="M382" i="16"/>
  <c r="N382" i="16"/>
  <c r="O382" i="16"/>
  <c r="P382" i="16"/>
  <c r="Q382" i="16"/>
  <c r="R382" i="16"/>
  <c r="S382" i="16"/>
  <c r="T382" i="16"/>
  <c r="U382" i="16"/>
  <c r="V382" i="16"/>
  <c r="A383" i="16"/>
  <c r="B383" i="16"/>
  <c r="C383" i="16"/>
  <c r="D383" i="16"/>
  <c r="E383" i="16"/>
  <c r="F383" i="16"/>
  <c r="G383" i="16"/>
  <c r="H383" i="16"/>
  <c r="I383" i="16"/>
  <c r="J383" i="16"/>
  <c r="K383" i="16"/>
  <c r="L383" i="16"/>
  <c r="M383" i="16"/>
  <c r="N383" i="16"/>
  <c r="O383" i="16"/>
  <c r="P383" i="16"/>
  <c r="Q383" i="16"/>
  <c r="R383" i="16"/>
  <c r="S383" i="16"/>
  <c r="T383" i="16"/>
  <c r="U383" i="16"/>
  <c r="V383" i="16"/>
  <c r="A384" i="16"/>
  <c r="B384" i="16"/>
  <c r="C384" i="16"/>
  <c r="D384" i="16"/>
  <c r="E384" i="16"/>
  <c r="F384" i="16"/>
  <c r="G384" i="16"/>
  <c r="H384" i="16"/>
  <c r="I384" i="16"/>
  <c r="J384" i="16"/>
  <c r="K384" i="16"/>
  <c r="L384" i="16"/>
  <c r="M384" i="16"/>
  <c r="N384" i="16"/>
  <c r="O384" i="16"/>
  <c r="P384" i="16"/>
  <c r="Q384" i="16"/>
  <c r="R384" i="16"/>
  <c r="S384" i="16"/>
  <c r="T384" i="16"/>
  <c r="U384" i="16"/>
  <c r="V384" i="16"/>
  <c r="A385" i="16"/>
  <c r="B385" i="16"/>
  <c r="C385" i="16"/>
  <c r="D385" i="16"/>
  <c r="E385" i="16"/>
  <c r="F385" i="16"/>
  <c r="G385" i="16"/>
  <c r="H385" i="16"/>
  <c r="I385" i="16"/>
  <c r="J385" i="16"/>
  <c r="K385" i="16"/>
  <c r="L385" i="16"/>
  <c r="M385" i="16"/>
  <c r="N385" i="16"/>
  <c r="O385" i="16"/>
  <c r="P385" i="16"/>
  <c r="Q385" i="16"/>
  <c r="R385" i="16"/>
  <c r="S385" i="16"/>
  <c r="T385" i="16"/>
  <c r="U385" i="16"/>
  <c r="V385" i="16"/>
  <c r="A386" i="16"/>
  <c r="B386" i="16"/>
  <c r="C386" i="16"/>
  <c r="D386" i="16"/>
  <c r="E386" i="16"/>
  <c r="F386" i="16"/>
  <c r="G386" i="16"/>
  <c r="H386" i="16"/>
  <c r="I386" i="16"/>
  <c r="J386" i="16"/>
  <c r="K386" i="16"/>
  <c r="L386" i="16"/>
  <c r="M386" i="16"/>
  <c r="N386" i="16"/>
  <c r="O386" i="16"/>
  <c r="P386" i="16"/>
  <c r="Q386" i="16"/>
  <c r="R386" i="16"/>
  <c r="S386" i="16"/>
  <c r="T386" i="16"/>
  <c r="U386" i="16"/>
  <c r="V386" i="16"/>
  <c r="A387" i="16"/>
  <c r="B387" i="16"/>
  <c r="C387" i="16"/>
  <c r="D387" i="16"/>
  <c r="E387" i="16"/>
  <c r="F387" i="16"/>
  <c r="G387" i="16"/>
  <c r="H387" i="16"/>
  <c r="I387" i="16"/>
  <c r="J387" i="16"/>
  <c r="K387" i="16"/>
  <c r="L387" i="16"/>
  <c r="M387" i="16"/>
  <c r="N387" i="16"/>
  <c r="O387" i="16"/>
  <c r="P387" i="16"/>
  <c r="Q387" i="16"/>
  <c r="R387" i="16"/>
  <c r="S387" i="16"/>
  <c r="T387" i="16"/>
  <c r="U387" i="16"/>
  <c r="V387" i="16"/>
  <c r="A388" i="16"/>
  <c r="B388" i="16"/>
  <c r="C388" i="16"/>
  <c r="D388" i="16"/>
  <c r="E388" i="16"/>
  <c r="F388" i="16"/>
  <c r="G388" i="16"/>
  <c r="H388" i="16"/>
  <c r="I388" i="16"/>
  <c r="J388" i="16"/>
  <c r="K388" i="16"/>
  <c r="L388" i="16"/>
  <c r="M388" i="16"/>
  <c r="N388" i="16"/>
  <c r="O388" i="16"/>
  <c r="P388" i="16"/>
  <c r="Q388" i="16"/>
  <c r="R388" i="16"/>
  <c r="S388" i="16"/>
  <c r="T388" i="16"/>
  <c r="U388" i="16"/>
  <c r="V388" i="16"/>
  <c r="A389" i="16"/>
  <c r="B389" i="16"/>
  <c r="C389" i="16"/>
  <c r="D389" i="16"/>
  <c r="E389" i="16"/>
  <c r="F389" i="16"/>
  <c r="G389" i="16"/>
  <c r="H389" i="16"/>
  <c r="I389" i="16"/>
  <c r="J389" i="16"/>
  <c r="K389" i="16"/>
  <c r="L389" i="16"/>
  <c r="M389" i="16"/>
  <c r="N389" i="16"/>
  <c r="O389" i="16"/>
  <c r="P389" i="16"/>
  <c r="Q389" i="16"/>
  <c r="R389" i="16"/>
  <c r="S389" i="16"/>
  <c r="T389" i="16"/>
  <c r="U389" i="16"/>
  <c r="V389" i="16"/>
  <c r="A390" i="16"/>
  <c r="B390" i="16"/>
  <c r="C390" i="16"/>
  <c r="D390" i="16"/>
  <c r="E390" i="16"/>
  <c r="F390" i="16"/>
  <c r="G390" i="16"/>
  <c r="H390" i="16"/>
  <c r="I390" i="16"/>
  <c r="J390" i="16"/>
  <c r="K390" i="16"/>
  <c r="L390" i="16"/>
  <c r="M390" i="16"/>
  <c r="N390" i="16"/>
  <c r="O390" i="16"/>
  <c r="P390" i="16"/>
  <c r="Q390" i="16"/>
  <c r="R390" i="16"/>
  <c r="S390" i="16"/>
  <c r="T390" i="16"/>
  <c r="U390" i="16"/>
  <c r="V390" i="16"/>
  <c r="A391" i="16"/>
  <c r="B391" i="16"/>
  <c r="C391" i="16"/>
  <c r="D391" i="16"/>
  <c r="E391" i="16"/>
  <c r="F391" i="16"/>
  <c r="G391" i="16"/>
  <c r="H391" i="16"/>
  <c r="I391" i="16"/>
  <c r="J391" i="16"/>
  <c r="K391" i="16"/>
  <c r="L391" i="16"/>
  <c r="M391" i="16"/>
  <c r="N391" i="16"/>
  <c r="O391" i="16"/>
  <c r="P391" i="16"/>
  <c r="Q391" i="16"/>
  <c r="R391" i="16"/>
  <c r="S391" i="16"/>
  <c r="T391" i="16"/>
  <c r="U391" i="16"/>
  <c r="V391" i="16"/>
  <c r="A392" i="16"/>
  <c r="B392" i="16"/>
  <c r="C392" i="16"/>
  <c r="D392" i="16"/>
  <c r="E392" i="16"/>
  <c r="F392" i="16"/>
  <c r="G392" i="16"/>
  <c r="H392" i="16"/>
  <c r="I392" i="16"/>
  <c r="J392" i="16"/>
  <c r="K392" i="16"/>
  <c r="L392" i="16"/>
  <c r="M392" i="16"/>
  <c r="N392" i="16"/>
  <c r="O392" i="16"/>
  <c r="P392" i="16"/>
  <c r="Q392" i="16"/>
  <c r="R392" i="16"/>
  <c r="S392" i="16"/>
  <c r="T392" i="16"/>
  <c r="U392" i="16"/>
  <c r="V392" i="16"/>
  <c r="A393" i="16"/>
  <c r="B393" i="16"/>
  <c r="C393" i="16"/>
  <c r="D393" i="16"/>
  <c r="E393" i="16"/>
  <c r="F393" i="16"/>
  <c r="G393" i="16"/>
  <c r="H393" i="16"/>
  <c r="I393" i="16"/>
  <c r="J393" i="16"/>
  <c r="K393" i="16"/>
  <c r="L393" i="16"/>
  <c r="M393" i="16"/>
  <c r="N393" i="16"/>
  <c r="O393" i="16"/>
  <c r="P393" i="16"/>
  <c r="Q393" i="16"/>
  <c r="R393" i="16"/>
  <c r="S393" i="16"/>
  <c r="T393" i="16"/>
  <c r="U393" i="16"/>
  <c r="V393" i="16"/>
  <c r="A394" i="16"/>
  <c r="B394" i="16"/>
  <c r="C394" i="16"/>
  <c r="D394" i="16"/>
  <c r="E394" i="16"/>
  <c r="F394" i="16"/>
  <c r="G394" i="16"/>
  <c r="H394" i="16"/>
  <c r="I394" i="16"/>
  <c r="J394" i="16"/>
  <c r="K394" i="16"/>
  <c r="L394" i="16"/>
  <c r="M394" i="16"/>
  <c r="N394" i="16"/>
  <c r="O394" i="16"/>
  <c r="P394" i="16"/>
  <c r="Q394" i="16"/>
  <c r="R394" i="16"/>
  <c r="S394" i="16"/>
  <c r="T394" i="16"/>
  <c r="U394" i="16"/>
  <c r="V394" i="16"/>
  <c r="A395" i="16"/>
  <c r="B395" i="16"/>
  <c r="C395" i="16"/>
  <c r="D395" i="16"/>
  <c r="E395" i="16"/>
  <c r="F395" i="16"/>
  <c r="G395" i="16"/>
  <c r="H395" i="16"/>
  <c r="I395" i="16"/>
  <c r="J395" i="16"/>
  <c r="K395" i="16"/>
  <c r="L395" i="16"/>
  <c r="M395" i="16"/>
  <c r="N395" i="16"/>
  <c r="O395" i="16"/>
  <c r="P395" i="16"/>
  <c r="Q395" i="16"/>
  <c r="R395" i="16"/>
  <c r="S395" i="16"/>
  <c r="T395" i="16"/>
  <c r="U395" i="16"/>
  <c r="V395" i="16"/>
  <c r="A396" i="16"/>
  <c r="B396" i="16"/>
  <c r="C396" i="16"/>
  <c r="D396" i="16"/>
  <c r="E396" i="16"/>
  <c r="F396" i="16"/>
  <c r="G396" i="16"/>
  <c r="H396" i="16"/>
  <c r="I396" i="16"/>
  <c r="J396" i="16"/>
  <c r="K396" i="16"/>
  <c r="L396" i="16"/>
  <c r="M396" i="16"/>
  <c r="N396" i="16"/>
  <c r="O396" i="16"/>
  <c r="P396" i="16"/>
  <c r="Q396" i="16"/>
  <c r="R396" i="16"/>
  <c r="S396" i="16"/>
  <c r="T396" i="16"/>
  <c r="U396" i="16"/>
  <c r="V396" i="16"/>
  <c r="A397" i="16"/>
  <c r="B397" i="16"/>
  <c r="C397" i="16"/>
  <c r="D397" i="16"/>
  <c r="E397" i="16"/>
  <c r="F397" i="16"/>
  <c r="G397" i="16"/>
  <c r="H397" i="16"/>
  <c r="I397" i="16"/>
  <c r="J397" i="16"/>
  <c r="K397" i="16"/>
  <c r="L397" i="16"/>
  <c r="M397" i="16"/>
  <c r="N397" i="16"/>
  <c r="O397" i="16"/>
  <c r="P397" i="16"/>
  <c r="Q397" i="16"/>
  <c r="R397" i="16"/>
  <c r="S397" i="16"/>
  <c r="T397" i="16"/>
  <c r="U397" i="16"/>
  <c r="V397" i="16"/>
  <c r="A398" i="16"/>
  <c r="B398" i="16"/>
  <c r="C398" i="16"/>
  <c r="D398" i="16"/>
  <c r="E398" i="16"/>
  <c r="F398" i="16"/>
  <c r="G398" i="16"/>
  <c r="H398" i="16"/>
  <c r="I398" i="16"/>
  <c r="J398" i="16"/>
  <c r="K398" i="16"/>
  <c r="L398" i="16"/>
  <c r="M398" i="16"/>
  <c r="N398" i="16"/>
  <c r="O398" i="16"/>
  <c r="P398" i="16"/>
  <c r="Q398" i="16"/>
  <c r="R398" i="16"/>
  <c r="S398" i="16"/>
  <c r="T398" i="16"/>
  <c r="U398" i="16"/>
  <c r="V398" i="16"/>
  <c r="A399" i="16"/>
  <c r="B399" i="16"/>
  <c r="C399" i="16"/>
  <c r="D399" i="16"/>
  <c r="E399" i="16"/>
  <c r="F399" i="16"/>
  <c r="G399" i="16"/>
  <c r="H399" i="16"/>
  <c r="I399" i="16"/>
  <c r="J399" i="16"/>
  <c r="K399" i="16"/>
  <c r="L399" i="16"/>
  <c r="M399" i="16"/>
  <c r="N399" i="16"/>
  <c r="O399" i="16"/>
  <c r="P399" i="16"/>
  <c r="Q399" i="16"/>
  <c r="R399" i="16"/>
  <c r="S399" i="16"/>
  <c r="T399" i="16"/>
  <c r="U399" i="16"/>
  <c r="V399" i="16"/>
  <c r="A400" i="16"/>
  <c r="B400" i="16"/>
  <c r="C400" i="16"/>
  <c r="D400" i="16"/>
  <c r="E400" i="16"/>
  <c r="F400" i="16"/>
  <c r="G400" i="16"/>
  <c r="H400" i="16"/>
  <c r="I400" i="16"/>
  <c r="J400" i="16"/>
  <c r="K400" i="16"/>
  <c r="L400" i="16"/>
  <c r="M400" i="16"/>
  <c r="N400" i="16"/>
  <c r="O400" i="16"/>
  <c r="P400" i="16"/>
  <c r="Q400" i="16"/>
  <c r="R400" i="16"/>
  <c r="S400" i="16"/>
  <c r="T400" i="16"/>
  <c r="U400" i="16"/>
  <c r="V400" i="16"/>
  <c r="A401" i="16"/>
  <c r="B401" i="16"/>
  <c r="C401" i="16"/>
  <c r="D401" i="16"/>
  <c r="E401" i="16"/>
  <c r="F401" i="16"/>
  <c r="G401" i="16"/>
  <c r="H401" i="16"/>
  <c r="I401" i="16"/>
  <c r="J401" i="16"/>
  <c r="K401" i="16"/>
  <c r="L401" i="16"/>
  <c r="M401" i="16"/>
  <c r="N401" i="16"/>
  <c r="O401" i="16"/>
  <c r="P401" i="16"/>
  <c r="Q401" i="16"/>
  <c r="R401" i="16"/>
  <c r="S401" i="16"/>
  <c r="T401" i="16"/>
  <c r="U401" i="16"/>
  <c r="V401" i="16"/>
  <c r="A402" i="16"/>
  <c r="B402" i="16"/>
  <c r="C402" i="16"/>
  <c r="D402" i="16"/>
  <c r="E402" i="16"/>
  <c r="F402" i="16"/>
  <c r="G402" i="16"/>
  <c r="H402" i="16"/>
  <c r="I402" i="16"/>
  <c r="J402" i="16"/>
  <c r="K402" i="16"/>
  <c r="L402" i="16"/>
  <c r="M402" i="16"/>
  <c r="N402" i="16"/>
  <c r="O402" i="16"/>
  <c r="P402" i="16"/>
  <c r="Q402" i="16"/>
  <c r="R402" i="16"/>
  <c r="S402" i="16"/>
  <c r="T402" i="16"/>
  <c r="U402" i="16"/>
  <c r="V402" i="16"/>
  <c r="A403" i="16"/>
  <c r="B403" i="16"/>
  <c r="C403" i="16"/>
  <c r="D403" i="16"/>
  <c r="E403" i="16"/>
  <c r="F403" i="16"/>
  <c r="G403" i="16"/>
  <c r="H403" i="16"/>
  <c r="I403" i="16"/>
  <c r="J403" i="16"/>
  <c r="K403" i="16"/>
  <c r="L403" i="16"/>
  <c r="M403" i="16"/>
  <c r="N403" i="16"/>
  <c r="O403" i="16"/>
  <c r="P403" i="16"/>
  <c r="Q403" i="16"/>
  <c r="R403" i="16"/>
  <c r="S403" i="16"/>
  <c r="T403" i="16"/>
  <c r="U403" i="16"/>
  <c r="V403" i="16"/>
  <c r="A404" i="16"/>
  <c r="B404" i="16"/>
  <c r="C404" i="16"/>
  <c r="D404" i="16"/>
  <c r="E404" i="16"/>
  <c r="F404" i="16"/>
  <c r="G404" i="16"/>
  <c r="H404" i="16"/>
  <c r="I404" i="16"/>
  <c r="J404" i="16"/>
  <c r="K404" i="16"/>
  <c r="L404" i="16"/>
  <c r="M404" i="16"/>
  <c r="N404" i="16"/>
  <c r="O404" i="16"/>
  <c r="P404" i="16"/>
  <c r="Q404" i="16"/>
  <c r="R404" i="16"/>
  <c r="S404" i="16"/>
  <c r="T404" i="16"/>
  <c r="U404" i="16"/>
  <c r="V404" i="16"/>
  <c r="A405" i="16"/>
  <c r="B405" i="16"/>
  <c r="C405" i="16"/>
  <c r="D405" i="16"/>
  <c r="E405" i="16"/>
  <c r="F405" i="16"/>
  <c r="G405" i="16"/>
  <c r="H405" i="16"/>
  <c r="I405" i="16"/>
  <c r="J405" i="16"/>
  <c r="K405" i="16"/>
  <c r="L405" i="16"/>
  <c r="M405" i="16"/>
  <c r="N405" i="16"/>
  <c r="O405" i="16"/>
  <c r="P405" i="16"/>
  <c r="Q405" i="16"/>
  <c r="R405" i="16"/>
  <c r="S405" i="16"/>
  <c r="T405" i="16"/>
  <c r="U405" i="16"/>
  <c r="V405" i="16"/>
  <c r="A406" i="16"/>
  <c r="B406" i="16"/>
  <c r="C406" i="16"/>
  <c r="D406" i="16"/>
  <c r="E406" i="16"/>
  <c r="F406" i="16"/>
  <c r="G406" i="16"/>
  <c r="H406" i="16"/>
  <c r="I406" i="16"/>
  <c r="J406" i="16"/>
  <c r="K406" i="16"/>
  <c r="L406" i="16"/>
  <c r="M406" i="16"/>
  <c r="N406" i="16"/>
  <c r="O406" i="16"/>
  <c r="P406" i="16"/>
  <c r="Q406" i="16"/>
  <c r="R406" i="16"/>
  <c r="S406" i="16"/>
  <c r="T406" i="16"/>
  <c r="U406" i="16"/>
  <c r="V406" i="16"/>
  <c r="A407" i="16"/>
  <c r="B407" i="16"/>
  <c r="C407" i="16"/>
  <c r="D407" i="16"/>
  <c r="E407" i="16"/>
  <c r="F407" i="16"/>
  <c r="G407" i="16"/>
  <c r="H407" i="16"/>
  <c r="I407" i="16"/>
  <c r="J407" i="16"/>
  <c r="K407" i="16"/>
  <c r="L407" i="16"/>
  <c r="M407" i="16"/>
  <c r="N407" i="16"/>
  <c r="O407" i="16"/>
  <c r="P407" i="16"/>
  <c r="Q407" i="16"/>
  <c r="R407" i="16"/>
  <c r="S407" i="16"/>
  <c r="T407" i="16"/>
  <c r="U407" i="16"/>
  <c r="V407" i="16"/>
  <c r="A408" i="16"/>
  <c r="B408" i="16"/>
  <c r="C408" i="16"/>
  <c r="D408" i="16"/>
  <c r="E408" i="16"/>
  <c r="F408" i="16"/>
  <c r="G408" i="16"/>
  <c r="H408" i="16"/>
  <c r="I408" i="16"/>
  <c r="J408" i="16"/>
  <c r="K408" i="16"/>
  <c r="L408" i="16"/>
  <c r="M408" i="16"/>
  <c r="N408" i="16"/>
  <c r="O408" i="16"/>
  <c r="P408" i="16"/>
  <c r="Q408" i="16"/>
  <c r="R408" i="16"/>
  <c r="S408" i="16"/>
  <c r="T408" i="16"/>
  <c r="U408" i="16"/>
  <c r="V408" i="16"/>
  <c r="A409" i="16"/>
  <c r="B409" i="16"/>
  <c r="C409" i="16"/>
  <c r="D409" i="16"/>
  <c r="E409" i="16"/>
  <c r="F409" i="16"/>
  <c r="G409" i="16"/>
  <c r="H409" i="16"/>
  <c r="I409" i="16"/>
  <c r="J409" i="16"/>
  <c r="K409" i="16"/>
  <c r="L409" i="16"/>
  <c r="M409" i="16"/>
  <c r="N409" i="16"/>
  <c r="O409" i="16"/>
  <c r="P409" i="16"/>
  <c r="Q409" i="16"/>
  <c r="R409" i="16"/>
  <c r="S409" i="16"/>
  <c r="T409" i="16"/>
  <c r="U409" i="16"/>
  <c r="V409" i="16"/>
  <c r="A410" i="16"/>
  <c r="B410" i="16"/>
  <c r="C410" i="16"/>
  <c r="D410" i="16"/>
  <c r="E410" i="16"/>
  <c r="F410" i="16"/>
  <c r="G410" i="16"/>
  <c r="H410" i="16"/>
  <c r="I410" i="16"/>
  <c r="J410" i="16"/>
  <c r="K410" i="16"/>
  <c r="L410" i="16"/>
  <c r="M410" i="16"/>
  <c r="N410" i="16"/>
  <c r="O410" i="16"/>
  <c r="P410" i="16"/>
  <c r="Q410" i="16"/>
  <c r="R410" i="16"/>
  <c r="S410" i="16"/>
  <c r="T410" i="16"/>
  <c r="U410" i="16"/>
  <c r="V410" i="16"/>
  <c r="A411" i="16"/>
  <c r="B411" i="16"/>
  <c r="C411" i="16"/>
  <c r="D411" i="16"/>
  <c r="E411" i="16"/>
  <c r="F411" i="16"/>
  <c r="G411" i="16"/>
  <c r="H411" i="16"/>
  <c r="I411" i="16"/>
  <c r="J411" i="16"/>
  <c r="K411" i="16"/>
  <c r="L411" i="16"/>
  <c r="M411" i="16"/>
  <c r="N411" i="16"/>
  <c r="O411" i="16"/>
  <c r="P411" i="16"/>
  <c r="Q411" i="16"/>
  <c r="R411" i="16"/>
  <c r="S411" i="16"/>
  <c r="T411" i="16"/>
  <c r="U411" i="16"/>
  <c r="V411" i="16"/>
  <c r="A412" i="16"/>
  <c r="B412" i="16"/>
  <c r="C412" i="16"/>
  <c r="D412" i="16"/>
  <c r="E412" i="16"/>
  <c r="F412" i="16"/>
  <c r="G412" i="16"/>
  <c r="H412" i="16"/>
  <c r="I412" i="16"/>
  <c r="J412" i="16"/>
  <c r="K412" i="16"/>
  <c r="L412" i="16"/>
  <c r="M412" i="16"/>
  <c r="N412" i="16"/>
  <c r="O412" i="16"/>
  <c r="P412" i="16"/>
  <c r="Q412" i="16"/>
  <c r="R412" i="16"/>
  <c r="S412" i="16"/>
  <c r="T412" i="16"/>
  <c r="U412" i="16"/>
  <c r="V412" i="16"/>
  <c r="A413" i="16"/>
  <c r="B413" i="16"/>
  <c r="C413" i="16"/>
  <c r="D413" i="16"/>
  <c r="E413" i="16"/>
  <c r="F413" i="16"/>
  <c r="G413" i="16"/>
  <c r="H413" i="16"/>
  <c r="I413" i="16"/>
  <c r="J413" i="16"/>
  <c r="K413" i="16"/>
  <c r="L413" i="16"/>
  <c r="M413" i="16"/>
  <c r="N413" i="16"/>
  <c r="O413" i="16"/>
  <c r="P413" i="16"/>
  <c r="Q413" i="16"/>
  <c r="R413" i="16"/>
  <c r="S413" i="16"/>
  <c r="T413" i="16"/>
  <c r="U413" i="16"/>
  <c r="V413" i="16"/>
  <c r="A414" i="16"/>
  <c r="B414" i="16"/>
  <c r="C414" i="16"/>
  <c r="D414" i="16"/>
  <c r="E414" i="16"/>
  <c r="F414" i="16"/>
  <c r="G414" i="16"/>
  <c r="H414" i="16"/>
  <c r="I414" i="16"/>
  <c r="J414" i="16"/>
  <c r="K414" i="16"/>
  <c r="L414" i="16"/>
  <c r="M414" i="16"/>
  <c r="N414" i="16"/>
  <c r="O414" i="16"/>
  <c r="P414" i="16"/>
  <c r="Q414" i="16"/>
  <c r="R414" i="16"/>
  <c r="S414" i="16"/>
  <c r="T414" i="16"/>
  <c r="U414" i="16"/>
  <c r="V414" i="16"/>
  <c r="A415" i="16"/>
  <c r="B415" i="16"/>
  <c r="C415" i="16"/>
  <c r="D415" i="16"/>
  <c r="E415" i="16"/>
  <c r="F415" i="16"/>
  <c r="G415" i="16"/>
  <c r="H415" i="16"/>
  <c r="I415" i="16"/>
  <c r="J415" i="16"/>
  <c r="K415" i="16"/>
  <c r="L415" i="16"/>
  <c r="M415" i="16"/>
  <c r="N415" i="16"/>
  <c r="O415" i="16"/>
  <c r="P415" i="16"/>
  <c r="Q415" i="16"/>
  <c r="R415" i="16"/>
  <c r="S415" i="16"/>
  <c r="T415" i="16"/>
  <c r="U415" i="16"/>
  <c r="V415" i="16"/>
  <c r="A416" i="16"/>
  <c r="B416" i="16"/>
  <c r="C416" i="16"/>
  <c r="D416" i="16"/>
  <c r="E416" i="16"/>
  <c r="F416" i="16"/>
  <c r="G416" i="16"/>
  <c r="H416" i="16"/>
  <c r="I416" i="16"/>
  <c r="J416" i="16"/>
  <c r="K416" i="16"/>
  <c r="L416" i="16"/>
  <c r="M416" i="16"/>
  <c r="N416" i="16"/>
  <c r="O416" i="16"/>
  <c r="P416" i="16"/>
  <c r="Q416" i="16"/>
  <c r="R416" i="16"/>
  <c r="S416" i="16"/>
  <c r="T416" i="16"/>
  <c r="U416" i="16"/>
  <c r="V416" i="16"/>
  <c r="A417" i="16"/>
  <c r="B417" i="16"/>
  <c r="C417" i="16"/>
  <c r="D417" i="16"/>
  <c r="E417" i="16"/>
  <c r="F417" i="16"/>
  <c r="G417" i="16"/>
  <c r="H417" i="16"/>
  <c r="I417" i="16"/>
  <c r="J417" i="16"/>
  <c r="K417" i="16"/>
  <c r="L417" i="16"/>
  <c r="M417" i="16"/>
  <c r="N417" i="16"/>
  <c r="O417" i="16"/>
  <c r="P417" i="16"/>
  <c r="Q417" i="16"/>
  <c r="R417" i="16"/>
  <c r="S417" i="16"/>
  <c r="T417" i="16"/>
  <c r="U417" i="16"/>
  <c r="V417" i="16"/>
  <c r="A418" i="16"/>
  <c r="B418" i="16"/>
  <c r="C418" i="16"/>
  <c r="D418" i="16"/>
  <c r="E418" i="16"/>
  <c r="F418" i="16"/>
  <c r="G418" i="16"/>
  <c r="H418" i="16"/>
  <c r="I418" i="16"/>
  <c r="J418" i="16"/>
  <c r="K418" i="16"/>
  <c r="L418" i="16"/>
  <c r="M418" i="16"/>
  <c r="N418" i="16"/>
  <c r="O418" i="16"/>
  <c r="P418" i="16"/>
  <c r="Q418" i="16"/>
  <c r="R418" i="16"/>
  <c r="S418" i="16"/>
  <c r="T418" i="16"/>
  <c r="U418" i="16"/>
  <c r="V418" i="16"/>
  <c r="A419" i="16"/>
  <c r="B419" i="16"/>
  <c r="C419" i="16"/>
  <c r="D419" i="16"/>
  <c r="E419" i="16"/>
  <c r="F419" i="16"/>
  <c r="G419" i="16"/>
  <c r="H419" i="16"/>
  <c r="I419" i="16"/>
  <c r="J419" i="16"/>
  <c r="K419" i="16"/>
  <c r="L419" i="16"/>
  <c r="M419" i="16"/>
  <c r="N419" i="16"/>
  <c r="O419" i="16"/>
  <c r="P419" i="16"/>
  <c r="Q419" i="16"/>
  <c r="R419" i="16"/>
  <c r="S419" i="16"/>
  <c r="T419" i="16"/>
  <c r="U419" i="16"/>
  <c r="V419" i="16"/>
  <c r="A420" i="16"/>
  <c r="B420" i="16"/>
  <c r="C420" i="16"/>
  <c r="D420" i="16"/>
  <c r="E420" i="16"/>
  <c r="F420" i="16"/>
  <c r="G420" i="16"/>
  <c r="H420" i="16"/>
  <c r="I420" i="16"/>
  <c r="J420" i="16"/>
  <c r="K420" i="16"/>
  <c r="L420" i="16"/>
  <c r="M420" i="16"/>
  <c r="N420" i="16"/>
  <c r="O420" i="16"/>
  <c r="P420" i="16"/>
  <c r="Q420" i="16"/>
  <c r="R420" i="16"/>
  <c r="S420" i="16"/>
  <c r="T420" i="16"/>
  <c r="U420" i="16"/>
  <c r="V420" i="16"/>
  <c r="A421" i="16"/>
  <c r="B421" i="16"/>
  <c r="C421" i="16"/>
  <c r="D421" i="16"/>
  <c r="E421" i="16"/>
  <c r="F421" i="16"/>
  <c r="G421" i="16"/>
  <c r="H421" i="16"/>
  <c r="I421" i="16"/>
  <c r="J421" i="16"/>
  <c r="K421" i="16"/>
  <c r="L421" i="16"/>
  <c r="M421" i="16"/>
  <c r="N421" i="16"/>
  <c r="O421" i="16"/>
  <c r="P421" i="16"/>
  <c r="Q421" i="16"/>
  <c r="R421" i="16"/>
  <c r="S421" i="16"/>
  <c r="T421" i="16"/>
  <c r="U421" i="16"/>
  <c r="V421" i="16"/>
  <c r="A422" i="16"/>
  <c r="B422" i="16"/>
  <c r="C422" i="16"/>
  <c r="D422" i="16"/>
  <c r="E422" i="16"/>
  <c r="F422" i="16"/>
  <c r="G422" i="16"/>
  <c r="H422" i="16"/>
  <c r="I422" i="16"/>
  <c r="J422" i="16"/>
  <c r="K422" i="16"/>
  <c r="L422" i="16"/>
  <c r="M422" i="16"/>
  <c r="N422" i="16"/>
  <c r="O422" i="16"/>
  <c r="P422" i="16"/>
  <c r="Q422" i="16"/>
  <c r="R422" i="16"/>
  <c r="S422" i="16"/>
  <c r="T422" i="16"/>
  <c r="U422" i="16"/>
  <c r="V422" i="16"/>
  <c r="A423" i="16"/>
  <c r="B423" i="16"/>
  <c r="C423" i="16"/>
  <c r="D423" i="16"/>
  <c r="E423" i="16"/>
  <c r="F423" i="16"/>
  <c r="G423" i="16"/>
  <c r="H423" i="16"/>
  <c r="I423" i="16"/>
  <c r="J423" i="16"/>
  <c r="K423" i="16"/>
  <c r="L423" i="16"/>
  <c r="M423" i="16"/>
  <c r="N423" i="16"/>
  <c r="O423" i="16"/>
  <c r="P423" i="16"/>
  <c r="Q423" i="16"/>
  <c r="R423" i="16"/>
  <c r="S423" i="16"/>
  <c r="T423" i="16"/>
  <c r="U423" i="16"/>
  <c r="V423" i="16"/>
  <c r="A424" i="16"/>
  <c r="B424" i="16"/>
  <c r="C424" i="16"/>
  <c r="D424" i="16"/>
  <c r="E424" i="16"/>
  <c r="F424" i="16"/>
  <c r="G424" i="16"/>
  <c r="H424" i="16"/>
  <c r="I424" i="16"/>
  <c r="J424" i="16"/>
  <c r="K424" i="16"/>
  <c r="L424" i="16"/>
  <c r="M424" i="16"/>
  <c r="N424" i="16"/>
  <c r="O424" i="16"/>
  <c r="P424" i="16"/>
  <c r="Q424" i="16"/>
  <c r="R424" i="16"/>
  <c r="S424" i="16"/>
  <c r="T424" i="16"/>
  <c r="U424" i="16"/>
  <c r="V424" i="16"/>
  <c r="A425" i="16"/>
  <c r="B425" i="16"/>
  <c r="C425" i="16"/>
  <c r="D425" i="16"/>
  <c r="E425" i="16"/>
  <c r="F425" i="16"/>
  <c r="G425" i="16"/>
  <c r="H425" i="16"/>
  <c r="I425" i="16"/>
  <c r="J425" i="16"/>
  <c r="K425" i="16"/>
  <c r="L425" i="16"/>
  <c r="M425" i="16"/>
  <c r="N425" i="16"/>
  <c r="O425" i="16"/>
  <c r="P425" i="16"/>
  <c r="Q425" i="16"/>
  <c r="R425" i="16"/>
  <c r="S425" i="16"/>
  <c r="T425" i="16"/>
  <c r="U425" i="16"/>
  <c r="V425" i="16"/>
  <c r="A426" i="16"/>
  <c r="B426" i="16"/>
  <c r="C426" i="16"/>
  <c r="D426" i="16"/>
  <c r="E426" i="16"/>
  <c r="F426" i="16"/>
  <c r="G426" i="16"/>
  <c r="H426" i="16"/>
  <c r="I426" i="16"/>
  <c r="J426" i="16"/>
  <c r="K426" i="16"/>
  <c r="L426" i="16"/>
  <c r="M426" i="16"/>
  <c r="N426" i="16"/>
  <c r="O426" i="16"/>
  <c r="P426" i="16"/>
  <c r="Q426" i="16"/>
  <c r="R426" i="16"/>
  <c r="S426" i="16"/>
  <c r="T426" i="16"/>
  <c r="U426" i="16"/>
  <c r="V426" i="16"/>
  <c r="A427" i="16"/>
  <c r="B427" i="16"/>
  <c r="C427" i="16"/>
  <c r="D427" i="16"/>
  <c r="E427" i="16"/>
  <c r="F427" i="16"/>
  <c r="G427" i="16"/>
  <c r="H427" i="16"/>
  <c r="I427" i="16"/>
  <c r="J427" i="16"/>
  <c r="K427" i="16"/>
  <c r="L427" i="16"/>
  <c r="M427" i="16"/>
  <c r="N427" i="16"/>
  <c r="O427" i="16"/>
  <c r="P427" i="16"/>
  <c r="Q427" i="16"/>
  <c r="R427" i="16"/>
  <c r="S427" i="16"/>
  <c r="T427" i="16"/>
  <c r="U427" i="16"/>
  <c r="V427" i="16"/>
  <c r="A428" i="16"/>
  <c r="B428" i="16"/>
  <c r="C428" i="16"/>
  <c r="D428" i="16"/>
  <c r="E428" i="16"/>
  <c r="F428" i="16"/>
  <c r="G428" i="16"/>
  <c r="H428" i="16"/>
  <c r="I428" i="16"/>
  <c r="J428" i="16"/>
  <c r="K428" i="16"/>
  <c r="L428" i="16"/>
  <c r="M428" i="16"/>
  <c r="N428" i="16"/>
  <c r="O428" i="16"/>
  <c r="P428" i="16"/>
  <c r="Q428" i="16"/>
  <c r="R428" i="16"/>
  <c r="S428" i="16"/>
  <c r="T428" i="16"/>
  <c r="U428" i="16"/>
  <c r="V428" i="16"/>
  <c r="A429" i="16"/>
  <c r="B429" i="16"/>
  <c r="C429" i="16"/>
  <c r="D429" i="16"/>
  <c r="E429" i="16"/>
  <c r="F429" i="16"/>
  <c r="G429" i="16"/>
  <c r="H429" i="16"/>
  <c r="I429" i="16"/>
  <c r="J429" i="16"/>
  <c r="K429" i="16"/>
  <c r="L429" i="16"/>
  <c r="M429" i="16"/>
  <c r="N429" i="16"/>
  <c r="O429" i="16"/>
  <c r="P429" i="16"/>
  <c r="Q429" i="16"/>
  <c r="R429" i="16"/>
  <c r="S429" i="16"/>
  <c r="T429" i="16"/>
  <c r="U429" i="16"/>
  <c r="V429" i="16"/>
  <c r="A430" i="16"/>
  <c r="B430" i="16"/>
  <c r="C430" i="16"/>
  <c r="D430" i="16"/>
  <c r="E430" i="16"/>
  <c r="F430" i="16"/>
  <c r="G430" i="16"/>
  <c r="H430" i="16"/>
  <c r="I430" i="16"/>
  <c r="J430" i="16"/>
  <c r="K430" i="16"/>
  <c r="L430" i="16"/>
  <c r="M430" i="16"/>
  <c r="N430" i="16"/>
  <c r="O430" i="16"/>
  <c r="P430" i="16"/>
  <c r="Q430" i="16"/>
  <c r="R430" i="16"/>
  <c r="S430" i="16"/>
  <c r="T430" i="16"/>
  <c r="U430" i="16"/>
  <c r="V430" i="16"/>
  <c r="A431" i="16"/>
  <c r="B431" i="16"/>
  <c r="C431" i="16"/>
  <c r="D431" i="16"/>
  <c r="E431" i="16"/>
  <c r="F431" i="16"/>
  <c r="G431" i="16"/>
  <c r="H431" i="16"/>
  <c r="I431" i="16"/>
  <c r="J431" i="16"/>
  <c r="K431" i="16"/>
  <c r="L431" i="16"/>
  <c r="M431" i="16"/>
  <c r="N431" i="16"/>
  <c r="O431" i="16"/>
  <c r="P431" i="16"/>
  <c r="Q431" i="16"/>
  <c r="R431" i="16"/>
  <c r="S431" i="16"/>
  <c r="T431" i="16"/>
  <c r="U431" i="16"/>
  <c r="V431" i="16"/>
  <c r="A432" i="16"/>
  <c r="B432" i="16"/>
  <c r="C432" i="16"/>
  <c r="D432" i="16"/>
  <c r="E432" i="16"/>
  <c r="F432" i="16"/>
  <c r="G432" i="16"/>
  <c r="H432" i="16"/>
  <c r="I432" i="16"/>
  <c r="J432" i="16"/>
  <c r="K432" i="16"/>
  <c r="L432" i="16"/>
  <c r="M432" i="16"/>
  <c r="N432" i="16"/>
  <c r="O432" i="16"/>
  <c r="P432" i="16"/>
  <c r="Q432" i="16"/>
  <c r="R432" i="16"/>
  <c r="S432" i="16"/>
  <c r="T432" i="16"/>
  <c r="U432" i="16"/>
  <c r="V432" i="16"/>
  <c r="A433" i="16"/>
  <c r="B433" i="16"/>
  <c r="C433" i="16"/>
  <c r="D433" i="16"/>
  <c r="E433" i="16"/>
  <c r="F433" i="16"/>
  <c r="G433" i="16"/>
  <c r="H433" i="16"/>
  <c r="I433" i="16"/>
  <c r="J433" i="16"/>
  <c r="K433" i="16"/>
  <c r="L433" i="16"/>
  <c r="M433" i="16"/>
  <c r="N433" i="16"/>
  <c r="O433" i="16"/>
  <c r="P433" i="16"/>
  <c r="Q433" i="16"/>
  <c r="R433" i="16"/>
  <c r="S433" i="16"/>
  <c r="T433" i="16"/>
  <c r="U433" i="16"/>
  <c r="V433" i="16"/>
  <c r="A434" i="16"/>
  <c r="B434" i="16"/>
  <c r="C434" i="16"/>
  <c r="D434" i="16"/>
  <c r="E434" i="16"/>
  <c r="F434" i="16"/>
  <c r="G434" i="16"/>
  <c r="H434" i="16"/>
  <c r="I434" i="16"/>
  <c r="J434" i="16"/>
  <c r="K434" i="16"/>
  <c r="L434" i="16"/>
  <c r="M434" i="16"/>
  <c r="N434" i="16"/>
  <c r="O434" i="16"/>
  <c r="P434" i="16"/>
  <c r="Q434" i="16"/>
  <c r="R434" i="16"/>
  <c r="S434" i="16"/>
  <c r="T434" i="16"/>
  <c r="U434" i="16"/>
  <c r="V434" i="16"/>
  <c r="A435" i="16"/>
  <c r="B435" i="16"/>
  <c r="C435" i="16"/>
  <c r="D435" i="16"/>
  <c r="E435" i="16"/>
  <c r="F435" i="16"/>
  <c r="G435" i="16"/>
  <c r="H435" i="16"/>
  <c r="I435" i="16"/>
  <c r="J435" i="16"/>
  <c r="K435" i="16"/>
  <c r="L435" i="16"/>
  <c r="M435" i="16"/>
  <c r="N435" i="16"/>
  <c r="O435" i="16"/>
  <c r="P435" i="16"/>
  <c r="Q435" i="16"/>
  <c r="R435" i="16"/>
  <c r="S435" i="16"/>
  <c r="T435" i="16"/>
  <c r="U435" i="16"/>
  <c r="V435" i="16"/>
  <c r="A436" i="16"/>
  <c r="B436" i="16"/>
  <c r="C436" i="16"/>
  <c r="D436" i="16"/>
  <c r="E436" i="16"/>
  <c r="F436" i="16"/>
  <c r="G436" i="16"/>
  <c r="H436" i="16"/>
  <c r="I436" i="16"/>
  <c r="J436" i="16"/>
  <c r="K436" i="16"/>
  <c r="L436" i="16"/>
  <c r="M436" i="16"/>
  <c r="N436" i="16"/>
  <c r="O436" i="16"/>
  <c r="P436" i="16"/>
  <c r="Q436" i="16"/>
  <c r="R436" i="16"/>
  <c r="S436" i="16"/>
  <c r="T436" i="16"/>
  <c r="U436" i="16"/>
  <c r="V436" i="16"/>
  <c r="A437" i="16"/>
  <c r="B437" i="16"/>
  <c r="C437" i="16"/>
  <c r="D437" i="16"/>
  <c r="E437" i="16"/>
  <c r="F437" i="16"/>
  <c r="G437" i="16"/>
  <c r="H437" i="16"/>
  <c r="I437" i="16"/>
  <c r="J437" i="16"/>
  <c r="K437" i="16"/>
  <c r="L437" i="16"/>
  <c r="M437" i="16"/>
  <c r="N437" i="16"/>
  <c r="O437" i="16"/>
  <c r="P437" i="16"/>
  <c r="Q437" i="16"/>
  <c r="R437" i="16"/>
  <c r="S437" i="16"/>
  <c r="T437" i="16"/>
  <c r="U437" i="16"/>
  <c r="V437" i="16"/>
  <c r="A438" i="16"/>
  <c r="B438" i="16"/>
  <c r="C438" i="16"/>
  <c r="D438" i="16"/>
  <c r="E438" i="16"/>
  <c r="F438" i="16"/>
  <c r="G438" i="16"/>
  <c r="H438" i="16"/>
  <c r="I438" i="16"/>
  <c r="J438" i="16"/>
  <c r="K438" i="16"/>
  <c r="L438" i="16"/>
  <c r="M438" i="16"/>
  <c r="N438" i="16"/>
  <c r="O438" i="16"/>
  <c r="P438" i="16"/>
  <c r="Q438" i="16"/>
  <c r="R438" i="16"/>
  <c r="S438" i="16"/>
  <c r="T438" i="16"/>
  <c r="U438" i="16"/>
  <c r="V438" i="16"/>
  <c r="A439" i="16"/>
  <c r="B439" i="16"/>
  <c r="C439" i="16"/>
  <c r="D439" i="16"/>
  <c r="E439" i="16"/>
  <c r="F439" i="16"/>
  <c r="G439" i="16"/>
  <c r="H439" i="16"/>
  <c r="I439" i="16"/>
  <c r="J439" i="16"/>
  <c r="K439" i="16"/>
  <c r="L439" i="16"/>
  <c r="M439" i="16"/>
  <c r="N439" i="16"/>
  <c r="O439" i="16"/>
  <c r="P439" i="16"/>
  <c r="Q439" i="16"/>
  <c r="R439" i="16"/>
  <c r="S439" i="16"/>
  <c r="T439" i="16"/>
  <c r="U439" i="16"/>
  <c r="V439" i="16"/>
  <c r="A440" i="16"/>
  <c r="B440" i="16"/>
  <c r="C440" i="16"/>
  <c r="D440" i="16"/>
  <c r="E440" i="16"/>
  <c r="F440" i="16"/>
  <c r="G440" i="16"/>
  <c r="H440" i="16"/>
  <c r="I440" i="16"/>
  <c r="J440" i="16"/>
  <c r="K440" i="16"/>
  <c r="L440" i="16"/>
  <c r="M440" i="16"/>
  <c r="N440" i="16"/>
  <c r="O440" i="16"/>
  <c r="P440" i="16"/>
  <c r="Q440" i="16"/>
  <c r="R440" i="16"/>
  <c r="S440" i="16"/>
  <c r="T440" i="16"/>
  <c r="U440" i="16"/>
  <c r="V440" i="16"/>
  <c r="A441" i="16"/>
  <c r="B441" i="16"/>
  <c r="C441" i="16"/>
  <c r="D441" i="16"/>
  <c r="E441" i="16"/>
  <c r="F441" i="16"/>
  <c r="G441" i="16"/>
  <c r="H441" i="16"/>
  <c r="I441" i="16"/>
  <c r="J441" i="16"/>
  <c r="K441" i="16"/>
  <c r="L441" i="16"/>
  <c r="M441" i="16"/>
  <c r="N441" i="16"/>
  <c r="O441" i="16"/>
  <c r="P441" i="16"/>
  <c r="Q441" i="16"/>
  <c r="R441" i="16"/>
  <c r="S441" i="16"/>
  <c r="T441" i="16"/>
  <c r="U441" i="16"/>
  <c r="V441" i="16"/>
  <c r="A442" i="16"/>
  <c r="B442" i="16"/>
  <c r="C442" i="16"/>
  <c r="D442" i="16"/>
  <c r="E442" i="16"/>
  <c r="F442" i="16"/>
  <c r="G442" i="16"/>
  <c r="H442" i="16"/>
  <c r="I442" i="16"/>
  <c r="J442" i="16"/>
  <c r="K442" i="16"/>
  <c r="L442" i="16"/>
  <c r="M442" i="16"/>
  <c r="N442" i="16"/>
  <c r="O442" i="16"/>
  <c r="P442" i="16"/>
  <c r="Q442" i="16"/>
  <c r="R442" i="16"/>
  <c r="S442" i="16"/>
  <c r="T442" i="16"/>
  <c r="U442" i="16"/>
  <c r="V442" i="16"/>
  <c r="A443" i="16"/>
  <c r="B443" i="16"/>
  <c r="C443" i="16"/>
  <c r="D443" i="16"/>
  <c r="E443" i="16"/>
  <c r="F443" i="16"/>
  <c r="G443" i="16"/>
  <c r="H443" i="16"/>
  <c r="I443" i="16"/>
  <c r="J443" i="16"/>
  <c r="K443" i="16"/>
  <c r="L443" i="16"/>
  <c r="M443" i="16"/>
  <c r="N443" i="16"/>
  <c r="O443" i="16"/>
  <c r="P443" i="16"/>
  <c r="Q443" i="16"/>
  <c r="R443" i="16"/>
  <c r="S443" i="16"/>
  <c r="T443" i="16"/>
  <c r="U443" i="16"/>
  <c r="V443" i="16"/>
  <c r="A444" i="16"/>
  <c r="B444" i="16"/>
  <c r="C444" i="16"/>
  <c r="D444" i="16"/>
  <c r="E444" i="16"/>
  <c r="F444" i="16"/>
  <c r="G444" i="16"/>
  <c r="H444" i="16"/>
  <c r="I444" i="16"/>
  <c r="J444" i="16"/>
  <c r="K444" i="16"/>
  <c r="L444" i="16"/>
  <c r="M444" i="16"/>
  <c r="N444" i="16"/>
  <c r="O444" i="16"/>
  <c r="P444" i="16"/>
  <c r="Q444" i="16"/>
  <c r="R444" i="16"/>
  <c r="S444" i="16"/>
  <c r="T444" i="16"/>
  <c r="U444" i="16"/>
  <c r="V444" i="16"/>
  <c r="A445" i="16"/>
  <c r="B445" i="16"/>
  <c r="C445" i="16"/>
  <c r="D445" i="16"/>
  <c r="E445" i="16"/>
  <c r="F445" i="16"/>
  <c r="G445" i="16"/>
  <c r="H445" i="16"/>
  <c r="I445" i="16"/>
  <c r="J445" i="16"/>
  <c r="K445" i="16"/>
  <c r="L445" i="16"/>
  <c r="M445" i="16"/>
  <c r="N445" i="16"/>
  <c r="O445" i="16"/>
  <c r="P445" i="16"/>
  <c r="Q445" i="16"/>
  <c r="R445" i="16"/>
  <c r="S445" i="16"/>
  <c r="T445" i="16"/>
  <c r="U445" i="16"/>
  <c r="V445" i="16"/>
  <c r="A446" i="16"/>
  <c r="B446" i="16"/>
  <c r="C446" i="16"/>
  <c r="D446" i="16"/>
  <c r="E446" i="16"/>
  <c r="F446" i="16"/>
  <c r="G446" i="16"/>
  <c r="H446" i="16"/>
  <c r="I446" i="16"/>
  <c r="J446" i="16"/>
  <c r="K446" i="16"/>
  <c r="L446" i="16"/>
  <c r="M446" i="16"/>
  <c r="N446" i="16"/>
  <c r="O446" i="16"/>
  <c r="P446" i="16"/>
  <c r="Q446" i="16"/>
  <c r="R446" i="16"/>
  <c r="S446" i="16"/>
  <c r="T446" i="16"/>
  <c r="U446" i="16"/>
  <c r="V446" i="16"/>
  <c r="A447" i="16"/>
  <c r="B447" i="16"/>
  <c r="C447" i="16"/>
  <c r="D447" i="16"/>
  <c r="E447" i="16"/>
  <c r="F447" i="16"/>
  <c r="G447" i="16"/>
  <c r="H447" i="16"/>
  <c r="I447" i="16"/>
  <c r="J447" i="16"/>
  <c r="K447" i="16"/>
  <c r="L447" i="16"/>
  <c r="M447" i="16"/>
  <c r="N447" i="16"/>
  <c r="O447" i="16"/>
  <c r="P447" i="16"/>
  <c r="Q447" i="16"/>
  <c r="R447" i="16"/>
  <c r="S447" i="16"/>
  <c r="T447" i="16"/>
  <c r="U447" i="16"/>
  <c r="V447" i="16"/>
  <c r="A448" i="16"/>
  <c r="B448" i="16"/>
  <c r="C448" i="16"/>
  <c r="D448" i="16"/>
  <c r="E448" i="16"/>
  <c r="F448" i="16"/>
  <c r="G448" i="16"/>
  <c r="H448" i="16"/>
  <c r="I448" i="16"/>
  <c r="J448" i="16"/>
  <c r="K448" i="16"/>
  <c r="L448" i="16"/>
  <c r="M448" i="16"/>
  <c r="N448" i="16"/>
  <c r="O448" i="16"/>
  <c r="P448" i="16"/>
  <c r="Q448" i="16"/>
  <c r="R448" i="16"/>
  <c r="S448" i="16"/>
  <c r="T448" i="16"/>
  <c r="U448" i="16"/>
  <c r="V448" i="16"/>
  <c r="A449" i="16"/>
  <c r="B449" i="16"/>
  <c r="C449" i="16"/>
  <c r="D449" i="16"/>
  <c r="E449" i="16"/>
  <c r="F449" i="16"/>
  <c r="G449" i="16"/>
  <c r="H449" i="16"/>
  <c r="I449" i="16"/>
  <c r="J449" i="16"/>
  <c r="K449" i="16"/>
  <c r="L449" i="16"/>
  <c r="M449" i="16"/>
  <c r="N449" i="16"/>
  <c r="O449" i="16"/>
  <c r="P449" i="16"/>
  <c r="Q449" i="16"/>
  <c r="R449" i="16"/>
  <c r="S449" i="16"/>
  <c r="T449" i="16"/>
  <c r="U449" i="16"/>
  <c r="V449" i="16"/>
  <c r="A450" i="16"/>
  <c r="B450" i="16"/>
  <c r="C450" i="16"/>
  <c r="D450" i="16"/>
  <c r="E450" i="16"/>
  <c r="F450" i="16"/>
  <c r="G450" i="16"/>
  <c r="H450" i="16"/>
  <c r="I450" i="16"/>
  <c r="J450" i="16"/>
  <c r="K450" i="16"/>
  <c r="L450" i="16"/>
  <c r="M450" i="16"/>
  <c r="N450" i="16"/>
  <c r="O450" i="16"/>
  <c r="P450" i="16"/>
  <c r="Q450" i="16"/>
  <c r="R450" i="16"/>
  <c r="S450" i="16"/>
  <c r="T450" i="16"/>
  <c r="U450" i="16"/>
  <c r="V450" i="16"/>
  <c r="A451" i="16"/>
  <c r="B451" i="16"/>
  <c r="C451" i="16"/>
  <c r="D451" i="16"/>
  <c r="E451" i="16"/>
  <c r="F451" i="16"/>
  <c r="G451" i="16"/>
  <c r="H451" i="16"/>
  <c r="I451" i="16"/>
  <c r="J451" i="16"/>
  <c r="K451" i="16"/>
  <c r="L451" i="16"/>
  <c r="M451" i="16"/>
  <c r="N451" i="16"/>
  <c r="O451" i="16"/>
  <c r="P451" i="16"/>
  <c r="Q451" i="16"/>
  <c r="R451" i="16"/>
  <c r="S451" i="16"/>
  <c r="T451" i="16"/>
  <c r="U451" i="16"/>
  <c r="V451" i="16"/>
  <c r="A452" i="16"/>
  <c r="B452" i="16"/>
  <c r="C452" i="16"/>
  <c r="D452" i="16"/>
  <c r="E452" i="16"/>
  <c r="F452" i="16"/>
  <c r="G452" i="16"/>
  <c r="H452" i="16"/>
  <c r="I452" i="16"/>
  <c r="J452" i="16"/>
  <c r="K452" i="16"/>
  <c r="L452" i="16"/>
  <c r="M452" i="16"/>
  <c r="N452" i="16"/>
  <c r="O452" i="16"/>
  <c r="P452" i="16"/>
  <c r="Q452" i="16"/>
  <c r="R452" i="16"/>
  <c r="S452" i="16"/>
  <c r="T452" i="16"/>
  <c r="U452" i="16"/>
  <c r="V452" i="16"/>
  <c r="A453" i="16"/>
  <c r="B453" i="16"/>
  <c r="C453" i="16"/>
  <c r="D453" i="16"/>
  <c r="E453" i="16"/>
  <c r="F453" i="16"/>
  <c r="G453" i="16"/>
  <c r="H453" i="16"/>
  <c r="I453" i="16"/>
  <c r="J453" i="16"/>
  <c r="K453" i="16"/>
  <c r="L453" i="16"/>
  <c r="M453" i="16"/>
  <c r="N453" i="16"/>
  <c r="O453" i="16"/>
  <c r="P453" i="16"/>
  <c r="Q453" i="16"/>
  <c r="R453" i="16"/>
  <c r="S453" i="16"/>
  <c r="T453" i="16"/>
  <c r="U453" i="16"/>
  <c r="V453" i="16"/>
  <c r="A454" i="16"/>
  <c r="B454" i="16"/>
  <c r="C454" i="16"/>
  <c r="D454" i="16"/>
  <c r="E454" i="16"/>
  <c r="F454" i="16"/>
  <c r="G454" i="16"/>
  <c r="H454" i="16"/>
  <c r="I454" i="16"/>
  <c r="J454" i="16"/>
  <c r="K454" i="16"/>
  <c r="L454" i="16"/>
  <c r="M454" i="16"/>
  <c r="N454" i="16"/>
  <c r="O454" i="16"/>
  <c r="P454" i="16"/>
  <c r="Q454" i="16"/>
  <c r="R454" i="16"/>
  <c r="S454" i="16"/>
  <c r="T454" i="16"/>
  <c r="U454" i="16"/>
  <c r="V454" i="16"/>
  <c r="A455" i="16"/>
  <c r="B455" i="16"/>
  <c r="C455" i="16"/>
  <c r="D455" i="16"/>
  <c r="E455" i="16"/>
  <c r="F455" i="16"/>
  <c r="G455" i="16"/>
  <c r="H455" i="16"/>
  <c r="I455" i="16"/>
  <c r="J455" i="16"/>
  <c r="K455" i="16"/>
  <c r="L455" i="16"/>
  <c r="M455" i="16"/>
  <c r="N455" i="16"/>
  <c r="O455" i="16"/>
  <c r="P455" i="16"/>
  <c r="Q455" i="16"/>
  <c r="R455" i="16"/>
  <c r="S455" i="16"/>
  <c r="T455" i="16"/>
  <c r="U455" i="16"/>
  <c r="V455" i="16"/>
  <c r="A456" i="16"/>
  <c r="B456" i="16"/>
  <c r="C456" i="16"/>
  <c r="D456" i="16"/>
  <c r="E456" i="16"/>
  <c r="F456" i="16"/>
  <c r="G456" i="16"/>
  <c r="H456" i="16"/>
  <c r="I456" i="16"/>
  <c r="J456" i="16"/>
  <c r="K456" i="16"/>
  <c r="L456" i="16"/>
  <c r="M456" i="16"/>
  <c r="N456" i="16"/>
  <c r="O456" i="16"/>
  <c r="P456" i="16"/>
  <c r="Q456" i="16"/>
  <c r="R456" i="16"/>
  <c r="S456" i="16"/>
  <c r="T456" i="16"/>
  <c r="U456" i="16"/>
  <c r="V456" i="16"/>
  <c r="A457" i="16"/>
  <c r="B457" i="16"/>
  <c r="C457" i="16"/>
  <c r="D457" i="16"/>
  <c r="E457" i="16"/>
  <c r="F457" i="16"/>
  <c r="G457" i="16"/>
  <c r="H457" i="16"/>
  <c r="I457" i="16"/>
  <c r="J457" i="16"/>
  <c r="K457" i="16"/>
  <c r="L457" i="16"/>
  <c r="M457" i="16"/>
  <c r="N457" i="16"/>
  <c r="O457" i="16"/>
  <c r="P457" i="16"/>
  <c r="Q457" i="16"/>
  <c r="R457" i="16"/>
  <c r="S457" i="16"/>
  <c r="T457" i="16"/>
  <c r="U457" i="16"/>
  <c r="V457" i="16"/>
  <c r="A458" i="16"/>
  <c r="B458" i="16"/>
  <c r="C458" i="16"/>
  <c r="D458" i="16"/>
  <c r="E458" i="16"/>
  <c r="F458" i="16"/>
  <c r="G458" i="16"/>
  <c r="H458" i="16"/>
  <c r="I458" i="16"/>
  <c r="J458" i="16"/>
  <c r="K458" i="16"/>
  <c r="L458" i="16"/>
  <c r="M458" i="16"/>
  <c r="N458" i="16"/>
  <c r="O458" i="16"/>
  <c r="P458" i="16"/>
  <c r="Q458" i="16"/>
  <c r="R458" i="16"/>
  <c r="S458" i="16"/>
  <c r="T458" i="16"/>
  <c r="U458" i="16"/>
  <c r="V458" i="16"/>
  <c r="A459" i="16"/>
  <c r="B459" i="16"/>
  <c r="C459" i="16"/>
  <c r="D459" i="16"/>
  <c r="E459" i="16"/>
  <c r="F459" i="16"/>
  <c r="G459" i="16"/>
  <c r="H459" i="16"/>
  <c r="I459" i="16"/>
  <c r="J459" i="16"/>
  <c r="K459" i="16"/>
  <c r="L459" i="16"/>
  <c r="M459" i="16"/>
  <c r="N459" i="16"/>
  <c r="O459" i="16"/>
  <c r="P459" i="16"/>
  <c r="Q459" i="16"/>
  <c r="R459" i="16"/>
  <c r="S459" i="16"/>
  <c r="T459" i="16"/>
  <c r="U459" i="16"/>
  <c r="V459" i="16"/>
  <c r="A460" i="16"/>
  <c r="B460" i="16"/>
  <c r="C460" i="16"/>
  <c r="D460" i="16"/>
  <c r="E460" i="16"/>
  <c r="F460" i="16"/>
  <c r="G460" i="16"/>
  <c r="H460" i="16"/>
  <c r="I460" i="16"/>
  <c r="J460" i="16"/>
  <c r="K460" i="16"/>
  <c r="L460" i="16"/>
  <c r="M460" i="16"/>
  <c r="N460" i="16"/>
  <c r="O460" i="16"/>
  <c r="P460" i="16"/>
  <c r="Q460" i="16"/>
  <c r="R460" i="16"/>
  <c r="S460" i="16"/>
  <c r="T460" i="16"/>
  <c r="U460" i="16"/>
  <c r="V460" i="16"/>
  <c r="A461" i="16"/>
  <c r="B461" i="16"/>
  <c r="C461" i="16"/>
  <c r="D461" i="16"/>
  <c r="E461" i="16"/>
  <c r="F461" i="16"/>
  <c r="G461" i="16"/>
  <c r="H461" i="16"/>
  <c r="I461" i="16"/>
  <c r="J461" i="16"/>
  <c r="K461" i="16"/>
  <c r="L461" i="16"/>
  <c r="M461" i="16"/>
  <c r="N461" i="16"/>
  <c r="O461" i="16"/>
  <c r="P461" i="16"/>
  <c r="Q461" i="16"/>
  <c r="R461" i="16"/>
  <c r="S461" i="16"/>
  <c r="T461" i="16"/>
  <c r="U461" i="16"/>
  <c r="V461" i="16"/>
  <c r="A462" i="16"/>
  <c r="B462" i="16"/>
  <c r="C462" i="16"/>
  <c r="D462" i="16"/>
  <c r="E462" i="16"/>
  <c r="F462" i="16"/>
  <c r="G462" i="16"/>
  <c r="H462" i="16"/>
  <c r="I462" i="16"/>
  <c r="J462" i="16"/>
  <c r="K462" i="16"/>
  <c r="L462" i="16"/>
  <c r="M462" i="16"/>
  <c r="N462" i="16"/>
  <c r="O462" i="16"/>
  <c r="P462" i="16"/>
  <c r="Q462" i="16"/>
  <c r="R462" i="16"/>
  <c r="S462" i="16"/>
  <c r="T462" i="16"/>
  <c r="U462" i="16"/>
  <c r="V462" i="16"/>
  <c r="A463" i="16"/>
  <c r="B463" i="16"/>
  <c r="C463" i="16"/>
  <c r="D463" i="16"/>
  <c r="E463" i="16"/>
  <c r="F463" i="16"/>
  <c r="G463" i="16"/>
  <c r="H463" i="16"/>
  <c r="I463" i="16"/>
  <c r="J463" i="16"/>
  <c r="K463" i="16"/>
  <c r="L463" i="16"/>
  <c r="M463" i="16"/>
  <c r="N463" i="16"/>
  <c r="O463" i="16"/>
  <c r="P463" i="16"/>
  <c r="Q463" i="16"/>
  <c r="R463" i="16"/>
  <c r="S463" i="16"/>
  <c r="T463" i="16"/>
  <c r="U463" i="16"/>
  <c r="V463" i="16"/>
  <c r="A464" i="16"/>
  <c r="B464" i="16"/>
  <c r="C464" i="16"/>
  <c r="D464" i="16"/>
  <c r="E464" i="16"/>
  <c r="F464" i="16"/>
  <c r="G464" i="16"/>
  <c r="H464" i="16"/>
  <c r="I464" i="16"/>
  <c r="J464" i="16"/>
  <c r="K464" i="16"/>
  <c r="L464" i="16"/>
  <c r="M464" i="16"/>
  <c r="N464" i="16"/>
  <c r="O464" i="16"/>
  <c r="P464" i="16"/>
  <c r="Q464" i="16"/>
  <c r="R464" i="16"/>
  <c r="S464" i="16"/>
  <c r="T464" i="16"/>
  <c r="U464" i="16"/>
  <c r="V464" i="16"/>
  <c r="A465" i="16"/>
  <c r="B465" i="16"/>
  <c r="C465" i="16"/>
  <c r="D465" i="16"/>
  <c r="E465" i="16"/>
  <c r="F465" i="16"/>
  <c r="G465" i="16"/>
  <c r="H465" i="16"/>
  <c r="I465" i="16"/>
  <c r="J465" i="16"/>
  <c r="K465" i="16"/>
  <c r="L465" i="16"/>
  <c r="M465" i="16"/>
  <c r="N465" i="16"/>
  <c r="O465" i="16"/>
  <c r="P465" i="16"/>
  <c r="Q465" i="16"/>
  <c r="R465" i="16"/>
  <c r="S465" i="16"/>
  <c r="T465" i="16"/>
  <c r="U465" i="16"/>
  <c r="V465" i="16"/>
  <c r="A466" i="16"/>
  <c r="B466" i="16"/>
  <c r="C466" i="16"/>
  <c r="D466" i="16"/>
  <c r="E466" i="16"/>
  <c r="F466" i="16"/>
  <c r="G466" i="16"/>
  <c r="H466" i="16"/>
  <c r="I466" i="16"/>
  <c r="J466" i="16"/>
  <c r="K466" i="16"/>
  <c r="L466" i="16"/>
  <c r="M466" i="16"/>
  <c r="N466" i="16"/>
  <c r="O466" i="16"/>
  <c r="P466" i="16"/>
  <c r="Q466" i="16"/>
  <c r="R466" i="16"/>
  <c r="S466" i="16"/>
  <c r="T466" i="16"/>
  <c r="U466" i="16"/>
  <c r="V466" i="16"/>
  <c r="A467" i="16"/>
  <c r="B467" i="16"/>
  <c r="C467" i="16"/>
  <c r="D467" i="16"/>
  <c r="E467" i="16"/>
  <c r="F467" i="16"/>
  <c r="G467" i="16"/>
  <c r="H467" i="16"/>
  <c r="I467" i="16"/>
  <c r="J467" i="16"/>
  <c r="K467" i="16"/>
  <c r="L467" i="16"/>
  <c r="M467" i="16"/>
  <c r="N467" i="16"/>
  <c r="O467" i="16"/>
  <c r="P467" i="16"/>
  <c r="Q467" i="16"/>
  <c r="R467" i="16"/>
  <c r="S467" i="16"/>
  <c r="T467" i="16"/>
  <c r="U467" i="16"/>
  <c r="V467" i="16"/>
  <c r="A468" i="16"/>
  <c r="B468" i="16"/>
  <c r="C468" i="16"/>
  <c r="D468" i="16"/>
  <c r="E468" i="16"/>
  <c r="F468" i="16"/>
  <c r="G468" i="16"/>
  <c r="H468" i="16"/>
  <c r="I468" i="16"/>
  <c r="J468" i="16"/>
  <c r="K468" i="16"/>
  <c r="L468" i="16"/>
  <c r="M468" i="16"/>
  <c r="N468" i="16"/>
  <c r="O468" i="16"/>
  <c r="P468" i="16"/>
  <c r="Q468" i="16"/>
  <c r="R468" i="16"/>
  <c r="S468" i="16"/>
  <c r="T468" i="16"/>
  <c r="U468" i="16"/>
  <c r="V468" i="16"/>
  <c r="A469" i="16"/>
  <c r="B469" i="16"/>
  <c r="C469" i="16"/>
  <c r="D469" i="16"/>
  <c r="E469" i="16"/>
  <c r="F469" i="16"/>
  <c r="G469" i="16"/>
  <c r="H469" i="16"/>
  <c r="I469" i="16"/>
  <c r="J469" i="16"/>
  <c r="K469" i="16"/>
  <c r="L469" i="16"/>
  <c r="M469" i="16"/>
  <c r="N469" i="16"/>
  <c r="O469" i="16"/>
  <c r="P469" i="16"/>
  <c r="Q469" i="16"/>
  <c r="R469" i="16"/>
  <c r="S469" i="16"/>
  <c r="T469" i="16"/>
  <c r="U469" i="16"/>
  <c r="V469" i="16"/>
  <c r="A470" i="16"/>
  <c r="B470" i="16"/>
  <c r="C470" i="16"/>
  <c r="D470" i="16"/>
  <c r="E470" i="16"/>
  <c r="F470" i="16"/>
  <c r="G470" i="16"/>
  <c r="H470" i="16"/>
  <c r="I470" i="16"/>
  <c r="J470" i="16"/>
  <c r="K470" i="16"/>
  <c r="L470" i="16"/>
  <c r="M470" i="16"/>
  <c r="N470" i="16"/>
  <c r="O470" i="16"/>
  <c r="P470" i="16"/>
  <c r="Q470" i="16"/>
  <c r="R470" i="16"/>
  <c r="S470" i="16"/>
  <c r="T470" i="16"/>
  <c r="U470" i="16"/>
  <c r="V470" i="16"/>
  <c r="A471" i="16"/>
  <c r="B471" i="16"/>
  <c r="C471" i="16"/>
  <c r="D471" i="16"/>
  <c r="E471" i="16"/>
  <c r="F471" i="16"/>
  <c r="G471" i="16"/>
  <c r="H471" i="16"/>
  <c r="I471" i="16"/>
  <c r="J471" i="16"/>
  <c r="K471" i="16"/>
  <c r="L471" i="16"/>
  <c r="M471" i="16"/>
  <c r="N471" i="16"/>
  <c r="O471" i="16"/>
  <c r="P471" i="16"/>
  <c r="Q471" i="16"/>
  <c r="R471" i="16"/>
  <c r="S471" i="16"/>
  <c r="T471" i="16"/>
  <c r="U471" i="16"/>
  <c r="V471" i="16"/>
  <c r="A472" i="16"/>
  <c r="B472" i="16"/>
  <c r="C472" i="16"/>
  <c r="D472" i="16"/>
  <c r="E472" i="16"/>
  <c r="F472" i="16"/>
  <c r="G472" i="16"/>
  <c r="H472" i="16"/>
  <c r="I472" i="16"/>
  <c r="J472" i="16"/>
  <c r="K472" i="16"/>
  <c r="L472" i="16"/>
  <c r="M472" i="16"/>
  <c r="N472" i="16"/>
  <c r="O472" i="16"/>
  <c r="P472" i="16"/>
  <c r="Q472" i="16"/>
  <c r="R472" i="16"/>
  <c r="S472" i="16"/>
  <c r="T472" i="16"/>
  <c r="U472" i="16"/>
  <c r="V472" i="16"/>
  <c r="A473" i="16"/>
  <c r="B473" i="16"/>
  <c r="C473" i="16"/>
  <c r="D473" i="16"/>
  <c r="E473" i="16"/>
  <c r="F473" i="16"/>
  <c r="G473" i="16"/>
  <c r="H473" i="16"/>
  <c r="I473" i="16"/>
  <c r="J473" i="16"/>
  <c r="K473" i="16"/>
  <c r="L473" i="16"/>
  <c r="M473" i="16"/>
  <c r="N473" i="16"/>
  <c r="O473" i="16"/>
  <c r="P473" i="16"/>
  <c r="Q473" i="16"/>
  <c r="R473" i="16"/>
  <c r="S473" i="16"/>
  <c r="T473" i="16"/>
  <c r="U473" i="16"/>
  <c r="V473" i="16"/>
  <c r="A474" i="16"/>
  <c r="B474" i="16"/>
  <c r="C474" i="16"/>
  <c r="D474" i="16"/>
  <c r="E474" i="16"/>
  <c r="F474" i="16"/>
  <c r="G474" i="16"/>
  <c r="H474" i="16"/>
  <c r="I474" i="16"/>
  <c r="J474" i="16"/>
  <c r="K474" i="16"/>
  <c r="L474" i="16"/>
  <c r="M474" i="16"/>
  <c r="N474" i="16"/>
  <c r="O474" i="16"/>
  <c r="P474" i="16"/>
  <c r="Q474" i="16"/>
  <c r="R474" i="16"/>
  <c r="S474" i="16"/>
  <c r="T474" i="16"/>
  <c r="U474" i="16"/>
  <c r="V474" i="16"/>
  <c r="A475" i="16"/>
  <c r="B475" i="16"/>
  <c r="C475" i="16"/>
  <c r="D475" i="16"/>
  <c r="E475" i="16"/>
  <c r="F475" i="16"/>
  <c r="G475" i="16"/>
  <c r="H475" i="16"/>
  <c r="I475" i="16"/>
  <c r="J475" i="16"/>
  <c r="K475" i="16"/>
  <c r="L475" i="16"/>
  <c r="M475" i="16"/>
  <c r="N475" i="16"/>
  <c r="O475" i="16"/>
  <c r="P475" i="16"/>
  <c r="Q475" i="16"/>
  <c r="R475" i="16"/>
  <c r="S475" i="16"/>
  <c r="T475" i="16"/>
  <c r="U475" i="16"/>
  <c r="V475" i="16"/>
  <c r="A476" i="16"/>
  <c r="B476" i="16"/>
  <c r="C476" i="16"/>
  <c r="D476" i="16"/>
  <c r="E476" i="16"/>
  <c r="F476" i="16"/>
  <c r="G476" i="16"/>
  <c r="H476" i="16"/>
  <c r="I476" i="16"/>
  <c r="J476" i="16"/>
  <c r="K476" i="16"/>
  <c r="L476" i="16"/>
  <c r="M476" i="16"/>
  <c r="N476" i="16"/>
  <c r="O476" i="16"/>
  <c r="P476" i="16"/>
  <c r="Q476" i="16"/>
  <c r="R476" i="16"/>
  <c r="S476" i="16"/>
  <c r="T476" i="16"/>
  <c r="U476" i="16"/>
  <c r="V476" i="16"/>
  <c r="A477" i="16"/>
  <c r="B477" i="16"/>
  <c r="C477" i="16"/>
  <c r="D477" i="16"/>
  <c r="E477" i="16"/>
  <c r="F477" i="16"/>
  <c r="G477" i="16"/>
  <c r="H477" i="16"/>
  <c r="I477" i="16"/>
  <c r="J477" i="16"/>
  <c r="K477" i="16"/>
  <c r="L477" i="16"/>
  <c r="M477" i="16"/>
  <c r="N477" i="16"/>
  <c r="O477" i="16"/>
  <c r="P477" i="16"/>
  <c r="Q477" i="16"/>
  <c r="R477" i="16"/>
  <c r="S477" i="16"/>
  <c r="T477" i="16"/>
  <c r="U477" i="16"/>
  <c r="V477" i="16"/>
  <c r="A478" i="16"/>
  <c r="B478" i="16"/>
  <c r="C478" i="16"/>
  <c r="D478" i="16"/>
  <c r="E478" i="16"/>
  <c r="F478" i="16"/>
  <c r="G478" i="16"/>
  <c r="H478" i="16"/>
  <c r="I478" i="16"/>
  <c r="J478" i="16"/>
  <c r="K478" i="16"/>
  <c r="L478" i="16"/>
  <c r="M478" i="16"/>
  <c r="N478" i="16"/>
  <c r="O478" i="16"/>
  <c r="P478" i="16"/>
  <c r="Q478" i="16"/>
  <c r="R478" i="16"/>
  <c r="S478" i="16"/>
  <c r="T478" i="16"/>
  <c r="U478" i="16"/>
  <c r="V478" i="16"/>
  <c r="A479" i="16"/>
  <c r="B479" i="16"/>
  <c r="C479" i="16"/>
  <c r="D479" i="16"/>
  <c r="E479" i="16"/>
  <c r="F479" i="16"/>
  <c r="G479" i="16"/>
  <c r="H479" i="16"/>
  <c r="I479" i="16"/>
  <c r="J479" i="16"/>
  <c r="K479" i="16"/>
  <c r="L479" i="16"/>
  <c r="M479" i="16"/>
  <c r="N479" i="16"/>
  <c r="O479" i="16"/>
  <c r="P479" i="16"/>
  <c r="Q479" i="16"/>
  <c r="R479" i="16"/>
  <c r="S479" i="16"/>
  <c r="T479" i="16"/>
  <c r="U479" i="16"/>
  <c r="V479" i="16"/>
  <c r="A480" i="16"/>
  <c r="B480" i="16"/>
  <c r="C480" i="16"/>
  <c r="D480" i="16"/>
  <c r="E480" i="16"/>
  <c r="F480" i="16"/>
  <c r="G480" i="16"/>
  <c r="H480" i="16"/>
  <c r="I480" i="16"/>
  <c r="J480" i="16"/>
  <c r="K480" i="16"/>
  <c r="L480" i="16"/>
  <c r="M480" i="16"/>
  <c r="N480" i="16"/>
  <c r="O480" i="16"/>
  <c r="P480" i="16"/>
  <c r="Q480" i="16"/>
  <c r="R480" i="16"/>
  <c r="S480" i="16"/>
  <c r="T480" i="16"/>
  <c r="U480" i="16"/>
  <c r="V480" i="16"/>
  <c r="A481" i="16"/>
  <c r="B481" i="16"/>
  <c r="C481" i="16"/>
  <c r="D481" i="16"/>
  <c r="E481" i="16"/>
  <c r="F481" i="16"/>
  <c r="G481" i="16"/>
  <c r="H481" i="16"/>
  <c r="I481" i="16"/>
  <c r="J481" i="16"/>
  <c r="K481" i="16"/>
  <c r="L481" i="16"/>
  <c r="M481" i="16"/>
  <c r="N481" i="16"/>
  <c r="O481" i="16"/>
  <c r="P481" i="16"/>
  <c r="Q481" i="16"/>
  <c r="R481" i="16"/>
  <c r="S481" i="16"/>
  <c r="T481" i="16"/>
  <c r="U481" i="16"/>
  <c r="V481" i="16"/>
  <c r="A482" i="16"/>
  <c r="B482" i="16"/>
  <c r="C482" i="16"/>
  <c r="D482" i="16"/>
  <c r="E482" i="16"/>
  <c r="F482" i="16"/>
  <c r="G482" i="16"/>
  <c r="H482" i="16"/>
  <c r="I482" i="16"/>
  <c r="J482" i="16"/>
  <c r="K482" i="16"/>
  <c r="L482" i="16"/>
  <c r="M482" i="16"/>
  <c r="N482" i="16"/>
  <c r="O482" i="16"/>
  <c r="P482" i="16"/>
  <c r="Q482" i="16"/>
  <c r="R482" i="16"/>
  <c r="S482" i="16"/>
  <c r="T482" i="16"/>
  <c r="U482" i="16"/>
  <c r="V482" i="16"/>
  <c r="A483" i="16"/>
  <c r="B483" i="16"/>
  <c r="C483" i="16"/>
  <c r="D483" i="16"/>
  <c r="E483" i="16"/>
  <c r="F483" i="16"/>
  <c r="G483" i="16"/>
  <c r="H483" i="16"/>
  <c r="I483" i="16"/>
  <c r="J483" i="16"/>
  <c r="K483" i="16"/>
  <c r="L483" i="16"/>
  <c r="M483" i="16"/>
  <c r="N483" i="16"/>
  <c r="O483" i="16"/>
  <c r="P483" i="16"/>
  <c r="Q483" i="16"/>
  <c r="R483" i="16"/>
  <c r="S483" i="16"/>
  <c r="T483" i="16"/>
  <c r="U483" i="16"/>
  <c r="V483" i="16"/>
  <c r="A484" i="16"/>
  <c r="B484" i="16"/>
  <c r="C484" i="16"/>
  <c r="D484" i="16"/>
  <c r="E484" i="16"/>
  <c r="F484" i="16"/>
  <c r="G484" i="16"/>
  <c r="H484" i="16"/>
  <c r="I484" i="16"/>
  <c r="J484" i="16"/>
  <c r="K484" i="16"/>
  <c r="L484" i="16"/>
  <c r="M484" i="16"/>
  <c r="N484" i="16"/>
  <c r="O484" i="16"/>
  <c r="P484" i="16"/>
  <c r="Q484" i="16"/>
  <c r="R484" i="16"/>
  <c r="S484" i="16"/>
  <c r="T484" i="16"/>
  <c r="U484" i="16"/>
  <c r="V484" i="16"/>
  <c r="A485" i="16"/>
  <c r="B485" i="16"/>
  <c r="C485" i="16"/>
  <c r="D485" i="16"/>
  <c r="E485" i="16"/>
  <c r="F485" i="16"/>
  <c r="G485" i="16"/>
  <c r="H485" i="16"/>
  <c r="I485" i="16"/>
  <c r="J485" i="16"/>
  <c r="K485" i="16"/>
  <c r="L485" i="16"/>
  <c r="M485" i="16"/>
  <c r="N485" i="16"/>
  <c r="O485" i="16"/>
  <c r="P485" i="16"/>
  <c r="Q485" i="16"/>
  <c r="R485" i="16"/>
  <c r="S485" i="16"/>
  <c r="T485" i="16"/>
  <c r="U485" i="16"/>
  <c r="V485" i="16"/>
  <c r="A486" i="16"/>
  <c r="B486" i="16"/>
  <c r="C486" i="16"/>
  <c r="D486" i="16"/>
  <c r="E486" i="16"/>
  <c r="F486" i="16"/>
  <c r="G486" i="16"/>
  <c r="H486" i="16"/>
  <c r="I486" i="16"/>
  <c r="J486" i="16"/>
  <c r="K486" i="16"/>
  <c r="L486" i="16"/>
  <c r="M486" i="16"/>
  <c r="N486" i="16"/>
  <c r="O486" i="16"/>
  <c r="P486" i="16"/>
  <c r="Q486" i="16"/>
  <c r="R486" i="16"/>
  <c r="S486" i="16"/>
  <c r="T486" i="16"/>
  <c r="U486" i="16"/>
  <c r="V486" i="16"/>
  <c r="A487" i="16"/>
  <c r="B487" i="16"/>
  <c r="C487" i="16"/>
  <c r="D487" i="16"/>
  <c r="E487" i="16"/>
  <c r="F487" i="16"/>
  <c r="G487" i="16"/>
  <c r="H487" i="16"/>
  <c r="I487" i="16"/>
  <c r="J487" i="16"/>
  <c r="K487" i="16"/>
  <c r="L487" i="16"/>
  <c r="M487" i="16"/>
  <c r="N487" i="16"/>
  <c r="O487" i="16"/>
  <c r="P487" i="16"/>
  <c r="Q487" i="16"/>
  <c r="R487" i="16"/>
  <c r="S487" i="16"/>
  <c r="T487" i="16"/>
  <c r="U487" i="16"/>
  <c r="V487" i="16"/>
  <c r="A488" i="16"/>
  <c r="B488" i="16"/>
  <c r="C488" i="16"/>
  <c r="D488" i="16"/>
  <c r="E488" i="16"/>
  <c r="F488" i="16"/>
  <c r="G488" i="16"/>
  <c r="H488" i="16"/>
  <c r="I488" i="16"/>
  <c r="J488" i="16"/>
  <c r="K488" i="16"/>
  <c r="L488" i="16"/>
  <c r="M488" i="16"/>
  <c r="N488" i="16"/>
  <c r="O488" i="16"/>
  <c r="P488" i="16"/>
  <c r="Q488" i="16"/>
  <c r="R488" i="16"/>
  <c r="S488" i="16"/>
  <c r="T488" i="16"/>
  <c r="U488" i="16"/>
  <c r="V488" i="16"/>
  <c r="A489" i="16"/>
  <c r="B489" i="16"/>
  <c r="C489" i="16"/>
  <c r="D489" i="16"/>
  <c r="E489" i="16"/>
  <c r="F489" i="16"/>
  <c r="G489" i="16"/>
  <c r="H489" i="16"/>
  <c r="I489" i="16"/>
  <c r="J489" i="16"/>
  <c r="K489" i="16"/>
  <c r="L489" i="16"/>
  <c r="M489" i="16"/>
  <c r="N489" i="16"/>
  <c r="O489" i="16"/>
  <c r="P489" i="16"/>
  <c r="Q489" i="16"/>
  <c r="R489" i="16"/>
  <c r="S489" i="16"/>
  <c r="T489" i="16"/>
  <c r="U489" i="16"/>
  <c r="V489" i="16"/>
  <c r="A490" i="16"/>
  <c r="B490" i="16"/>
  <c r="C490" i="16"/>
  <c r="D490" i="16"/>
  <c r="E490" i="16"/>
  <c r="F490" i="16"/>
  <c r="G490" i="16"/>
  <c r="H490" i="16"/>
  <c r="I490" i="16"/>
  <c r="J490" i="16"/>
  <c r="K490" i="16"/>
  <c r="L490" i="16"/>
  <c r="M490" i="16"/>
  <c r="N490" i="16"/>
  <c r="O490" i="16"/>
  <c r="P490" i="16"/>
  <c r="Q490" i="16"/>
  <c r="R490" i="16"/>
  <c r="S490" i="16"/>
  <c r="T490" i="16"/>
  <c r="U490" i="16"/>
  <c r="V490" i="16"/>
  <c r="A491" i="16"/>
  <c r="B491" i="16"/>
  <c r="C491" i="16"/>
  <c r="D491" i="16"/>
  <c r="E491" i="16"/>
  <c r="F491" i="16"/>
  <c r="G491" i="16"/>
  <c r="H491" i="16"/>
  <c r="I491" i="16"/>
  <c r="J491" i="16"/>
  <c r="K491" i="16"/>
  <c r="L491" i="16"/>
  <c r="M491" i="16"/>
  <c r="N491" i="16"/>
  <c r="O491" i="16"/>
  <c r="P491" i="16"/>
  <c r="Q491" i="16"/>
  <c r="R491" i="16"/>
  <c r="S491" i="16"/>
  <c r="T491" i="16"/>
  <c r="U491" i="16"/>
  <c r="V491" i="16"/>
  <c r="A492" i="16"/>
  <c r="B492" i="16"/>
  <c r="C492" i="16"/>
  <c r="D492" i="16"/>
  <c r="E492" i="16"/>
  <c r="F492" i="16"/>
  <c r="G492" i="16"/>
  <c r="H492" i="16"/>
  <c r="I492" i="16"/>
  <c r="J492" i="16"/>
  <c r="K492" i="16"/>
  <c r="L492" i="16"/>
  <c r="M492" i="16"/>
  <c r="N492" i="16"/>
  <c r="O492" i="16"/>
  <c r="P492" i="16"/>
  <c r="Q492" i="16"/>
  <c r="R492" i="16"/>
  <c r="S492" i="16"/>
  <c r="T492" i="16"/>
  <c r="U492" i="16"/>
  <c r="V492" i="16"/>
  <c r="A493" i="16"/>
  <c r="B493" i="16"/>
  <c r="C493" i="16"/>
  <c r="D493" i="16"/>
  <c r="E493" i="16"/>
  <c r="F493" i="16"/>
  <c r="G493" i="16"/>
  <c r="H493" i="16"/>
  <c r="I493" i="16"/>
  <c r="J493" i="16"/>
  <c r="K493" i="16"/>
  <c r="L493" i="16"/>
  <c r="M493" i="16"/>
  <c r="N493" i="16"/>
  <c r="O493" i="16"/>
  <c r="P493" i="16"/>
  <c r="Q493" i="16"/>
  <c r="R493" i="16"/>
  <c r="S493" i="16"/>
  <c r="T493" i="16"/>
  <c r="U493" i="16"/>
  <c r="V493" i="16"/>
  <c r="A494" i="16"/>
  <c r="B494" i="16"/>
  <c r="C494" i="16"/>
  <c r="D494" i="16"/>
  <c r="E494" i="16"/>
  <c r="F494" i="16"/>
  <c r="G494" i="16"/>
  <c r="H494" i="16"/>
  <c r="I494" i="16"/>
  <c r="J494" i="16"/>
  <c r="K494" i="16"/>
  <c r="L494" i="16"/>
  <c r="M494" i="16"/>
  <c r="N494" i="16"/>
  <c r="O494" i="16"/>
  <c r="P494" i="16"/>
  <c r="Q494" i="16"/>
  <c r="R494" i="16"/>
  <c r="S494" i="16"/>
  <c r="T494" i="16"/>
  <c r="U494" i="16"/>
  <c r="V494" i="16"/>
  <c r="A495" i="16"/>
  <c r="B495" i="16"/>
  <c r="C495" i="16"/>
  <c r="D495" i="16"/>
  <c r="E495" i="16"/>
  <c r="F495" i="16"/>
  <c r="G495" i="16"/>
  <c r="H495" i="16"/>
  <c r="I495" i="16"/>
  <c r="J495" i="16"/>
  <c r="K495" i="16"/>
  <c r="L495" i="16"/>
  <c r="M495" i="16"/>
  <c r="N495" i="16"/>
  <c r="O495" i="16"/>
  <c r="P495" i="16"/>
  <c r="Q495" i="16"/>
  <c r="R495" i="16"/>
  <c r="S495" i="16"/>
  <c r="T495" i="16"/>
  <c r="U495" i="16"/>
  <c r="V495" i="16"/>
  <c r="A496" i="16"/>
  <c r="B496" i="16"/>
  <c r="C496" i="16"/>
  <c r="D496" i="16"/>
  <c r="E496" i="16"/>
  <c r="F496" i="16"/>
  <c r="G496" i="16"/>
  <c r="H496" i="16"/>
  <c r="I496" i="16"/>
  <c r="J496" i="16"/>
  <c r="K496" i="16"/>
  <c r="L496" i="16"/>
  <c r="M496" i="16"/>
  <c r="N496" i="16"/>
  <c r="O496" i="16"/>
  <c r="P496" i="16"/>
  <c r="Q496" i="16"/>
  <c r="R496" i="16"/>
  <c r="S496" i="16"/>
  <c r="T496" i="16"/>
  <c r="U496" i="16"/>
  <c r="V496" i="16"/>
  <c r="A497" i="16"/>
  <c r="B497" i="16"/>
  <c r="C497" i="16"/>
  <c r="D497" i="16"/>
  <c r="E497" i="16"/>
  <c r="F497" i="16"/>
  <c r="G497" i="16"/>
  <c r="H497" i="16"/>
  <c r="I497" i="16"/>
  <c r="J497" i="16"/>
  <c r="K497" i="16"/>
  <c r="L497" i="16"/>
  <c r="M497" i="16"/>
  <c r="N497" i="16"/>
  <c r="O497" i="16"/>
  <c r="P497" i="16"/>
  <c r="Q497" i="16"/>
  <c r="R497" i="16"/>
  <c r="S497" i="16"/>
  <c r="T497" i="16"/>
  <c r="U497" i="16"/>
  <c r="V497" i="16"/>
  <c r="A498" i="16"/>
  <c r="B498" i="16"/>
  <c r="C498" i="16"/>
  <c r="D498" i="16"/>
  <c r="E498" i="16"/>
  <c r="F498" i="16"/>
  <c r="G498" i="16"/>
  <c r="H498" i="16"/>
  <c r="I498" i="16"/>
  <c r="J498" i="16"/>
  <c r="K498" i="16"/>
  <c r="L498" i="16"/>
  <c r="M498" i="16"/>
  <c r="N498" i="16"/>
  <c r="O498" i="16"/>
  <c r="P498" i="16"/>
  <c r="Q498" i="16"/>
  <c r="R498" i="16"/>
  <c r="S498" i="16"/>
  <c r="T498" i="16"/>
  <c r="U498" i="16"/>
  <c r="V498" i="16"/>
  <c r="A499" i="16"/>
  <c r="B499" i="16"/>
  <c r="C499" i="16"/>
  <c r="D499" i="16"/>
  <c r="E499" i="16"/>
  <c r="F499" i="16"/>
  <c r="G499" i="16"/>
  <c r="H499" i="16"/>
  <c r="I499" i="16"/>
  <c r="J499" i="16"/>
  <c r="K499" i="16"/>
  <c r="L499" i="16"/>
  <c r="M499" i="16"/>
  <c r="N499" i="16"/>
  <c r="O499" i="16"/>
  <c r="P499" i="16"/>
  <c r="Q499" i="16"/>
  <c r="R499" i="16"/>
  <c r="S499" i="16"/>
  <c r="T499" i="16"/>
  <c r="U499" i="16"/>
  <c r="V499" i="16"/>
  <c r="A500" i="16"/>
  <c r="B500" i="16"/>
  <c r="C500" i="16"/>
  <c r="D500" i="16"/>
  <c r="E500" i="16"/>
  <c r="F500" i="16"/>
  <c r="G500" i="16"/>
  <c r="H500" i="16"/>
  <c r="I500" i="16"/>
  <c r="J500" i="16"/>
  <c r="K500" i="16"/>
  <c r="L500" i="16"/>
  <c r="M500" i="16"/>
  <c r="N500" i="16"/>
  <c r="O500" i="16"/>
  <c r="P500" i="16"/>
  <c r="Q500" i="16"/>
  <c r="R500" i="16"/>
  <c r="S500" i="16"/>
  <c r="T500" i="16"/>
  <c r="U500" i="16"/>
  <c r="V500" i="16"/>
  <c r="A501" i="16"/>
  <c r="B501" i="16"/>
  <c r="C501" i="16"/>
  <c r="D501" i="16"/>
  <c r="E501" i="16"/>
  <c r="F501" i="16"/>
  <c r="G501" i="16"/>
  <c r="H501" i="16"/>
  <c r="I501" i="16"/>
  <c r="J501" i="16"/>
  <c r="K501" i="16"/>
  <c r="L501" i="16"/>
  <c r="M501" i="16"/>
  <c r="N501" i="16"/>
  <c r="O501" i="16"/>
  <c r="P501" i="16"/>
  <c r="Q501" i="16"/>
  <c r="R501" i="16"/>
  <c r="S501" i="16"/>
  <c r="T501" i="16"/>
  <c r="U501" i="16"/>
  <c r="V501" i="16"/>
  <c r="A502" i="16"/>
  <c r="B502" i="16"/>
  <c r="C502" i="16"/>
  <c r="D502" i="16"/>
  <c r="E502" i="16"/>
  <c r="F502" i="16"/>
  <c r="G502" i="16"/>
  <c r="H502" i="16"/>
  <c r="I502" i="16"/>
  <c r="J502" i="16"/>
  <c r="K502" i="16"/>
  <c r="L502" i="16"/>
  <c r="M502" i="16"/>
  <c r="N502" i="16"/>
  <c r="O502" i="16"/>
  <c r="P502" i="16"/>
  <c r="Q502" i="16"/>
  <c r="R502" i="16"/>
  <c r="S502" i="16"/>
  <c r="T502" i="16"/>
  <c r="U502" i="16"/>
  <c r="V502" i="16"/>
  <c r="A503" i="16"/>
  <c r="B503" i="16"/>
  <c r="C503" i="16"/>
  <c r="D503" i="16"/>
  <c r="E503" i="16"/>
  <c r="F503" i="16"/>
  <c r="G503" i="16"/>
  <c r="H503" i="16"/>
  <c r="I503" i="16"/>
  <c r="J503" i="16"/>
  <c r="K503" i="16"/>
  <c r="L503" i="16"/>
  <c r="M503" i="16"/>
  <c r="N503" i="16"/>
  <c r="O503" i="16"/>
  <c r="P503" i="16"/>
  <c r="Q503" i="16"/>
  <c r="R503" i="16"/>
  <c r="S503" i="16"/>
  <c r="T503" i="16"/>
  <c r="U503" i="16"/>
  <c r="V503" i="16"/>
  <c r="A504" i="16"/>
  <c r="B504" i="16"/>
  <c r="C504" i="16"/>
  <c r="D504" i="16"/>
  <c r="E504" i="16"/>
  <c r="F504" i="16"/>
  <c r="G504" i="16"/>
  <c r="H504" i="16"/>
  <c r="I504" i="16"/>
  <c r="J504" i="16"/>
  <c r="K504" i="16"/>
  <c r="L504" i="16"/>
  <c r="M504" i="16"/>
  <c r="N504" i="16"/>
  <c r="O504" i="16"/>
  <c r="P504" i="16"/>
  <c r="Q504" i="16"/>
  <c r="R504" i="16"/>
  <c r="S504" i="16"/>
  <c r="T504" i="16"/>
  <c r="U504" i="16"/>
  <c r="V504" i="16"/>
  <c r="A505" i="16"/>
  <c r="B505" i="16"/>
  <c r="C505" i="16"/>
  <c r="D505" i="16"/>
  <c r="E505" i="16"/>
  <c r="F505" i="16"/>
  <c r="G505" i="16"/>
  <c r="H505" i="16"/>
  <c r="I505" i="16"/>
  <c r="J505" i="16"/>
  <c r="K505" i="16"/>
  <c r="L505" i="16"/>
  <c r="M505" i="16"/>
  <c r="N505" i="16"/>
  <c r="O505" i="16"/>
  <c r="P505" i="16"/>
  <c r="Q505" i="16"/>
  <c r="R505" i="16"/>
  <c r="S505" i="16"/>
  <c r="T505" i="16"/>
  <c r="U505" i="16"/>
  <c r="V505" i="16"/>
  <c r="A506" i="16"/>
  <c r="B506" i="16"/>
  <c r="C506" i="16"/>
  <c r="D506" i="16"/>
  <c r="E506" i="16"/>
  <c r="F506" i="16"/>
  <c r="G506" i="16"/>
  <c r="H506" i="16"/>
  <c r="I506" i="16"/>
  <c r="J506" i="16"/>
  <c r="K506" i="16"/>
  <c r="L506" i="16"/>
  <c r="M506" i="16"/>
  <c r="N506" i="16"/>
  <c r="O506" i="16"/>
  <c r="P506" i="16"/>
  <c r="Q506" i="16"/>
  <c r="R506" i="16"/>
  <c r="S506" i="16"/>
  <c r="T506" i="16"/>
  <c r="U506" i="16"/>
  <c r="V506" i="16"/>
  <c r="A507" i="16"/>
  <c r="B507" i="16"/>
  <c r="C507" i="16"/>
  <c r="D507" i="16"/>
  <c r="E507" i="16"/>
  <c r="F507" i="16"/>
  <c r="G507" i="16"/>
  <c r="H507" i="16"/>
  <c r="I507" i="16"/>
  <c r="J507" i="16"/>
  <c r="K507" i="16"/>
  <c r="L507" i="16"/>
  <c r="M507" i="16"/>
  <c r="N507" i="16"/>
  <c r="O507" i="16"/>
  <c r="P507" i="16"/>
  <c r="Q507" i="16"/>
  <c r="R507" i="16"/>
  <c r="S507" i="16"/>
  <c r="T507" i="16"/>
  <c r="U507" i="16"/>
  <c r="V507" i="16"/>
  <c r="A101" i="16"/>
  <c r="B101" i="16"/>
  <c r="C101" i="16"/>
  <c r="D101" i="16"/>
  <c r="E101" i="16"/>
  <c r="F101" i="16"/>
  <c r="G101" i="16"/>
  <c r="H101" i="16"/>
  <c r="I101" i="16"/>
  <c r="J101" i="16"/>
  <c r="K101" i="16"/>
  <c r="L101" i="16"/>
  <c r="M101" i="16"/>
  <c r="N101" i="16"/>
  <c r="O101" i="16"/>
  <c r="P101" i="16"/>
  <c r="Q101" i="16"/>
  <c r="R101" i="16"/>
  <c r="S101" i="16"/>
  <c r="T101" i="16"/>
  <c r="U101" i="16"/>
  <c r="V101" i="16"/>
  <c r="A102" i="16"/>
  <c r="B102" i="16"/>
  <c r="C102" i="16"/>
  <c r="D102" i="16"/>
  <c r="E102" i="16"/>
  <c r="F102" i="16"/>
  <c r="G102" i="16"/>
  <c r="H102" i="16"/>
  <c r="I102" i="16"/>
  <c r="J102" i="16"/>
  <c r="K102" i="16"/>
  <c r="L102" i="16"/>
  <c r="M102" i="16"/>
  <c r="N102" i="16"/>
  <c r="O102" i="16"/>
  <c r="P102" i="16"/>
  <c r="Q102" i="16"/>
  <c r="R102" i="16"/>
  <c r="S102" i="16"/>
  <c r="T102" i="16"/>
  <c r="U102" i="16"/>
  <c r="V102" i="16"/>
  <c r="A103" i="16"/>
  <c r="B103" i="16"/>
  <c r="C103" i="16"/>
  <c r="D103" i="16"/>
  <c r="E103" i="16"/>
  <c r="F103" i="16"/>
  <c r="G103" i="16"/>
  <c r="H103" i="16"/>
  <c r="I103" i="16"/>
  <c r="J103" i="16"/>
  <c r="K103" i="16"/>
  <c r="L103" i="16"/>
  <c r="M103" i="16"/>
  <c r="N103" i="16"/>
  <c r="O103" i="16"/>
  <c r="P103" i="16"/>
  <c r="Q103" i="16"/>
  <c r="R103" i="16"/>
  <c r="S103" i="16"/>
  <c r="T103" i="16"/>
  <c r="U103" i="16"/>
  <c r="V103" i="16"/>
  <c r="A104" i="16"/>
  <c r="B104" i="16"/>
  <c r="C104" i="16"/>
  <c r="D104" i="16"/>
  <c r="E104" i="16"/>
  <c r="F104" i="16"/>
  <c r="G104" i="16"/>
  <c r="H104" i="16"/>
  <c r="I104" i="16"/>
  <c r="J104" i="16"/>
  <c r="K104" i="16"/>
  <c r="L104" i="16"/>
  <c r="M104" i="16"/>
  <c r="N104" i="16"/>
  <c r="O104" i="16"/>
  <c r="P104" i="16"/>
  <c r="Q104" i="16"/>
  <c r="R104" i="16"/>
  <c r="S104" i="16"/>
  <c r="T104" i="16"/>
  <c r="U104" i="16"/>
  <c r="V104" i="16"/>
  <c r="A105" i="16"/>
  <c r="B105" i="16"/>
  <c r="C105" i="16"/>
  <c r="D105" i="16"/>
  <c r="E105" i="16"/>
  <c r="F105" i="16"/>
  <c r="G105" i="16"/>
  <c r="H105" i="16"/>
  <c r="I105" i="16"/>
  <c r="J105" i="16"/>
  <c r="K105" i="16"/>
  <c r="L105" i="16"/>
  <c r="M105" i="16"/>
  <c r="N105" i="16"/>
  <c r="O105" i="16"/>
  <c r="P105" i="16"/>
  <c r="Q105" i="16"/>
  <c r="R105" i="16"/>
  <c r="S105" i="16"/>
  <c r="T105" i="16"/>
  <c r="U105" i="16"/>
  <c r="V105" i="16"/>
  <c r="A106" i="16"/>
  <c r="B106" i="16"/>
  <c r="C106" i="16"/>
  <c r="D106" i="16"/>
  <c r="E106" i="16"/>
  <c r="F106" i="16"/>
  <c r="G106" i="16"/>
  <c r="H106" i="16"/>
  <c r="I106" i="16"/>
  <c r="J106" i="16"/>
  <c r="K106" i="16"/>
  <c r="L106" i="16"/>
  <c r="M106" i="16"/>
  <c r="N106" i="16"/>
  <c r="O106" i="16"/>
  <c r="P106" i="16"/>
  <c r="Q106" i="16"/>
  <c r="R106" i="16"/>
  <c r="S106" i="16"/>
  <c r="T106" i="16"/>
  <c r="U106" i="16"/>
  <c r="V106" i="16"/>
  <c r="A107" i="16"/>
  <c r="B107" i="16"/>
  <c r="C107" i="16"/>
  <c r="D107" i="16"/>
  <c r="E107" i="16"/>
  <c r="F107" i="16"/>
  <c r="G107" i="16"/>
  <c r="H107" i="16"/>
  <c r="I107" i="16"/>
  <c r="J107" i="16"/>
  <c r="K107" i="16"/>
  <c r="L107" i="16"/>
  <c r="M107" i="16"/>
  <c r="N107" i="16"/>
  <c r="O107" i="16"/>
  <c r="P107" i="16"/>
  <c r="Q107" i="16"/>
  <c r="R107" i="16"/>
  <c r="S107" i="16"/>
  <c r="T107" i="16"/>
  <c r="U107" i="16"/>
  <c r="V107" i="16"/>
  <c r="AA103" i="9"/>
  <c r="Z103" i="9"/>
  <c r="Y103" i="9"/>
  <c r="X103" i="9"/>
  <c r="C103" i="9"/>
  <c r="A95" i="16" l="1"/>
  <c r="B95" i="16"/>
  <c r="C95" i="16"/>
  <c r="D95" i="16"/>
  <c r="E95" i="16"/>
  <c r="F95" i="16"/>
  <c r="G95" i="16"/>
  <c r="H95" i="16"/>
  <c r="I95" i="16"/>
  <c r="J95" i="16"/>
  <c r="K95" i="16"/>
  <c r="L95" i="16"/>
  <c r="M95" i="16"/>
  <c r="N95" i="16"/>
  <c r="O95" i="16"/>
  <c r="P95" i="16"/>
  <c r="Q95" i="16"/>
  <c r="R95" i="16"/>
  <c r="S95" i="16"/>
  <c r="T95" i="16"/>
  <c r="U95" i="16"/>
  <c r="V95" i="16"/>
  <c r="A96" i="16"/>
  <c r="B96" i="16"/>
  <c r="C96" i="16"/>
  <c r="D96" i="16"/>
  <c r="E96" i="16"/>
  <c r="F96" i="16"/>
  <c r="G96" i="16"/>
  <c r="H96" i="16"/>
  <c r="I96" i="16"/>
  <c r="J96" i="16"/>
  <c r="K96" i="16"/>
  <c r="L96" i="16"/>
  <c r="M96" i="16"/>
  <c r="N96" i="16"/>
  <c r="O96" i="16"/>
  <c r="P96" i="16"/>
  <c r="Q96" i="16"/>
  <c r="R96" i="16"/>
  <c r="S96" i="16"/>
  <c r="T96" i="16"/>
  <c r="U96" i="16"/>
  <c r="V96" i="16"/>
  <c r="A97" i="16"/>
  <c r="B97" i="16"/>
  <c r="C97" i="16"/>
  <c r="D97" i="16"/>
  <c r="E97" i="16"/>
  <c r="F97" i="16"/>
  <c r="G97" i="16"/>
  <c r="H97" i="16"/>
  <c r="I97" i="16"/>
  <c r="J97" i="16"/>
  <c r="K97" i="16"/>
  <c r="L97" i="16"/>
  <c r="M97" i="16"/>
  <c r="N97" i="16"/>
  <c r="O97" i="16"/>
  <c r="P97" i="16"/>
  <c r="Q97" i="16"/>
  <c r="R97" i="16"/>
  <c r="S97" i="16"/>
  <c r="T97" i="16"/>
  <c r="U97" i="16"/>
  <c r="V97" i="16"/>
  <c r="A98" i="16"/>
  <c r="B98" i="16"/>
  <c r="C98" i="16"/>
  <c r="D98" i="16"/>
  <c r="E98" i="16"/>
  <c r="F98" i="16"/>
  <c r="G98" i="16"/>
  <c r="H98" i="16"/>
  <c r="I98" i="16"/>
  <c r="J98" i="16"/>
  <c r="K98" i="16"/>
  <c r="L98" i="16"/>
  <c r="M98" i="16"/>
  <c r="N98" i="16"/>
  <c r="O98" i="16"/>
  <c r="P98" i="16"/>
  <c r="Q98" i="16"/>
  <c r="R98" i="16"/>
  <c r="S98" i="16"/>
  <c r="T98" i="16"/>
  <c r="U98" i="16"/>
  <c r="V98" i="16"/>
  <c r="A99" i="16"/>
  <c r="B99" i="16"/>
  <c r="C99" i="16"/>
  <c r="D99" i="16"/>
  <c r="E99" i="16"/>
  <c r="F99" i="16"/>
  <c r="G99" i="16"/>
  <c r="H99" i="16"/>
  <c r="I99" i="16"/>
  <c r="J99" i="16"/>
  <c r="K99" i="16"/>
  <c r="L99" i="16"/>
  <c r="M99" i="16"/>
  <c r="N99" i="16"/>
  <c r="O99" i="16"/>
  <c r="P99" i="16"/>
  <c r="Q99" i="16"/>
  <c r="R99" i="16"/>
  <c r="S99" i="16"/>
  <c r="T99" i="16"/>
  <c r="U99" i="16"/>
  <c r="V99" i="16"/>
  <c r="A100" i="16"/>
  <c r="B100" i="16"/>
  <c r="C100" i="16"/>
  <c r="D100" i="16"/>
  <c r="E100" i="16"/>
  <c r="F100" i="16"/>
  <c r="G100" i="16"/>
  <c r="H100" i="16"/>
  <c r="I100" i="16"/>
  <c r="J100" i="16"/>
  <c r="K100" i="16"/>
  <c r="L100" i="16"/>
  <c r="M100" i="16"/>
  <c r="N100" i="16"/>
  <c r="O100" i="16"/>
  <c r="P100" i="16"/>
  <c r="Q100" i="16"/>
  <c r="R100" i="16"/>
  <c r="S100" i="16"/>
  <c r="T100" i="16"/>
  <c r="U100" i="16"/>
  <c r="V100" i="16"/>
  <c r="A91" i="16"/>
  <c r="B91" i="16"/>
  <c r="C91" i="16"/>
  <c r="D91" i="16"/>
  <c r="E91" i="16"/>
  <c r="F91" i="16"/>
  <c r="G91" i="16"/>
  <c r="H91" i="16"/>
  <c r="I91" i="16"/>
  <c r="J91" i="16"/>
  <c r="K91" i="16"/>
  <c r="L91" i="16"/>
  <c r="M91" i="16"/>
  <c r="N91" i="16"/>
  <c r="O91" i="16"/>
  <c r="P91" i="16"/>
  <c r="Q91" i="16"/>
  <c r="R91" i="16"/>
  <c r="S91" i="16"/>
  <c r="T91" i="16"/>
  <c r="U91" i="16"/>
  <c r="V91" i="16"/>
  <c r="A92" i="16"/>
  <c r="B92" i="16"/>
  <c r="C92" i="16"/>
  <c r="D92" i="16"/>
  <c r="E92" i="16"/>
  <c r="F92" i="16"/>
  <c r="G92" i="16"/>
  <c r="H92" i="16"/>
  <c r="I92" i="16"/>
  <c r="J92" i="16"/>
  <c r="K92" i="16"/>
  <c r="L92" i="16"/>
  <c r="M92" i="16"/>
  <c r="N92" i="16"/>
  <c r="O92" i="16"/>
  <c r="P92" i="16"/>
  <c r="Q92" i="16"/>
  <c r="R92" i="16"/>
  <c r="S92" i="16"/>
  <c r="T92" i="16"/>
  <c r="U92" i="16"/>
  <c r="V92" i="16"/>
  <c r="A93" i="16"/>
  <c r="B93" i="16"/>
  <c r="C93" i="16"/>
  <c r="D93" i="16"/>
  <c r="E93" i="16"/>
  <c r="F93" i="16"/>
  <c r="G93" i="16"/>
  <c r="H93" i="16"/>
  <c r="I93" i="16"/>
  <c r="J93" i="16"/>
  <c r="K93" i="16"/>
  <c r="L93" i="16"/>
  <c r="M93" i="16"/>
  <c r="N93" i="16"/>
  <c r="O93" i="16"/>
  <c r="P93" i="16"/>
  <c r="Q93" i="16"/>
  <c r="R93" i="16"/>
  <c r="S93" i="16"/>
  <c r="T93" i="16"/>
  <c r="U93" i="16"/>
  <c r="V93" i="16"/>
  <c r="A94" i="16"/>
  <c r="B94" i="16"/>
  <c r="C94" i="16"/>
  <c r="D94" i="16"/>
  <c r="E94" i="16"/>
  <c r="F94" i="16"/>
  <c r="G94" i="16"/>
  <c r="H94" i="16"/>
  <c r="I94" i="16"/>
  <c r="J94" i="16"/>
  <c r="K94" i="16"/>
  <c r="L94" i="16"/>
  <c r="M94" i="16"/>
  <c r="N94" i="16"/>
  <c r="O94" i="16"/>
  <c r="P94" i="16"/>
  <c r="Q94" i="16"/>
  <c r="R94" i="16"/>
  <c r="S94" i="16"/>
  <c r="T94" i="16"/>
  <c r="U94" i="16"/>
  <c r="V94" i="16"/>
  <c r="AA92" i="9"/>
  <c r="Z92" i="9"/>
  <c r="Y92" i="9"/>
  <c r="X92" i="9"/>
  <c r="C92" i="9"/>
  <c r="AA287" i="9" l="1"/>
  <c r="Z287" i="9"/>
  <c r="Y287" i="9"/>
  <c r="X287" i="9"/>
  <c r="C287" i="9"/>
  <c r="A6" i="16" l="1"/>
  <c r="B6" i="16"/>
  <c r="C6" i="16"/>
  <c r="D6" i="16"/>
  <c r="E6" i="16"/>
  <c r="F6" i="16"/>
  <c r="G6" i="16"/>
  <c r="H6" i="16"/>
  <c r="I6" i="16"/>
  <c r="J6" i="16"/>
  <c r="K6" i="16"/>
  <c r="L6" i="16"/>
  <c r="M6" i="16"/>
  <c r="N6" i="16"/>
  <c r="O6" i="16"/>
  <c r="P6" i="16"/>
  <c r="Q6" i="16"/>
  <c r="R6" i="16"/>
  <c r="S6" i="16"/>
  <c r="T6" i="16"/>
  <c r="U6" i="16"/>
  <c r="V6" i="16"/>
  <c r="A7" i="16"/>
  <c r="B7" i="16"/>
  <c r="C7" i="16"/>
  <c r="D7" i="16"/>
  <c r="E7" i="16"/>
  <c r="F7" i="16"/>
  <c r="G7" i="16"/>
  <c r="H7" i="16"/>
  <c r="I7" i="16"/>
  <c r="J7" i="16"/>
  <c r="K7" i="16"/>
  <c r="L7" i="16"/>
  <c r="M7" i="16"/>
  <c r="N7" i="16"/>
  <c r="O7" i="16"/>
  <c r="P7" i="16"/>
  <c r="Q7" i="16"/>
  <c r="R7" i="16"/>
  <c r="S7" i="16"/>
  <c r="T7" i="16"/>
  <c r="U7" i="16"/>
  <c r="V7" i="16"/>
  <c r="A8" i="16"/>
  <c r="B8" i="16"/>
  <c r="C8" i="16"/>
  <c r="D8" i="16"/>
  <c r="E8" i="16"/>
  <c r="F8" i="16"/>
  <c r="G8" i="16"/>
  <c r="H8" i="16"/>
  <c r="I8" i="16"/>
  <c r="J8" i="16"/>
  <c r="K8" i="16"/>
  <c r="L8" i="16"/>
  <c r="M8" i="16"/>
  <c r="N8" i="16"/>
  <c r="O8" i="16"/>
  <c r="P8" i="16"/>
  <c r="Q8" i="16"/>
  <c r="R8" i="16"/>
  <c r="S8" i="16"/>
  <c r="T8" i="16"/>
  <c r="U8" i="16"/>
  <c r="V8" i="16"/>
  <c r="A9" i="16"/>
  <c r="B9" i="16"/>
  <c r="C9" i="16"/>
  <c r="D9" i="16"/>
  <c r="E9" i="16"/>
  <c r="F9" i="16"/>
  <c r="G9" i="16"/>
  <c r="H9" i="16"/>
  <c r="I9" i="16"/>
  <c r="J9" i="16"/>
  <c r="K9" i="16"/>
  <c r="L9" i="16"/>
  <c r="M9" i="16"/>
  <c r="N9" i="16"/>
  <c r="O9" i="16"/>
  <c r="P9" i="16"/>
  <c r="Q9" i="16"/>
  <c r="R9" i="16"/>
  <c r="S9" i="16"/>
  <c r="T9" i="16"/>
  <c r="U9" i="16"/>
  <c r="V9" i="16"/>
  <c r="A10" i="16"/>
  <c r="B10" i="16"/>
  <c r="C10" i="16"/>
  <c r="D10" i="16"/>
  <c r="E10" i="16"/>
  <c r="F10" i="16"/>
  <c r="G10" i="16"/>
  <c r="H10" i="16"/>
  <c r="I10" i="16"/>
  <c r="J10" i="16"/>
  <c r="K10" i="16"/>
  <c r="L10" i="16"/>
  <c r="M10" i="16"/>
  <c r="N10" i="16"/>
  <c r="O10" i="16"/>
  <c r="P10" i="16"/>
  <c r="Q10" i="16"/>
  <c r="R10" i="16"/>
  <c r="S10" i="16"/>
  <c r="T10" i="16"/>
  <c r="U10" i="16"/>
  <c r="V10" i="16"/>
  <c r="A11" i="16"/>
  <c r="B11" i="16"/>
  <c r="C11" i="16"/>
  <c r="D11" i="16"/>
  <c r="E11" i="16"/>
  <c r="F11" i="16"/>
  <c r="G11" i="16"/>
  <c r="H11" i="16"/>
  <c r="I11" i="16"/>
  <c r="J11" i="16"/>
  <c r="K11" i="16"/>
  <c r="L11" i="16"/>
  <c r="M11" i="16"/>
  <c r="N11" i="16"/>
  <c r="O11" i="16"/>
  <c r="P11" i="16"/>
  <c r="Q11" i="16"/>
  <c r="R11" i="16"/>
  <c r="S11" i="16"/>
  <c r="T11" i="16"/>
  <c r="U11" i="16"/>
  <c r="V11" i="16"/>
  <c r="A12" i="16"/>
  <c r="B12" i="16"/>
  <c r="C12" i="16"/>
  <c r="D12" i="16"/>
  <c r="E12" i="16"/>
  <c r="F12" i="16"/>
  <c r="G12" i="16"/>
  <c r="H12" i="16"/>
  <c r="I12" i="16"/>
  <c r="J12" i="16"/>
  <c r="K12" i="16"/>
  <c r="L12" i="16"/>
  <c r="M12" i="16"/>
  <c r="N12" i="16"/>
  <c r="O12" i="16"/>
  <c r="P12" i="16"/>
  <c r="Q12" i="16"/>
  <c r="R12" i="16"/>
  <c r="S12" i="16"/>
  <c r="T12" i="16"/>
  <c r="U12" i="16"/>
  <c r="V12" i="16"/>
  <c r="A13" i="16"/>
  <c r="B13" i="16"/>
  <c r="C13" i="16"/>
  <c r="D13" i="16"/>
  <c r="E13" i="16"/>
  <c r="F13" i="16"/>
  <c r="G13" i="16"/>
  <c r="H13" i="16"/>
  <c r="I13" i="16"/>
  <c r="J13" i="16"/>
  <c r="K13" i="16"/>
  <c r="L13" i="16"/>
  <c r="M13" i="16"/>
  <c r="N13" i="16"/>
  <c r="O13" i="16"/>
  <c r="P13" i="16"/>
  <c r="Q13" i="16"/>
  <c r="R13" i="16"/>
  <c r="S13" i="16"/>
  <c r="T13" i="16"/>
  <c r="U13" i="16"/>
  <c r="V13" i="16"/>
  <c r="A14" i="16"/>
  <c r="B14" i="16"/>
  <c r="C14" i="16"/>
  <c r="D14" i="16"/>
  <c r="E14" i="16"/>
  <c r="F14" i="16"/>
  <c r="G14" i="16"/>
  <c r="H14" i="16"/>
  <c r="I14" i="16"/>
  <c r="J14" i="16"/>
  <c r="K14" i="16"/>
  <c r="L14" i="16"/>
  <c r="M14" i="16"/>
  <c r="N14" i="16"/>
  <c r="O14" i="16"/>
  <c r="P14" i="16"/>
  <c r="Q14" i="16"/>
  <c r="R14" i="16"/>
  <c r="S14" i="16"/>
  <c r="T14" i="16"/>
  <c r="U14" i="16"/>
  <c r="V14" i="16"/>
  <c r="A15" i="16"/>
  <c r="B15" i="16"/>
  <c r="C15" i="16"/>
  <c r="D15" i="16"/>
  <c r="E15" i="16"/>
  <c r="F15" i="16"/>
  <c r="G15" i="16"/>
  <c r="H15" i="16"/>
  <c r="I15" i="16"/>
  <c r="J15" i="16"/>
  <c r="K15" i="16"/>
  <c r="L15" i="16"/>
  <c r="M15" i="16"/>
  <c r="N15" i="16"/>
  <c r="O15" i="16"/>
  <c r="P15" i="16"/>
  <c r="Q15" i="16"/>
  <c r="R15" i="16"/>
  <c r="S15" i="16"/>
  <c r="T15" i="16"/>
  <c r="U15" i="16"/>
  <c r="V15" i="16"/>
  <c r="A16" i="16"/>
  <c r="B16" i="16"/>
  <c r="C16" i="16"/>
  <c r="D16" i="16"/>
  <c r="E16" i="16"/>
  <c r="F16" i="16"/>
  <c r="G16" i="16"/>
  <c r="H16" i="16"/>
  <c r="I16" i="16"/>
  <c r="J16" i="16"/>
  <c r="K16" i="16"/>
  <c r="L16" i="16"/>
  <c r="M16" i="16"/>
  <c r="N16" i="16"/>
  <c r="O16" i="16"/>
  <c r="P16" i="16"/>
  <c r="Q16" i="16"/>
  <c r="R16" i="16"/>
  <c r="S16" i="16"/>
  <c r="T16" i="16"/>
  <c r="U16" i="16"/>
  <c r="V16" i="16"/>
  <c r="A17" i="16"/>
  <c r="B17" i="16"/>
  <c r="C17" i="16"/>
  <c r="D17" i="16"/>
  <c r="E17" i="16"/>
  <c r="F17" i="16"/>
  <c r="G17" i="16"/>
  <c r="H17" i="16"/>
  <c r="I17" i="16"/>
  <c r="J17" i="16"/>
  <c r="K17" i="16"/>
  <c r="L17" i="16"/>
  <c r="M17" i="16"/>
  <c r="N17" i="16"/>
  <c r="O17" i="16"/>
  <c r="P17" i="16"/>
  <c r="Q17" i="16"/>
  <c r="R17" i="16"/>
  <c r="S17" i="16"/>
  <c r="T17" i="16"/>
  <c r="U17" i="16"/>
  <c r="V17" i="16"/>
  <c r="A18" i="16"/>
  <c r="B18" i="16"/>
  <c r="C18" i="16"/>
  <c r="D18" i="16"/>
  <c r="E18" i="16"/>
  <c r="F18" i="16"/>
  <c r="G18" i="16"/>
  <c r="H18" i="16"/>
  <c r="I18" i="16"/>
  <c r="J18" i="16"/>
  <c r="K18" i="16"/>
  <c r="L18" i="16"/>
  <c r="M18" i="16"/>
  <c r="N18" i="16"/>
  <c r="O18" i="16"/>
  <c r="P18" i="16"/>
  <c r="Q18" i="16"/>
  <c r="R18" i="16"/>
  <c r="S18" i="16"/>
  <c r="T18" i="16"/>
  <c r="U18" i="16"/>
  <c r="V18" i="16"/>
  <c r="A19" i="16"/>
  <c r="B19" i="16"/>
  <c r="C19" i="16"/>
  <c r="D19" i="16"/>
  <c r="E19" i="16"/>
  <c r="F19" i="16"/>
  <c r="G19" i="16"/>
  <c r="H19" i="16"/>
  <c r="I19" i="16"/>
  <c r="J19" i="16"/>
  <c r="K19" i="16"/>
  <c r="L19" i="16"/>
  <c r="M19" i="16"/>
  <c r="N19" i="16"/>
  <c r="O19" i="16"/>
  <c r="P19" i="16"/>
  <c r="Q19" i="16"/>
  <c r="R19" i="16"/>
  <c r="S19" i="16"/>
  <c r="T19" i="16"/>
  <c r="U19" i="16"/>
  <c r="V19" i="16"/>
  <c r="A20" i="16"/>
  <c r="B20" i="16"/>
  <c r="C20" i="16"/>
  <c r="D20" i="16"/>
  <c r="E20" i="16"/>
  <c r="F20" i="16"/>
  <c r="G20" i="16"/>
  <c r="H20" i="16"/>
  <c r="I20" i="16"/>
  <c r="J20" i="16"/>
  <c r="K20" i="16"/>
  <c r="L20" i="16"/>
  <c r="M20" i="16"/>
  <c r="N20" i="16"/>
  <c r="O20" i="16"/>
  <c r="P20" i="16"/>
  <c r="Q20" i="16"/>
  <c r="R20" i="16"/>
  <c r="S20" i="16"/>
  <c r="T20" i="16"/>
  <c r="U20" i="16"/>
  <c r="V20" i="16"/>
  <c r="A21" i="16"/>
  <c r="B21" i="16"/>
  <c r="C21" i="16"/>
  <c r="D21" i="16"/>
  <c r="E21" i="16"/>
  <c r="F21" i="16"/>
  <c r="G21" i="16"/>
  <c r="H21" i="16"/>
  <c r="I21" i="16"/>
  <c r="J21" i="16"/>
  <c r="K21" i="16"/>
  <c r="L21" i="16"/>
  <c r="M21" i="16"/>
  <c r="N21" i="16"/>
  <c r="O21" i="16"/>
  <c r="P21" i="16"/>
  <c r="Q21" i="16"/>
  <c r="R21" i="16"/>
  <c r="S21" i="16"/>
  <c r="T21" i="16"/>
  <c r="U21" i="16"/>
  <c r="V21" i="16"/>
  <c r="A22" i="16"/>
  <c r="B22" i="16"/>
  <c r="C22" i="16"/>
  <c r="D22" i="16"/>
  <c r="E22" i="16"/>
  <c r="F22" i="16"/>
  <c r="G22" i="16"/>
  <c r="H22" i="16"/>
  <c r="I22" i="16"/>
  <c r="J22" i="16"/>
  <c r="K22" i="16"/>
  <c r="L22" i="16"/>
  <c r="M22" i="16"/>
  <c r="N22" i="16"/>
  <c r="O22" i="16"/>
  <c r="P22" i="16"/>
  <c r="Q22" i="16"/>
  <c r="R22" i="16"/>
  <c r="S22" i="16"/>
  <c r="T22" i="16"/>
  <c r="U22" i="16"/>
  <c r="V22" i="16"/>
  <c r="A23" i="16"/>
  <c r="B23" i="16"/>
  <c r="C23" i="16"/>
  <c r="D23" i="16"/>
  <c r="E23" i="16"/>
  <c r="F23" i="16"/>
  <c r="G23" i="16"/>
  <c r="H23" i="16"/>
  <c r="I23" i="16"/>
  <c r="J23" i="16"/>
  <c r="K23" i="16"/>
  <c r="L23" i="16"/>
  <c r="M23" i="16"/>
  <c r="N23" i="16"/>
  <c r="O23" i="16"/>
  <c r="P23" i="16"/>
  <c r="Q23" i="16"/>
  <c r="R23" i="16"/>
  <c r="S23" i="16"/>
  <c r="T23" i="16"/>
  <c r="U23" i="16"/>
  <c r="V23" i="16"/>
  <c r="A24" i="16"/>
  <c r="B24" i="16"/>
  <c r="C24" i="16"/>
  <c r="D24" i="16"/>
  <c r="E24" i="16"/>
  <c r="F24" i="16"/>
  <c r="G24" i="16"/>
  <c r="H24" i="16"/>
  <c r="I24" i="16"/>
  <c r="J24" i="16"/>
  <c r="K24" i="16"/>
  <c r="L24" i="16"/>
  <c r="M24" i="16"/>
  <c r="N24" i="16"/>
  <c r="O24" i="16"/>
  <c r="P24" i="16"/>
  <c r="Q24" i="16"/>
  <c r="R24" i="16"/>
  <c r="S24" i="16"/>
  <c r="T24" i="16"/>
  <c r="U24" i="16"/>
  <c r="V24" i="16"/>
  <c r="A25" i="16"/>
  <c r="B25" i="16"/>
  <c r="C25" i="16"/>
  <c r="D25" i="16"/>
  <c r="E25" i="16"/>
  <c r="F25" i="16"/>
  <c r="G25" i="16"/>
  <c r="H25" i="16"/>
  <c r="I25" i="16"/>
  <c r="J25" i="16"/>
  <c r="K25" i="16"/>
  <c r="L25" i="16"/>
  <c r="M25" i="16"/>
  <c r="N25" i="16"/>
  <c r="O25" i="16"/>
  <c r="P25" i="16"/>
  <c r="Q25" i="16"/>
  <c r="R25" i="16"/>
  <c r="S25" i="16"/>
  <c r="T25" i="16"/>
  <c r="U25" i="16"/>
  <c r="V25" i="16"/>
  <c r="A26" i="16"/>
  <c r="B26" i="16"/>
  <c r="C26" i="16"/>
  <c r="D26" i="16"/>
  <c r="E26" i="16"/>
  <c r="F26" i="16"/>
  <c r="G26" i="16"/>
  <c r="H26" i="16"/>
  <c r="I26" i="16"/>
  <c r="J26" i="16"/>
  <c r="K26" i="16"/>
  <c r="L26" i="16"/>
  <c r="M26" i="16"/>
  <c r="N26" i="16"/>
  <c r="O26" i="16"/>
  <c r="P26" i="16"/>
  <c r="Q26" i="16"/>
  <c r="R26" i="16"/>
  <c r="S26" i="16"/>
  <c r="T26" i="16"/>
  <c r="U26" i="16"/>
  <c r="V26" i="16"/>
  <c r="A27" i="16"/>
  <c r="B27" i="16"/>
  <c r="C27" i="16"/>
  <c r="D27" i="16"/>
  <c r="E27" i="16"/>
  <c r="F27" i="16"/>
  <c r="G27" i="16"/>
  <c r="H27" i="16"/>
  <c r="I27" i="16"/>
  <c r="J27" i="16"/>
  <c r="K27" i="16"/>
  <c r="L27" i="16"/>
  <c r="M27" i="16"/>
  <c r="N27" i="16"/>
  <c r="O27" i="16"/>
  <c r="P27" i="16"/>
  <c r="Q27" i="16"/>
  <c r="R27" i="16"/>
  <c r="S27" i="16"/>
  <c r="T27" i="16"/>
  <c r="U27" i="16"/>
  <c r="V27" i="16"/>
  <c r="A28" i="16"/>
  <c r="B28" i="16"/>
  <c r="C28" i="16"/>
  <c r="D28" i="16"/>
  <c r="E28" i="16"/>
  <c r="F28" i="16"/>
  <c r="G28" i="16"/>
  <c r="H28" i="16"/>
  <c r="I28" i="16"/>
  <c r="J28" i="16"/>
  <c r="K28" i="16"/>
  <c r="L28" i="16"/>
  <c r="M28" i="16"/>
  <c r="N28" i="16"/>
  <c r="O28" i="16"/>
  <c r="P28" i="16"/>
  <c r="Q28" i="16"/>
  <c r="R28" i="16"/>
  <c r="S28" i="16"/>
  <c r="T28" i="16"/>
  <c r="U28" i="16"/>
  <c r="V28" i="16"/>
  <c r="A29" i="16"/>
  <c r="B29" i="16"/>
  <c r="C29" i="16"/>
  <c r="D29" i="16"/>
  <c r="E29" i="16"/>
  <c r="F29" i="16"/>
  <c r="G29" i="16"/>
  <c r="H29" i="16"/>
  <c r="I29" i="16"/>
  <c r="J29" i="16"/>
  <c r="K29" i="16"/>
  <c r="L29" i="16"/>
  <c r="M29" i="16"/>
  <c r="N29" i="16"/>
  <c r="O29" i="16"/>
  <c r="P29" i="16"/>
  <c r="Q29" i="16"/>
  <c r="R29" i="16"/>
  <c r="S29" i="16"/>
  <c r="T29" i="16"/>
  <c r="U29" i="16"/>
  <c r="V29" i="16"/>
  <c r="A30" i="16"/>
  <c r="B30" i="16"/>
  <c r="C30" i="16"/>
  <c r="D30" i="16"/>
  <c r="E30" i="16"/>
  <c r="F30" i="16"/>
  <c r="G30" i="16"/>
  <c r="H30" i="16"/>
  <c r="I30" i="16"/>
  <c r="J30" i="16"/>
  <c r="K30" i="16"/>
  <c r="L30" i="16"/>
  <c r="M30" i="16"/>
  <c r="N30" i="16"/>
  <c r="O30" i="16"/>
  <c r="P30" i="16"/>
  <c r="Q30" i="16"/>
  <c r="R30" i="16"/>
  <c r="S30" i="16"/>
  <c r="T30" i="16"/>
  <c r="U30" i="16"/>
  <c r="V30" i="16"/>
  <c r="A31" i="16"/>
  <c r="B31" i="16"/>
  <c r="C31" i="16"/>
  <c r="D31" i="16"/>
  <c r="E31" i="16"/>
  <c r="F31" i="16"/>
  <c r="G31" i="16"/>
  <c r="H31" i="16"/>
  <c r="I31" i="16"/>
  <c r="J31" i="16"/>
  <c r="K31" i="16"/>
  <c r="L31" i="16"/>
  <c r="M31" i="16"/>
  <c r="N31" i="16"/>
  <c r="O31" i="16"/>
  <c r="P31" i="16"/>
  <c r="Q31" i="16"/>
  <c r="R31" i="16"/>
  <c r="S31" i="16"/>
  <c r="T31" i="16"/>
  <c r="U31" i="16"/>
  <c r="V31" i="16"/>
  <c r="A32" i="16"/>
  <c r="B32" i="16"/>
  <c r="C32" i="16"/>
  <c r="D32" i="16"/>
  <c r="E32" i="16"/>
  <c r="F32" i="16"/>
  <c r="G32" i="16"/>
  <c r="H32" i="16"/>
  <c r="I32" i="16"/>
  <c r="J32" i="16"/>
  <c r="K32" i="16"/>
  <c r="L32" i="16"/>
  <c r="M32" i="16"/>
  <c r="N32" i="16"/>
  <c r="O32" i="16"/>
  <c r="P32" i="16"/>
  <c r="Q32" i="16"/>
  <c r="R32" i="16"/>
  <c r="S32" i="16"/>
  <c r="T32" i="16"/>
  <c r="U32" i="16"/>
  <c r="V32" i="16"/>
  <c r="A33" i="16"/>
  <c r="B33" i="16"/>
  <c r="C33" i="16"/>
  <c r="D33" i="16"/>
  <c r="E33" i="16"/>
  <c r="F33" i="16"/>
  <c r="G33" i="16"/>
  <c r="H33" i="16"/>
  <c r="I33" i="16"/>
  <c r="J33" i="16"/>
  <c r="K33" i="16"/>
  <c r="L33" i="16"/>
  <c r="M33" i="16"/>
  <c r="N33" i="16"/>
  <c r="O33" i="16"/>
  <c r="P33" i="16"/>
  <c r="Q33" i="16"/>
  <c r="R33" i="16"/>
  <c r="S33" i="16"/>
  <c r="T33" i="16"/>
  <c r="U33" i="16"/>
  <c r="V33" i="16"/>
  <c r="A34" i="16"/>
  <c r="B34" i="16"/>
  <c r="C34" i="16"/>
  <c r="D34" i="16"/>
  <c r="E34" i="16"/>
  <c r="F34" i="16"/>
  <c r="G34" i="16"/>
  <c r="H34" i="16"/>
  <c r="I34" i="16"/>
  <c r="J34" i="16"/>
  <c r="K34" i="16"/>
  <c r="L34" i="16"/>
  <c r="M34" i="16"/>
  <c r="N34" i="16"/>
  <c r="O34" i="16"/>
  <c r="P34" i="16"/>
  <c r="Q34" i="16"/>
  <c r="R34" i="16"/>
  <c r="S34" i="16"/>
  <c r="T34" i="16"/>
  <c r="U34" i="16"/>
  <c r="V34" i="16"/>
  <c r="A35" i="16"/>
  <c r="B35" i="16"/>
  <c r="C35" i="16"/>
  <c r="D35" i="16"/>
  <c r="E35" i="16"/>
  <c r="F35" i="16"/>
  <c r="G35" i="16"/>
  <c r="H35" i="16"/>
  <c r="I35" i="16"/>
  <c r="J35" i="16"/>
  <c r="K35" i="16"/>
  <c r="L35" i="16"/>
  <c r="M35" i="16"/>
  <c r="N35" i="16"/>
  <c r="O35" i="16"/>
  <c r="P35" i="16"/>
  <c r="Q35" i="16"/>
  <c r="R35" i="16"/>
  <c r="S35" i="16"/>
  <c r="T35" i="16"/>
  <c r="U35" i="16"/>
  <c r="V35" i="16"/>
  <c r="A36" i="16"/>
  <c r="B36" i="16"/>
  <c r="C36" i="16"/>
  <c r="D36" i="16"/>
  <c r="E36" i="16"/>
  <c r="F36" i="16"/>
  <c r="G36" i="16"/>
  <c r="H36" i="16"/>
  <c r="I36" i="16"/>
  <c r="J36" i="16"/>
  <c r="K36" i="16"/>
  <c r="L36" i="16"/>
  <c r="M36" i="16"/>
  <c r="N36" i="16"/>
  <c r="O36" i="16"/>
  <c r="P36" i="16"/>
  <c r="Q36" i="16"/>
  <c r="R36" i="16"/>
  <c r="S36" i="16"/>
  <c r="T36" i="16"/>
  <c r="U36" i="16"/>
  <c r="V36" i="16"/>
  <c r="A37" i="16"/>
  <c r="B37" i="16"/>
  <c r="C37" i="16"/>
  <c r="D37" i="16"/>
  <c r="E37" i="16"/>
  <c r="F37" i="16"/>
  <c r="G37" i="16"/>
  <c r="H37" i="16"/>
  <c r="I37" i="16"/>
  <c r="J37" i="16"/>
  <c r="K37" i="16"/>
  <c r="L37" i="16"/>
  <c r="M37" i="16"/>
  <c r="N37" i="16"/>
  <c r="O37" i="16"/>
  <c r="P37" i="16"/>
  <c r="Q37" i="16"/>
  <c r="R37" i="16"/>
  <c r="S37" i="16"/>
  <c r="T37" i="16"/>
  <c r="U37" i="16"/>
  <c r="V37" i="16"/>
  <c r="A38" i="16"/>
  <c r="B38" i="16"/>
  <c r="C38" i="16"/>
  <c r="D38" i="16"/>
  <c r="E38" i="16"/>
  <c r="F38" i="16"/>
  <c r="G38" i="16"/>
  <c r="H38" i="16"/>
  <c r="I38" i="16"/>
  <c r="J38" i="16"/>
  <c r="K38" i="16"/>
  <c r="L38" i="16"/>
  <c r="M38" i="16"/>
  <c r="N38" i="16"/>
  <c r="O38" i="16"/>
  <c r="P38" i="16"/>
  <c r="Q38" i="16"/>
  <c r="R38" i="16"/>
  <c r="S38" i="16"/>
  <c r="T38" i="16"/>
  <c r="U38" i="16"/>
  <c r="V38" i="16"/>
  <c r="A39" i="16"/>
  <c r="B39" i="16"/>
  <c r="C39" i="16"/>
  <c r="D39" i="16"/>
  <c r="E39" i="16"/>
  <c r="F39" i="16"/>
  <c r="G39" i="16"/>
  <c r="H39" i="16"/>
  <c r="I39" i="16"/>
  <c r="J39" i="16"/>
  <c r="K39" i="16"/>
  <c r="L39" i="16"/>
  <c r="M39" i="16"/>
  <c r="N39" i="16"/>
  <c r="O39" i="16"/>
  <c r="P39" i="16"/>
  <c r="Q39" i="16"/>
  <c r="R39" i="16"/>
  <c r="S39" i="16"/>
  <c r="T39" i="16"/>
  <c r="U39" i="16"/>
  <c r="V39" i="16"/>
  <c r="A40" i="16"/>
  <c r="B40" i="16"/>
  <c r="C40" i="16"/>
  <c r="D40" i="16"/>
  <c r="E40" i="16"/>
  <c r="F40" i="16"/>
  <c r="G40" i="16"/>
  <c r="H40" i="16"/>
  <c r="I40" i="16"/>
  <c r="J40" i="16"/>
  <c r="K40" i="16"/>
  <c r="L40" i="16"/>
  <c r="M40" i="16"/>
  <c r="N40" i="16"/>
  <c r="O40" i="16"/>
  <c r="P40" i="16"/>
  <c r="Q40" i="16"/>
  <c r="R40" i="16"/>
  <c r="S40" i="16"/>
  <c r="T40" i="16"/>
  <c r="U40" i="16"/>
  <c r="V40" i="16"/>
  <c r="A41" i="16"/>
  <c r="B41" i="16"/>
  <c r="C41" i="16"/>
  <c r="D41" i="16"/>
  <c r="E41" i="16"/>
  <c r="F41" i="16"/>
  <c r="G41" i="16"/>
  <c r="H41" i="16"/>
  <c r="I41" i="16"/>
  <c r="J41" i="16"/>
  <c r="K41" i="16"/>
  <c r="L41" i="16"/>
  <c r="M41" i="16"/>
  <c r="N41" i="16"/>
  <c r="O41" i="16"/>
  <c r="P41" i="16"/>
  <c r="Q41" i="16"/>
  <c r="R41" i="16"/>
  <c r="S41" i="16"/>
  <c r="T41" i="16"/>
  <c r="U41" i="16"/>
  <c r="V41" i="16"/>
  <c r="A42" i="16"/>
  <c r="B42" i="16"/>
  <c r="C42" i="16"/>
  <c r="D42" i="16"/>
  <c r="E42" i="16"/>
  <c r="F42" i="16"/>
  <c r="G42" i="16"/>
  <c r="H42" i="16"/>
  <c r="I42" i="16"/>
  <c r="J42" i="16"/>
  <c r="K42" i="16"/>
  <c r="L42" i="16"/>
  <c r="M42" i="16"/>
  <c r="N42" i="16"/>
  <c r="O42" i="16"/>
  <c r="P42" i="16"/>
  <c r="Q42" i="16"/>
  <c r="R42" i="16"/>
  <c r="S42" i="16"/>
  <c r="T42" i="16"/>
  <c r="U42" i="16"/>
  <c r="V42" i="16"/>
  <c r="A43" i="16"/>
  <c r="B43" i="16"/>
  <c r="C43" i="16"/>
  <c r="D43" i="16"/>
  <c r="E43" i="16"/>
  <c r="F43" i="16"/>
  <c r="G43" i="16"/>
  <c r="H43" i="16"/>
  <c r="I43" i="16"/>
  <c r="J43" i="16"/>
  <c r="K43" i="16"/>
  <c r="L43" i="16"/>
  <c r="M43" i="16"/>
  <c r="N43" i="16"/>
  <c r="O43" i="16"/>
  <c r="P43" i="16"/>
  <c r="Q43" i="16"/>
  <c r="R43" i="16"/>
  <c r="S43" i="16"/>
  <c r="T43" i="16"/>
  <c r="U43" i="16"/>
  <c r="V43" i="16"/>
  <c r="A44" i="16"/>
  <c r="B44" i="16"/>
  <c r="C44" i="16"/>
  <c r="D44" i="16"/>
  <c r="E44" i="16"/>
  <c r="F44" i="16"/>
  <c r="G44" i="16"/>
  <c r="H44" i="16"/>
  <c r="I44" i="16"/>
  <c r="J44" i="16"/>
  <c r="K44" i="16"/>
  <c r="L44" i="16"/>
  <c r="M44" i="16"/>
  <c r="N44" i="16"/>
  <c r="O44" i="16"/>
  <c r="P44" i="16"/>
  <c r="Q44" i="16"/>
  <c r="R44" i="16"/>
  <c r="S44" i="16"/>
  <c r="T44" i="16"/>
  <c r="U44" i="16"/>
  <c r="V44" i="16"/>
  <c r="A45" i="16"/>
  <c r="B45" i="16"/>
  <c r="C45" i="16"/>
  <c r="D45" i="16"/>
  <c r="E45" i="16"/>
  <c r="F45" i="16"/>
  <c r="G45" i="16"/>
  <c r="H45" i="16"/>
  <c r="I45" i="16"/>
  <c r="J45" i="16"/>
  <c r="K45" i="16"/>
  <c r="L45" i="16"/>
  <c r="M45" i="16"/>
  <c r="N45" i="16"/>
  <c r="O45" i="16"/>
  <c r="P45" i="16"/>
  <c r="Q45" i="16"/>
  <c r="R45" i="16"/>
  <c r="S45" i="16"/>
  <c r="T45" i="16"/>
  <c r="U45" i="16"/>
  <c r="V45" i="16"/>
  <c r="A46" i="16"/>
  <c r="B46" i="16"/>
  <c r="C46" i="16"/>
  <c r="D46" i="16"/>
  <c r="E46" i="16"/>
  <c r="F46" i="16"/>
  <c r="G46" i="16"/>
  <c r="H46" i="16"/>
  <c r="I46" i="16"/>
  <c r="J46" i="16"/>
  <c r="K46" i="16"/>
  <c r="L46" i="16"/>
  <c r="M46" i="16"/>
  <c r="N46" i="16"/>
  <c r="O46" i="16"/>
  <c r="P46" i="16"/>
  <c r="Q46" i="16"/>
  <c r="R46" i="16"/>
  <c r="S46" i="16"/>
  <c r="T46" i="16"/>
  <c r="U46" i="16"/>
  <c r="V46" i="16"/>
  <c r="A47" i="16"/>
  <c r="B47" i="16"/>
  <c r="C47" i="16"/>
  <c r="D47" i="16"/>
  <c r="E47" i="16"/>
  <c r="F47" i="16"/>
  <c r="G47" i="16"/>
  <c r="H47" i="16"/>
  <c r="I47" i="16"/>
  <c r="J47" i="16"/>
  <c r="K47" i="16"/>
  <c r="L47" i="16"/>
  <c r="M47" i="16"/>
  <c r="N47" i="16"/>
  <c r="O47" i="16"/>
  <c r="P47" i="16"/>
  <c r="Q47" i="16"/>
  <c r="R47" i="16"/>
  <c r="S47" i="16"/>
  <c r="T47" i="16"/>
  <c r="U47" i="16"/>
  <c r="V47" i="16"/>
  <c r="A48" i="16"/>
  <c r="B48" i="16"/>
  <c r="C48" i="16"/>
  <c r="D48" i="16"/>
  <c r="E48" i="16"/>
  <c r="F48" i="16"/>
  <c r="G48" i="16"/>
  <c r="H48" i="16"/>
  <c r="I48" i="16"/>
  <c r="J48" i="16"/>
  <c r="K48" i="16"/>
  <c r="L48" i="16"/>
  <c r="M48" i="16"/>
  <c r="N48" i="16"/>
  <c r="O48" i="16"/>
  <c r="P48" i="16"/>
  <c r="Q48" i="16"/>
  <c r="R48" i="16"/>
  <c r="S48" i="16"/>
  <c r="T48" i="16"/>
  <c r="U48" i="16"/>
  <c r="V48" i="16"/>
  <c r="A49" i="16"/>
  <c r="B49" i="16"/>
  <c r="C49" i="16"/>
  <c r="D49" i="16"/>
  <c r="E49" i="16"/>
  <c r="F49" i="16"/>
  <c r="G49" i="16"/>
  <c r="H49" i="16"/>
  <c r="I49" i="16"/>
  <c r="J49" i="16"/>
  <c r="K49" i="16"/>
  <c r="L49" i="16"/>
  <c r="M49" i="16"/>
  <c r="N49" i="16"/>
  <c r="O49" i="16"/>
  <c r="P49" i="16"/>
  <c r="Q49" i="16"/>
  <c r="R49" i="16"/>
  <c r="S49" i="16"/>
  <c r="T49" i="16"/>
  <c r="U49" i="16"/>
  <c r="V49" i="16"/>
  <c r="A50" i="16"/>
  <c r="B50" i="16"/>
  <c r="C50" i="16"/>
  <c r="D50" i="16"/>
  <c r="E50" i="16"/>
  <c r="F50" i="16"/>
  <c r="G50" i="16"/>
  <c r="H50" i="16"/>
  <c r="I50" i="16"/>
  <c r="J50" i="16"/>
  <c r="K50" i="16"/>
  <c r="L50" i="16"/>
  <c r="M50" i="16"/>
  <c r="N50" i="16"/>
  <c r="O50" i="16"/>
  <c r="P50" i="16"/>
  <c r="Q50" i="16"/>
  <c r="R50" i="16"/>
  <c r="S50" i="16"/>
  <c r="T50" i="16"/>
  <c r="U50" i="16"/>
  <c r="V50" i="16"/>
  <c r="A51" i="16"/>
  <c r="B51" i="16"/>
  <c r="C51" i="16"/>
  <c r="D51" i="16"/>
  <c r="E51" i="16"/>
  <c r="F51" i="16"/>
  <c r="G51" i="16"/>
  <c r="H51" i="16"/>
  <c r="I51" i="16"/>
  <c r="J51" i="16"/>
  <c r="K51" i="16"/>
  <c r="L51" i="16"/>
  <c r="M51" i="16"/>
  <c r="N51" i="16"/>
  <c r="O51" i="16"/>
  <c r="P51" i="16"/>
  <c r="Q51" i="16"/>
  <c r="R51" i="16"/>
  <c r="S51" i="16"/>
  <c r="T51" i="16"/>
  <c r="U51" i="16"/>
  <c r="V51" i="16"/>
  <c r="A52" i="16"/>
  <c r="B52" i="16"/>
  <c r="C52" i="16"/>
  <c r="D52" i="16"/>
  <c r="E52" i="16"/>
  <c r="F52" i="16"/>
  <c r="G52" i="16"/>
  <c r="H52" i="16"/>
  <c r="I52" i="16"/>
  <c r="J52" i="16"/>
  <c r="K52" i="16"/>
  <c r="L52" i="16"/>
  <c r="M52" i="16"/>
  <c r="N52" i="16"/>
  <c r="O52" i="16"/>
  <c r="P52" i="16"/>
  <c r="Q52" i="16"/>
  <c r="R52" i="16"/>
  <c r="S52" i="16"/>
  <c r="T52" i="16"/>
  <c r="U52" i="16"/>
  <c r="V52" i="16"/>
  <c r="A53" i="16"/>
  <c r="B53" i="16"/>
  <c r="C53" i="16"/>
  <c r="D53" i="16"/>
  <c r="E53" i="16"/>
  <c r="F53" i="16"/>
  <c r="G53" i="16"/>
  <c r="H53" i="16"/>
  <c r="I53" i="16"/>
  <c r="J53" i="16"/>
  <c r="K53" i="16"/>
  <c r="L53" i="16"/>
  <c r="M53" i="16"/>
  <c r="N53" i="16"/>
  <c r="O53" i="16"/>
  <c r="P53" i="16"/>
  <c r="Q53" i="16"/>
  <c r="R53" i="16"/>
  <c r="S53" i="16"/>
  <c r="T53" i="16"/>
  <c r="U53" i="16"/>
  <c r="V53" i="16"/>
  <c r="A54" i="16"/>
  <c r="B54" i="16"/>
  <c r="C54" i="16"/>
  <c r="D54" i="16"/>
  <c r="E54" i="16"/>
  <c r="F54" i="16"/>
  <c r="G54" i="16"/>
  <c r="H54" i="16"/>
  <c r="I54" i="16"/>
  <c r="J54" i="16"/>
  <c r="K54" i="16"/>
  <c r="L54" i="16"/>
  <c r="M54" i="16"/>
  <c r="N54" i="16"/>
  <c r="O54" i="16"/>
  <c r="P54" i="16"/>
  <c r="Q54" i="16"/>
  <c r="R54" i="16"/>
  <c r="S54" i="16"/>
  <c r="T54" i="16"/>
  <c r="U54" i="16"/>
  <c r="V54" i="16"/>
  <c r="A55" i="16"/>
  <c r="B55" i="16"/>
  <c r="C55" i="16"/>
  <c r="D55" i="16"/>
  <c r="E55" i="16"/>
  <c r="F55" i="16"/>
  <c r="G55" i="16"/>
  <c r="H55" i="16"/>
  <c r="I55" i="16"/>
  <c r="J55" i="16"/>
  <c r="K55" i="16"/>
  <c r="L55" i="16"/>
  <c r="M55" i="16"/>
  <c r="N55" i="16"/>
  <c r="O55" i="16"/>
  <c r="P55" i="16"/>
  <c r="Q55" i="16"/>
  <c r="R55" i="16"/>
  <c r="S55" i="16"/>
  <c r="T55" i="16"/>
  <c r="U55" i="16"/>
  <c r="V55" i="16"/>
  <c r="A56" i="16"/>
  <c r="B56" i="16"/>
  <c r="C56" i="16"/>
  <c r="D56" i="16"/>
  <c r="E56" i="16"/>
  <c r="F56" i="16"/>
  <c r="G56" i="16"/>
  <c r="H56" i="16"/>
  <c r="I56" i="16"/>
  <c r="J56" i="16"/>
  <c r="K56" i="16"/>
  <c r="L56" i="16"/>
  <c r="M56" i="16"/>
  <c r="N56" i="16"/>
  <c r="O56" i="16"/>
  <c r="P56" i="16"/>
  <c r="Q56" i="16"/>
  <c r="R56" i="16"/>
  <c r="S56" i="16"/>
  <c r="T56" i="16"/>
  <c r="U56" i="16"/>
  <c r="V56" i="16"/>
  <c r="A57" i="16"/>
  <c r="B57" i="16"/>
  <c r="C57" i="16"/>
  <c r="D57" i="16"/>
  <c r="E57" i="16"/>
  <c r="F57" i="16"/>
  <c r="G57" i="16"/>
  <c r="H57" i="16"/>
  <c r="I57" i="16"/>
  <c r="J57" i="16"/>
  <c r="K57" i="16"/>
  <c r="L57" i="16"/>
  <c r="M57" i="16"/>
  <c r="N57" i="16"/>
  <c r="O57" i="16"/>
  <c r="P57" i="16"/>
  <c r="Q57" i="16"/>
  <c r="R57" i="16"/>
  <c r="S57" i="16"/>
  <c r="T57" i="16"/>
  <c r="U57" i="16"/>
  <c r="V57" i="16"/>
  <c r="A58" i="16"/>
  <c r="B58" i="16"/>
  <c r="C58" i="16"/>
  <c r="D58" i="16"/>
  <c r="E58" i="16"/>
  <c r="F58" i="16"/>
  <c r="G58" i="16"/>
  <c r="H58" i="16"/>
  <c r="I58" i="16"/>
  <c r="J58" i="16"/>
  <c r="K58" i="16"/>
  <c r="L58" i="16"/>
  <c r="M58" i="16"/>
  <c r="N58" i="16"/>
  <c r="O58" i="16"/>
  <c r="P58" i="16"/>
  <c r="Q58" i="16"/>
  <c r="R58" i="16"/>
  <c r="S58" i="16"/>
  <c r="T58" i="16"/>
  <c r="U58" i="16"/>
  <c r="V58" i="16"/>
  <c r="A59" i="16"/>
  <c r="B59" i="16"/>
  <c r="C59" i="16"/>
  <c r="D59" i="16"/>
  <c r="E59" i="16"/>
  <c r="F59" i="16"/>
  <c r="G59" i="16"/>
  <c r="H59" i="16"/>
  <c r="I59" i="16"/>
  <c r="J59" i="16"/>
  <c r="K59" i="16"/>
  <c r="L59" i="16"/>
  <c r="M59" i="16"/>
  <c r="N59" i="16"/>
  <c r="O59" i="16"/>
  <c r="P59" i="16"/>
  <c r="Q59" i="16"/>
  <c r="R59" i="16"/>
  <c r="S59" i="16"/>
  <c r="T59" i="16"/>
  <c r="U59" i="16"/>
  <c r="V59" i="16"/>
  <c r="A60" i="16"/>
  <c r="B60" i="16"/>
  <c r="C60" i="16"/>
  <c r="D60" i="16"/>
  <c r="E60" i="16"/>
  <c r="F60" i="16"/>
  <c r="G60" i="16"/>
  <c r="H60" i="16"/>
  <c r="I60" i="16"/>
  <c r="J60" i="16"/>
  <c r="K60" i="16"/>
  <c r="L60" i="16"/>
  <c r="M60" i="16"/>
  <c r="N60" i="16"/>
  <c r="O60" i="16"/>
  <c r="P60" i="16"/>
  <c r="Q60" i="16"/>
  <c r="R60" i="16"/>
  <c r="S60" i="16"/>
  <c r="T60" i="16"/>
  <c r="U60" i="16"/>
  <c r="V60" i="16"/>
  <c r="A61" i="16"/>
  <c r="B61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A62" i="16"/>
  <c r="B62" i="16"/>
  <c r="C62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A63" i="16"/>
  <c r="B63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A64" i="16"/>
  <c r="B64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A65" i="16"/>
  <c r="B65" i="16"/>
  <c r="C65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A66" i="16"/>
  <c r="B66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A67" i="16"/>
  <c r="B67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A68" i="16"/>
  <c r="B68" i="16"/>
  <c r="C68" i="16"/>
  <c r="D68" i="16"/>
  <c r="E68" i="16"/>
  <c r="F68" i="16"/>
  <c r="G68" i="16"/>
  <c r="H68" i="16"/>
  <c r="I68" i="16"/>
  <c r="J68" i="16"/>
  <c r="K68" i="16"/>
  <c r="L68" i="16"/>
  <c r="M68" i="16"/>
  <c r="N68" i="16"/>
  <c r="O68" i="16"/>
  <c r="P68" i="16"/>
  <c r="Q68" i="16"/>
  <c r="R68" i="16"/>
  <c r="S68" i="16"/>
  <c r="T68" i="16"/>
  <c r="U68" i="16"/>
  <c r="V68" i="16"/>
  <c r="A69" i="16"/>
  <c r="B69" i="16"/>
  <c r="C69" i="16"/>
  <c r="D69" i="16"/>
  <c r="E69" i="16"/>
  <c r="F69" i="16"/>
  <c r="G69" i="16"/>
  <c r="H69" i="16"/>
  <c r="I69" i="16"/>
  <c r="J69" i="16"/>
  <c r="K69" i="16"/>
  <c r="L69" i="16"/>
  <c r="M69" i="16"/>
  <c r="N69" i="16"/>
  <c r="O69" i="16"/>
  <c r="P69" i="16"/>
  <c r="Q69" i="16"/>
  <c r="R69" i="16"/>
  <c r="S69" i="16"/>
  <c r="T69" i="16"/>
  <c r="U69" i="16"/>
  <c r="V69" i="16"/>
  <c r="A70" i="16"/>
  <c r="B70" i="16"/>
  <c r="C70" i="16"/>
  <c r="D70" i="16"/>
  <c r="E70" i="16"/>
  <c r="F70" i="16"/>
  <c r="G70" i="16"/>
  <c r="H70" i="16"/>
  <c r="I70" i="16"/>
  <c r="J70" i="16"/>
  <c r="K70" i="16"/>
  <c r="L70" i="16"/>
  <c r="M70" i="16"/>
  <c r="N70" i="16"/>
  <c r="O70" i="16"/>
  <c r="P70" i="16"/>
  <c r="Q70" i="16"/>
  <c r="R70" i="16"/>
  <c r="S70" i="16"/>
  <c r="T70" i="16"/>
  <c r="U70" i="16"/>
  <c r="V70" i="16"/>
  <c r="A71" i="16"/>
  <c r="B71" i="16"/>
  <c r="C71" i="16"/>
  <c r="D71" i="16"/>
  <c r="E71" i="16"/>
  <c r="F71" i="16"/>
  <c r="G71" i="16"/>
  <c r="H71" i="16"/>
  <c r="I71" i="16"/>
  <c r="J71" i="16"/>
  <c r="K71" i="16"/>
  <c r="L71" i="16"/>
  <c r="M71" i="16"/>
  <c r="N71" i="16"/>
  <c r="O71" i="16"/>
  <c r="P71" i="16"/>
  <c r="Q71" i="16"/>
  <c r="R71" i="16"/>
  <c r="S71" i="16"/>
  <c r="T71" i="16"/>
  <c r="U71" i="16"/>
  <c r="V71" i="16"/>
  <c r="A72" i="16"/>
  <c r="B72" i="16"/>
  <c r="C72" i="16"/>
  <c r="D72" i="16"/>
  <c r="E72" i="16"/>
  <c r="F72" i="16"/>
  <c r="G72" i="16"/>
  <c r="H72" i="16"/>
  <c r="I72" i="16"/>
  <c r="J72" i="16"/>
  <c r="K72" i="16"/>
  <c r="L72" i="16"/>
  <c r="M72" i="16"/>
  <c r="N72" i="16"/>
  <c r="O72" i="16"/>
  <c r="P72" i="16"/>
  <c r="Q72" i="16"/>
  <c r="R72" i="16"/>
  <c r="S72" i="16"/>
  <c r="T72" i="16"/>
  <c r="U72" i="16"/>
  <c r="V72" i="16"/>
  <c r="A73" i="16"/>
  <c r="B73" i="16"/>
  <c r="C73" i="16"/>
  <c r="D73" i="16"/>
  <c r="E73" i="16"/>
  <c r="F73" i="16"/>
  <c r="G73" i="16"/>
  <c r="H73" i="16"/>
  <c r="I73" i="16"/>
  <c r="J73" i="16"/>
  <c r="K73" i="16"/>
  <c r="L73" i="16"/>
  <c r="M73" i="16"/>
  <c r="N73" i="16"/>
  <c r="O73" i="16"/>
  <c r="P73" i="16"/>
  <c r="Q73" i="16"/>
  <c r="R73" i="16"/>
  <c r="S73" i="16"/>
  <c r="T73" i="16"/>
  <c r="U73" i="16"/>
  <c r="V73" i="16"/>
  <c r="A74" i="16"/>
  <c r="B74" i="16"/>
  <c r="C74" i="16"/>
  <c r="D74" i="16"/>
  <c r="E74" i="16"/>
  <c r="F74" i="16"/>
  <c r="G74" i="16"/>
  <c r="H74" i="16"/>
  <c r="I74" i="16"/>
  <c r="J74" i="16"/>
  <c r="K74" i="16"/>
  <c r="L74" i="16"/>
  <c r="M74" i="16"/>
  <c r="N74" i="16"/>
  <c r="O74" i="16"/>
  <c r="P74" i="16"/>
  <c r="Q74" i="16"/>
  <c r="R74" i="16"/>
  <c r="S74" i="16"/>
  <c r="T74" i="16"/>
  <c r="U74" i="16"/>
  <c r="V74" i="16"/>
  <c r="A75" i="16"/>
  <c r="B75" i="16"/>
  <c r="C75" i="16"/>
  <c r="D75" i="16"/>
  <c r="E75" i="16"/>
  <c r="F75" i="16"/>
  <c r="G75" i="16"/>
  <c r="H75" i="16"/>
  <c r="I75" i="16"/>
  <c r="J75" i="16"/>
  <c r="K75" i="16"/>
  <c r="L75" i="16"/>
  <c r="M75" i="16"/>
  <c r="N75" i="16"/>
  <c r="O75" i="16"/>
  <c r="P75" i="16"/>
  <c r="Q75" i="16"/>
  <c r="R75" i="16"/>
  <c r="S75" i="16"/>
  <c r="T75" i="16"/>
  <c r="U75" i="16"/>
  <c r="V75" i="16"/>
  <c r="A76" i="16"/>
  <c r="B76" i="16"/>
  <c r="C76" i="16"/>
  <c r="D76" i="16"/>
  <c r="E76" i="16"/>
  <c r="F76" i="16"/>
  <c r="G76" i="16"/>
  <c r="H76" i="16"/>
  <c r="I76" i="16"/>
  <c r="J76" i="16"/>
  <c r="K76" i="16"/>
  <c r="L76" i="16"/>
  <c r="M76" i="16"/>
  <c r="N76" i="16"/>
  <c r="O76" i="16"/>
  <c r="P76" i="16"/>
  <c r="Q76" i="16"/>
  <c r="R76" i="16"/>
  <c r="S76" i="16"/>
  <c r="T76" i="16"/>
  <c r="U76" i="16"/>
  <c r="V76" i="16"/>
  <c r="A77" i="16"/>
  <c r="B77" i="16"/>
  <c r="C77" i="16"/>
  <c r="D77" i="16"/>
  <c r="E77" i="16"/>
  <c r="F77" i="16"/>
  <c r="G77" i="16"/>
  <c r="H77" i="16"/>
  <c r="I77" i="16"/>
  <c r="J77" i="16"/>
  <c r="K77" i="16"/>
  <c r="L77" i="16"/>
  <c r="M77" i="16"/>
  <c r="N77" i="16"/>
  <c r="O77" i="16"/>
  <c r="P77" i="16"/>
  <c r="Q77" i="16"/>
  <c r="R77" i="16"/>
  <c r="S77" i="16"/>
  <c r="T77" i="16"/>
  <c r="U77" i="16"/>
  <c r="V77" i="16"/>
  <c r="A78" i="16"/>
  <c r="B78" i="16"/>
  <c r="C78" i="16"/>
  <c r="D78" i="16"/>
  <c r="E78" i="16"/>
  <c r="F78" i="16"/>
  <c r="G78" i="16"/>
  <c r="H78" i="16"/>
  <c r="I78" i="16"/>
  <c r="J78" i="16"/>
  <c r="K78" i="16"/>
  <c r="L78" i="16"/>
  <c r="M78" i="16"/>
  <c r="N78" i="16"/>
  <c r="O78" i="16"/>
  <c r="P78" i="16"/>
  <c r="Q78" i="16"/>
  <c r="R78" i="16"/>
  <c r="S78" i="16"/>
  <c r="T78" i="16"/>
  <c r="U78" i="16"/>
  <c r="V78" i="16"/>
  <c r="A79" i="16"/>
  <c r="B79" i="16"/>
  <c r="C79" i="16"/>
  <c r="D79" i="16"/>
  <c r="E79" i="16"/>
  <c r="F79" i="16"/>
  <c r="G79" i="16"/>
  <c r="H79" i="16"/>
  <c r="I79" i="16"/>
  <c r="J79" i="16"/>
  <c r="K79" i="16"/>
  <c r="L79" i="16"/>
  <c r="M79" i="16"/>
  <c r="N79" i="16"/>
  <c r="O79" i="16"/>
  <c r="P79" i="16"/>
  <c r="Q79" i="16"/>
  <c r="R79" i="16"/>
  <c r="S79" i="16"/>
  <c r="T79" i="16"/>
  <c r="U79" i="16"/>
  <c r="V79" i="16"/>
  <c r="A80" i="16"/>
  <c r="B80" i="16"/>
  <c r="C80" i="16"/>
  <c r="D80" i="16"/>
  <c r="E80" i="16"/>
  <c r="F80" i="16"/>
  <c r="G80" i="16"/>
  <c r="H80" i="16"/>
  <c r="I80" i="16"/>
  <c r="J80" i="16"/>
  <c r="K80" i="16"/>
  <c r="L80" i="16"/>
  <c r="M80" i="16"/>
  <c r="N80" i="16"/>
  <c r="O80" i="16"/>
  <c r="P80" i="16"/>
  <c r="Q80" i="16"/>
  <c r="R80" i="16"/>
  <c r="S80" i="16"/>
  <c r="T80" i="16"/>
  <c r="U80" i="16"/>
  <c r="V80" i="16"/>
  <c r="A81" i="16"/>
  <c r="B81" i="16"/>
  <c r="C81" i="16"/>
  <c r="D81" i="16"/>
  <c r="E81" i="16"/>
  <c r="F81" i="16"/>
  <c r="G81" i="16"/>
  <c r="H81" i="16"/>
  <c r="I81" i="16"/>
  <c r="J81" i="16"/>
  <c r="K81" i="16"/>
  <c r="L81" i="16"/>
  <c r="M81" i="16"/>
  <c r="N81" i="16"/>
  <c r="O81" i="16"/>
  <c r="P81" i="16"/>
  <c r="Q81" i="16"/>
  <c r="R81" i="16"/>
  <c r="S81" i="16"/>
  <c r="T81" i="16"/>
  <c r="U81" i="16"/>
  <c r="V81" i="16"/>
  <c r="A82" i="16"/>
  <c r="B82" i="16"/>
  <c r="C82" i="16"/>
  <c r="D82" i="16"/>
  <c r="E82" i="16"/>
  <c r="F82" i="16"/>
  <c r="G82" i="16"/>
  <c r="H82" i="16"/>
  <c r="I82" i="16"/>
  <c r="J82" i="16"/>
  <c r="K82" i="16"/>
  <c r="L82" i="16"/>
  <c r="M82" i="16"/>
  <c r="N82" i="16"/>
  <c r="O82" i="16"/>
  <c r="P82" i="16"/>
  <c r="Q82" i="16"/>
  <c r="R82" i="16"/>
  <c r="S82" i="16"/>
  <c r="T82" i="16"/>
  <c r="U82" i="16"/>
  <c r="V82" i="16"/>
  <c r="A83" i="16"/>
  <c r="B83" i="16"/>
  <c r="C83" i="16"/>
  <c r="D83" i="16"/>
  <c r="E83" i="16"/>
  <c r="F83" i="16"/>
  <c r="G83" i="16"/>
  <c r="H83" i="16"/>
  <c r="I83" i="16"/>
  <c r="J83" i="16"/>
  <c r="K83" i="16"/>
  <c r="L83" i="16"/>
  <c r="M83" i="16"/>
  <c r="N83" i="16"/>
  <c r="O83" i="16"/>
  <c r="P83" i="16"/>
  <c r="Q83" i="16"/>
  <c r="R83" i="16"/>
  <c r="S83" i="16"/>
  <c r="T83" i="16"/>
  <c r="U83" i="16"/>
  <c r="V83" i="16"/>
  <c r="A84" i="16"/>
  <c r="B84" i="16"/>
  <c r="C84" i="16"/>
  <c r="D84" i="16"/>
  <c r="E84" i="16"/>
  <c r="F84" i="16"/>
  <c r="G84" i="16"/>
  <c r="H84" i="16"/>
  <c r="I84" i="16"/>
  <c r="J84" i="16"/>
  <c r="K84" i="16"/>
  <c r="L84" i="16"/>
  <c r="M84" i="16"/>
  <c r="N84" i="16"/>
  <c r="O84" i="16"/>
  <c r="P84" i="16"/>
  <c r="Q84" i="16"/>
  <c r="R84" i="16"/>
  <c r="S84" i="16"/>
  <c r="T84" i="16"/>
  <c r="U84" i="16"/>
  <c r="V84" i="16"/>
  <c r="A85" i="16"/>
  <c r="B85" i="16"/>
  <c r="C85" i="16"/>
  <c r="D85" i="16"/>
  <c r="E85" i="16"/>
  <c r="F85" i="16"/>
  <c r="G85" i="16"/>
  <c r="H85" i="16"/>
  <c r="I85" i="16"/>
  <c r="J85" i="16"/>
  <c r="K85" i="16"/>
  <c r="L85" i="16"/>
  <c r="M85" i="16"/>
  <c r="N85" i="16"/>
  <c r="O85" i="16"/>
  <c r="P85" i="16"/>
  <c r="Q85" i="16"/>
  <c r="R85" i="16"/>
  <c r="S85" i="16"/>
  <c r="T85" i="16"/>
  <c r="U85" i="16"/>
  <c r="V85" i="16"/>
  <c r="A86" i="16"/>
  <c r="B86" i="16"/>
  <c r="C86" i="16"/>
  <c r="D86" i="16"/>
  <c r="E86" i="16"/>
  <c r="F86" i="16"/>
  <c r="G86" i="16"/>
  <c r="H86" i="16"/>
  <c r="I86" i="16"/>
  <c r="J86" i="16"/>
  <c r="K86" i="16"/>
  <c r="L86" i="16"/>
  <c r="M86" i="16"/>
  <c r="N86" i="16"/>
  <c r="O86" i="16"/>
  <c r="P86" i="16"/>
  <c r="Q86" i="16"/>
  <c r="R86" i="16"/>
  <c r="S86" i="16"/>
  <c r="T86" i="16"/>
  <c r="U86" i="16"/>
  <c r="V86" i="16"/>
  <c r="A87" i="16"/>
  <c r="B87" i="16"/>
  <c r="C87" i="16"/>
  <c r="D87" i="16"/>
  <c r="E87" i="16"/>
  <c r="F87" i="16"/>
  <c r="G87" i="16"/>
  <c r="H87" i="16"/>
  <c r="I87" i="16"/>
  <c r="J87" i="16"/>
  <c r="K87" i="16"/>
  <c r="L87" i="16"/>
  <c r="M87" i="16"/>
  <c r="N87" i="16"/>
  <c r="O87" i="16"/>
  <c r="P87" i="16"/>
  <c r="Q87" i="16"/>
  <c r="R87" i="16"/>
  <c r="S87" i="16"/>
  <c r="T87" i="16"/>
  <c r="U87" i="16"/>
  <c r="V87" i="16"/>
  <c r="A88" i="16"/>
  <c r="B88" i="16"/>
  <c r="C88" i="16"/>
  <c r="D88" i="16"/>
  <c r="E88" i="16"/>
  <c r="F88" i="16"/>
  <c r="G88" i="16"/>
  <c r="H88" i="16"/>
  <c r="I88" i="16"/>
  <c r="J88" i="16"/>
  <c r="K88" i="16"/>
  <c r="L88" i="16"/>
  <c r="M88" i="16"/>
  <c r="N88" i="16"/>
  <c r="O88" i="16"/>
  <c r="P88" i="16"/>
  <c r="Q88" i="16"/>
  <c r="R88" i="16"/>
  <c r="S88" i="16"/>
  <c r="T88" i="16"/>
  <c r="U88" i="16"/>
  <c r="V88" i="16"/>
  <c r="A89" i="16"/>
  <c r="B89" i="16"/>
  <c r="C89" i="16"/>
  <c r="D89" i="16"/>
  <c r="E89" i="16"/>
  <c r="F89" i="16"/>
  <c r="G89" i="16"/>
  <c r="H89" i="16"/>
  <c r="I89" i="16"/>
  <c r="J89" i="16"/>
  <c r="K89" i="16"/>
  <c r="L89" i="16"/>
  <c r="M89" i="16"/>
  <c r="N89" i="16"/>
  <c r="O89" i="16"/>
  <c r="P89" i="16"/>
  <c r="Q89" i="16"/>
  <c r="R89" i="16"/>
  <c r="S89" i="16"/>
  <c r="T89" i="16"/>
  <c r="U89" i="16"/>
  <c r="V89" i="16"/>
  <c r="A90" i="16"/>
  <c r="B90" i="16"/>
  <c r="C90" i="16"/>
  <c r="D90" i="16"/>
  <c r="E90" i="16"/>
  <c r="F90" i="16"/>
  <c r="G90" i="16"/>
  <c r="H90" i="16"/>
  <c r="I90" i="16"/>
  <c r="J90" i="16"/>
  <c r="K90" i="16"/>
  <c r="L90" i="16"/>
  <c r="M90" i="16"/>
  <c r="N90" i="16"/>
  <c r="O90" i="16"/>
  <c r="P90" i="16"/>
  <c r="Q90" i="16"/>
  <c r="R90" i="16"/>
  <c r="S90" i="16"/>
  <c r="T90" i="16"/>
  <c r="U90" i="16"/>
  <c r="V90" i="16"/>
  <c r="A2" i="16"/>
  <c r="B2" i="16"/>
  <c r="C2" i="16"/>
  <c r="D2" i="16"/>
  <c r="E2" i="16"/>
  <c r="F2" i="16"/>
  <c r="G2" i="16"/>
  <c r="H2" i="16"/>
  <c r="I2" i="16"/>
  <c r="J2" i="16"/>
  <c r="K2" i="16"/>
  <c r="L2" i="16"/>
  <c r="M2" i="16"/>
  <c r="N2" i="16"/>
  <c r="O2" i="16"/>
  <c r="P2" i="16"/>
  <c r="Q2" i="16"/>
  <c r="R2" i="16"/>
  <c r="S2" i="16"/>
  <c r="T2" i="16"/>
  <c r="U2" i="16"/>
  <c r="V2" i="16"/>
  <c r="A3" i="16"/>
  <c r="B3" i="16"/>
  <c r="C3" i="16"/>
  <c r="D3" i="16"/>
  <c r="E3" i="16"/>
  <c r="F3" i="16"/>
  <c r="G3" i="16"/>
  <c r="H3" i="16"/>
  <c r="I3" i="16"/>
  <c r="J3" i="16"/>
  <c r="K3" i="16"/>
  <c r="L3" i="16"/>
  <c r="M3" i="16"/>
  <c r="N3" i="16"/>
  <c r="O3" i="16"/>
  <c r="P3" i="16"/>
  <c r="Q3" i="16"/>
  <c r="R3" i="16"/>
  <c r="S3" i="16"/>
  <c r="T3" i="16"/>
  <c r="U3" i="16"/>
  <c r="V3" i="16"/>
  <c r="A4" i="16"/>
  <c r="B4" i="16"/>
  <c r="C4" i="16"/>
  <c r="D4" i="16"/>
  <c r="E4" i="16"/>
  <c r="F4" i="16"/>
  <c r="G4" i="16"/>
  <c r="H4" i="16"/>
  <c r="I4" i="16"/>
  <c r="J4" i="16"/>
  <c r="K4" i="16"/>
  <c r="L4" i="16"/>
  <c r="M4" i="16"/>
  <c r="N4" i="16"/>
  <c r="O4" i="16"/>
  <c r="P4" i="16"/>
  <c r="Q4" i="16"/>
  <c r="R4" i="16"/>
  <c r="S4" i="16"/>
  <c r="T4" i="16"/>
  <c r="U4" i="16"/>
  <c r="V4" i="16"/>
  <c r="X400" i="9" l="1"/>
  <c r="Y400" i="9"/>
  <c r="Z400" i="9"/>
  <c r="X401" i="9"/>
  <c r="Y401" i="9"/>
  <c r="Z401" i="9"/>
  <c r="X402" i="9"/>
  <c r="Y402" i="9"/>
  <c r="Z402" i="9"/>
  <c r="AA88" i="9" l="1"/>
  <c r="Z88" i="9"/>
  <c r="Y88" i="9"/>
  <c r="X88" i="9"/>
  <c r="C88" i="9"/>
  <c r="AA87" i="9"/>
  <c r="Z87" i="9"/>
  <c r="Y87" i="9"/>
  <c r="X87" i="9"/>
  <c r="C87" i="9"/>
  <c r="AA93" i="9"/>
  <c r="Z93" i="9"/>
  <c r="Y93" i="9"/>
  <c r="X93" i="9"/>
  <c r="C93" i="9"/>
  <c r="C291" i="9"/>
  <c r="C358" i="9"/>
  <c r="C361" i="9"/>
  <c r="AA358" i="9"/>
  <c r="Z358" i="9"/>
  <c r="Y358" i="9"/>
  <c r="X358" i="9"/>
  <c r="AA274" i="9"/>
  <c r="Z274" i="9"/>
  <c r="Y274" i="9"/>
  <c r="X274" i="9"/>
  <c r="AA291" i="9"/>
  <c r="Z291" i="9"/>
  <c r="Y291" i="9"/>
  <c r="X291" i="9"/>
  <c r="AA400" i="9"/>
  <c r="C400" i="9"/>
  <c r="AA158" i="9" l="1"/>
  <c r="Z158" i="9"/>
  <c r="Y158" i="9"/>
  <c r="X158" i="9"/>
  <c r="C158" i="9"/>
  <c r="A5" i="16"/>
  <c r="B5" i="16"/>
  <c r="C5" i="16"/>
  <c r="D5" i="16"/>
  <c r="E5" i="16"/>
  <c r="F5" i="16"/>
  <c r="G5" i="16"/>
  <c r="H5" i="16"/>
  <c r="I5" i="16"/>
  <c r="J5" i="16"/>
  <c r="K5" i="16"/>
  <c r="L5" i="16"/>
  <c r="M5" i="16"/>
  <c r="N5" i="16"/>
  <c r="O5" i="16"/>
  <c r="P5" i="16"/>
  <c r="Q5" i="16"/>
  <c r="R5" i="16"/>
  <c r="S5" i="16"/>
  <c r="T5" i="16"/>
  <c r="U5" i="16"/>
  <c r="V5" i="16"/>
  <c r="C215" i="9"/>
  <c r="X215" i="9"/>
  <c r="Y215" i="9"/>
  <c r="Z215" i="9"/>
  <c r="AA215" i="9"/>
  <c r="AA59" i="9"/>
  <c r="Z59" i="9"/>
  <c r="Y59" i="9"/>
  <c r="X59" i="9"/>
  <c r="C59" i="9"/>
  <c r="AA51" i="9"/>
  <c r="Z51" i="9"/>
  <c r="Y51" i="9"/>
  <c r="X51" i="9"/>
  <c r="C51" i="9"/>
  <c r="F1" i="16"/>
  <c r="G1" i="16"/>
  <c r="H1" i="16"/>
  <c r="I1" i="16"/>
  <c r="J1" i="16"/>
  <c r="K1" i="16"/>
  <c r="L1" i="16"/>
  <c r="M1" i="16"/>
  <c r="N1" i="16"/>
  <c r="O1" i="16"/>
  <c r="P1" i="16"/>
  <c r="Q1" i="16"/>
  <c r="R1" i="16"/>
  <c r="S1" i="16"/>
  <c r="T1" i="16"/>
  <c r="U1" i="16"/>
  <c r="V1" i="16"/>
  <c r="E1" i="16"/>
  <c r="D1" i="16"/>
  <c r="C1" i="16"/>
  <c r="B1" i="16"/>
  <c r="A1" i="16"/>
  <c r="AA29" i="9"/>
  <c r="AA15" i="9"/>
  <c r="Z15" i="9"/>
  <c r="Y15" i="9"/>
  <c r="X15" i="9"/>
  <c r="C15" i="9"/>
  <c r="C410" i="9"/>
  <c r="C428" i="9"/>
  <c r="C411" i="9"/>
  <c r="C429" i="9"/>
  <c r="C430" i="9"/>
  <c r="C431" i="9"/>
  <c r="C432" i="9"/>
  <c r="C433" i="9"/>
  <c r="C434" i="9"/>
  <c r="C435" i="9"/>
  <c r="C436" i="9"/>
  <c r="C437" i="9"/>
  <c r="C438" i="9"/>
  <c r="C439" i="9"/>
  <c r="C440" i="9"/>
  <c r="C441" i="9"/>
  <c r="C442" i="9"/>
  <c r="C443" i="9"/>
  <c r="C444" i="9"/>
  <c r="C412" i="9"/>
  <c r="C445" i="9"/>
  <c r="C446" i="9"/>
  <c r="C447" i="9"/>
  <c r="C448" i="9"/>
  <c r="C449" i="9"/>
  <c r="C450" i="9"/>
  <c r="C451" i="9"/>
  <c r="C452" i="9"/>
  <c r="C453" i="9"/>
  <c r="C454" i="9"/>
  <c r="C455" i="9"/>
  <c r="C456" i="9"/>
  <c r="C457" i="9"/>
  <c r="C458" i="9"/>
  <c r="C459" i="9"/>
  <c r="C413" i="9"/>
  <c r="C414" i="9"/>
  <c r="C460" i="9"/>
  <c r="C461" i="9"/>
  <c r="C462" i="9"/>
  <c r="C463" i="9"/>
  <c r="C464" i="9"/>
  <c r="C465" i="9"/>
  <c r="C466" i="9"/>
  <c r="C467" i="9"/>
  <c r="C468" i="9"/>
  <c r="C415" i="9"/>
  <c r="C469" i="9"/>
  <c r="C470" i="9"/>
  <c r="C471" i="9"/>
  <c r="C472" i="9"/>
  <c r="C473" i="9"/>
  <c r="C417" i="9"/>
  <c r="C418" i="9"/>
  <c r="C474" i="9"/>
  <c r="C505" i="9"/>
  <c r="C506" i="9"/>
  <c r="C507" i="9"/>
  <c r="C475" i="9"/>
  <c r="C476" i="9"/>
  <c r="C477" i="9"/>
  <c r="C478" i="9"/>
  <c r="C419" i="9"/>
  <c r="C420" i="9"/>
  <c r="C421" i="9"/>
  <c r="C479" i="9"/>
  <c r="C480" i="9"/>
  <c r="C481" i="9"/>
  <c r="C482" i="9"/>
  <c r="C483" i="9"/>
  <c r="C484" i="9"/>
  <c r="C485" i="9"/>
  <c r="C486" i="9"/>
  <c r="C422" i="9"/>
  <c r="C487" i="9"/>
  <c r="C488" i="9"/>
  <c r="C489" i="9"/>
  <c r="C490" i="9"/>
  <c r="C423" i="9"/>
  <c r="C491" i="9"/>
  <c r="C492" i="9"/>
  <c r="C493" i="9"/>
  <c r="C494" i="9"/>
  <c r="C495" i="9"/>
  <c r="C69" i="9"/>
  <c r="C496" i="9"/>
  <c r="C497" i="9"/>
  <c r="C498" i="9"/>
  <c r="C499" i="9"/>
  <c r="C424" i="9"/>
  <c r="C425" i="9"/>
  <c r="C426" i="9"/>
  <c r="C427" i="9"/>
  <c r="C500" i="9"/>
  <c r="C501" i="9"/>
  <c r="C502" i="9"/>
  <c r="C416" i="9"/>
  <c r="C5" i="9"/>
  <c r="C6" i="9"/>
  <c r="C7" i="9"/>
  <c r="C8" i="9"/>
  <c r="C9" i="9"/>
  <c r="C10" i="9"/>
  <c r="C11" i="9"/>
  <c r="C13" i="9"/>
  <c r="C12" i="9"/>
  <c r="C14" i="9"/>
  <c r="C16" i="9"/>
  <c r="C17" i="9"/>
  <c r="C18" i="9"/>
  <c r="C19" i="9"/>
  <c r="C20" i="9"/>
  <c r="C21" i="9"/>
  <c r="C22" i="9"/>
  <c r="C55" i="9"/>
  <c r="C56" i="9"/>
  <c r="C57" i="9"/>
  <c r="C63" i="9"/>
  <c r="C62" i="9"/>
  <c r="C64" i="9"/>
  <c r="C52" i="9"/>
  <c r="C53" i="9"/>
  <c r="C54" i="9"/>
  <c r="C66" i="9"/>
  <c r="C58" i="9"/>
  <c r="C60" i="9"/>
  <c r="C61" i="9"/>
  <c r="C67" i="9"/>
  <c r="C65" i="9"/>
  <c r="C68" i="9"/>
  <c r="C72" i="9"/>
  <c r="C73" i="9"/>
  <c r="C74" i="9"/>
  <c r="C75" i="9"/>
  <c r="C76" i="9"/>
  <c r="C77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9" i="9"/>
  <c r="C360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04" i="9"/>
  <c r="C305" i="9"/>
  <c r="C297" i="9"/>
  <c r="C298" i="9"/>
  <c r="C299" i="9"/>
  <c r="C300" i="9"/>
  <c r="C303" i="9"/>
  <c r="C302" i="9"/>
  <c r="C301" i="9"/>
  <c r="C313" i="9"/>
  <c r="C314" i="9"/>
  <c r="C315" i="9"/>
  <c r="C316" i="9"/>
  <c r="C317" i="9"/>
  <c r="C319" i="9"/>
  <c r="C318" i="9"/>
  <c r="C320" i="9"/>
  <c r="C321" i="9"/>
  <c r="C322" i="9"/>
  <c r="C323" i="9"/>
  <c r="C324" i="9"/>
  <c r="C325" i="9"/>
  <c r="C326" i="9"/>
  <c r="C327" i="9"/>
  <c r="C328" i="9"/>
  <c r="C329" i="9"/>
  <c r="C382" i="9"/>
  <c r="C383" i="9"/>
  <c r="C384" i="9"/>
  <c r="C385" i="9"/>
  <c r="C386" i="9"/>
  <c r="C387" i="9"/>
  <c r="C388" i="9"/>
  <c r="C392" i="9"/>
  <c r="C389" i="9"/>
  <c r="C390" i="9"/>
  <c r="C391" i="9"/>
  <c r="C394" i="9"/>
  <c r="C393" i="9"/>
  <c r="C395" i="9"/>
  <c r="C396" i="9"/>
  <c r="C397" i="9"/>
  <c r="C398" i="9"/>
  <c r="C503" i="9"/>
  <c r="C504" i="9"/>
  <c r="C399" i="9"/>
  <c r="C401" i="9"/>
  <c r="C402" i="9"/>
  <c r="C404" i="9"/>
  <c r="C405" i="9"/>
  <c r="C403" i="9"/>
  <c r="C406" i="9"/>
  <c r="C407" i="9"/>
  <c r="C408" i="9"/>
  <c r="C285" i="9"/>
  <c r="C286" i="9"/>
  <c r="C282" i="9"/>
  <c r="C283" i="9"/>
  <c r="C284" i="9"/>
  <c r="C288" i="9"/>
  <c r="C290" i="9"/>
  <c r="C289" i="9"/>
  <c r="C292" i="9"/>
  <c r="C293" i="9"/>
  <c r="C294" i="9"/>
  <c r="C295" i="9"/>
  <c r="C296" i="9"/>
  <c r="C311" i="9"/>
  <c r="C31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40" i="9"/>
  <c r="C41" i="9"/>
  <c r="C42" i="9"/>
  <c r="C43" i="9"/>
  <c r="C44" i="9"/>
  <c r="C47" i="9"/>
  <c r="C46" i="9"/>
  <c r="C45" i="9"/>
  <c r="C48" i="9"/>
  <c r="C49" i="9"/>
  <c r="C50" i="9"/>
  <c r="C3" i="9"/>
  <c r="C39" i="9"/>
  <c r="C70" i="9"/>
  <c r="C71" i="9"/>
  <c r="C78" i="9"/>
  <c r="C79" i="9"/>
  <c r="C80" i="9"/>
  <c r="C81" i="9"/>
  <c r="C82" i="9"/>
  <c r="C83" i="9"/>
  <c r="C84" i="9"/>
  <c r="C85" i="9"/>
  <c r="C86" i="9"/>
  <c r="C102" i="9"/>
  <c r="C101" i="9"/>
  <c r="C104" i="9"/>
  <c r="C105" i="9"/>
  <c r="C106" i="9"/>
  <c r="C91" i="9"/>
  <c r="C94" i="9"/>
  <c r="C95" i="9"/>
  <c r="C96" i="9"/>
  <c r="C97" i="9"/>
  <c r="C98" i="9"/>
  <c r="C90" i="9"/>
  <c r="C99" i="9"/>
  <c r="C100" i="9"/>
  <c r="C89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4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107" i="9"/>
  <c r="C108" i="9"/>
  <c r="C109" i="9"/>
  <c r="C110" i="9"/>
  <c r="C113" i="9"/>
  <c r="C111" i="9"/>
  <c r="C114" i="9"/>
  <c r="C112" i="9"/>
  <c r="C115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2" i="9"/>
  <c r="C273" i="9"/>
  <c r="C271" i="9"/>
  <c r="C275" i="9"/>
  <c r="C276" i="9"/>
  <c r="C277" i="9"/>
  <c r="C278" i="9"/>
  <c r="C279" i="9"/>
  <c r="C280" i="9"/>
  <c r="C281" i="9"/>
  <c r="C306" i="9"/>
  <c r="C4" i="9"/>
  <c r="C309" i="9"/>
  <c r="C213" i="9"/>
  <c r="C310" i="9"/>
  <c r="C307" i="9"/>
  <c r="C308" i="9"/>
  <c r="C409" i="9"/>
  <c r="AA410" i="9"/>
  <c r="AA428" i="9"/>
  <c r="AA411" i="9"/>
  <c r="AA429" i="9"/>
  <c r="AA430" i="9"/>
  <c r="AA431" i="9"/>
  <c r="AA432" i="9"/>
  <c r="AA433" i="9"/>
  <c r="AA434" i="9"/>
  <c r="AA435" i="9"/>
  <c r="AA436" i="9"/>
  <c r="AA437" i="9"/>
  <c r="AA438" i="9"/>
  <c r="AA439" i="9"/>
  <c r="AA440" i="9"/>
  <c r="AA441" i="9"/>
  <c r="AA442" i="9"/>
  <c r="AA443" i="9"/>
  <c r="AA444" i="9"/>
  <c r="AA412" i="9"/>
  <c r="AA445" i="9"/>
  <c r="AA446" i="9"/>
  <c r="AA447" i="9"/>
  <c r="AA448" i="9"/>
  <c r="AA449" i="9"/>
  <c r="AA450" i="9"/>
  <c r="AA451" i="9"/>
  <c r="AA452" i="9"/>
  <c r="AA453" i="9"/>
  <c r="AA454" i="9"/>
  <c r="AA455" i="9"/>
  <c r="AA456" i="9"/>
  <c r="AA457" i="9"/>
  <c r="AA458" i="9"/>
  <c r="AA459" i="9"/>
  <c r="AA413" i="9"/>
  <c r="AA414" i="9"/>
  <c r="AA460" i="9"/>
  <c r="AA461" i="9"/>
  <c r="AA462" i="9"/>
  <c r="AA463" i="9"/>
  <c r="AA464" i="9"/>
  <c r="AA465" i="9"/>
  <c r="AA466" i="9"/>
  <c r="AA467" i="9"/>
  <c r="AA468" i="9"/>
  <c r="AA415" i="9"/>
  <c r="AA469" i="9"/>
  <c r="AA470" i="9"/>
  <c r="AA471" i="9"/>
  <c r="AA472" i="9"/>
  <c r="AA473" i="9"/>
  <c r="AA417" i="9"/>
  <c r="AA418" i="9"/>
  <c r="AA474" i="9"/>
  <c r="AA505" i="9"/>
  <c r="AA506" i="9"/>
  <c r="AA507" i="9"/>
  <c r="AA475" i="9"/>
  <c r="AA476" i="9"/>
  <c r="AA477" i="9"/>
  <c r="AA478" i="9"/>
  <c r="AA419" i="9"/>
  <c r="AA420" i="9"/>
  <c r="AA421" i="9"/>
  <c r="AA479" i="9"/>
  <c r="AA480" i="9"/>
  <c r="AA481" i="9"/>
  <c r="AA482" i="9"/>
  <c r="AA483" i="9"/>
  <c r="AA484" i="9"/>
  <c r="AA485" i="9"/>
  <c r="AA486" i="9"/>
  <c r="AA422" i="9"/>
  <c r="AA487" i="9"/>
  <c r="AA488" i="9"/>
  <c r="AA489" i="9"/>
  <c r="AA490" i="9"/>
  <c r="AA423" i="9"/>
  <c r="AA491" i="9"/>
  <c r="AA492" i="9"/>
  <c r="AA493" i="9"/>
  <c r="AA494" i="9"/>
  <c r="AA495" i="9"/>
  <c r="AA69" i="9"/>
  <c r="AA496" i="9"/>
  <c r="AA497" i="9"/>
  <c r="AA498" i="9"/>
  <c r="AA499" i="9"/>
  <c r="AA424" i="9"/>
  <c r="AA425" i="9"/>
  <c r="AA426" i="9"/>
  <c r="AA427" i="9"/>
  <c r="AA500" i="9"/>
  <c r="AA501" i="9"/>
  <c r="AA502" i="9"/>
  <c r="AA416" i="9"/>
  <c r="AA5" i="9"/>
  <c r="AA6" i="9"/>
  <c r="AA18" i="9"/>
  <c r="AA17" i="9"/>
  <c r="AA7" i="9"/>
  <c r="AA8" i="9"/>
  <c r="AA10" i="9"/>
  <c r="AA9" i="9"/>
  <c r="AA11" i="9"/>
  <c r="AA13" i="9"/>
  <c r="AA12" i="9"/>
  <c r="AA14" i="9"/>
  <c r="AA16" i="9"/>
  <c r="AA19" i="9"/>
  <c r="AA20" i="9"/>
  <c r="AA22" i="9"/>
  <c r="AA21" i="9"/>
  <c r="AA56" i="9"/>
  <c r="AA55" i="9"/>
  <c r="AA57" i="9"/>
  <c r="AA64" i="9"/>
  <c r="AA63" i="9"/>
  <c r="AA62" i="9"/>
  <c r="AA52" i="9"/>
  <c r="AA53" i="9"/>
  <c r="AA54" i="9"/>
  <c r="AA66" i="9"/>
  <c r="AA61" i="9"/>
  <c r="AA58" i="9"/>
  <c r="AA60" i="9"/>
  <c r="AA67" i="9"/>
  <c r="AA68" i="9"/>
  <c r="AA65" i="9"/>
  <c r="AA72" i="9"/>
  <c r="AA73" i="9"/>
  <c r="AA74" i="9"/>
  <c r="AA75" i="9"/>
  <c r="AA77" i="9"/>
  <c r="AA76" i="9"/>
  <c r="AA330" i="9"/>
  <c r="AA331" i="9"/>
  <c r="AA332" i="9"/>
  <c r="AA333" i="9"/>
  <c r="AA334" i="9"/>
  <c r="AA335" i="9"/>
  <c r="AA338" i="9"/>
  <c r="AA336" i="9"/>
  <c r="AA337" i="9"/>
  <c r="AA339" i="9"/>
  <c r="AA340" i="9"/>
  <c r="AA341" i="9"/>
  <c r="AA343" i="9"/>
  <c r="AA342" i="9"/>
  <c r="AA344" i="9"/>
  <c r="AA346" i="9"/>
  <c r="AA347" i="9"/>
  <c r="AA351" i="9"/>
  <c r="AA359" i="9"/>
  <c r="AA348" i="9"/>
  <c r="AA349" i="9"/>
  <c r="AA350" i="9"/>
  <c r="AA354" i="9"/>
  <c r="AA355" i="9"/>
  <c r="AA356" i="9"/>
  <c r="AA357" i="9"/>
  <c r="AA345" i="9"/>
  <c r="AA364" i="9"/>
  <c r="AA362" i="9"/>
  <c r="AA363" i="9"/>
  <c r="AA368" i="9"/>
  <c r="AA367" i="9"/>
  <c r="AA369" i="9"/>
  <c r="AA365" i="9"/>
  <c r="AA366" i="9"/>
  <c r="AA370" i="9"/>
  <c r="AA371" i="9"/>
  <c r="AA372" i="9"/>
  <c r="AA373" i="9"/>
  <c r="AA352" i="9"/>
  <c r="AA353" i="9"/>
  <c r="AA360" i="9"/>
  <c r="AA361" i="9"/>
  <c r="AA375" i="9"/>
  <c r="AA374" i="9"/>
  <c r="AA376" i="9"/>
  <c r="AA377" i="9"/>
  <c r="AA379" i="9"/>
  <c r="AA378" i="9"/>
  <c r="AA380" i="9"/>
  <c r="AA381" i="9"/>
  <c r="AA304" i="9"/>
  <c r="AA305" i="9"/>
  <c r="AA299" i="9"/>
  <c r="AA300" i="9"/>
  <c r="AA297" i="9"/>
  <c r="AA303" i="9"/>
  <c r="AA302" i="9"/>
  <c r="AA301" i="9"/>
  <c r="AA298" i="9"/>
  <c r="AA315" i="9"/>
  <c r="AA314" i="9"/>
  <c r="AA313" i="9"/>
  <c r="AA316" i="9"/>
  <c r="AA317" i="9"/>
  <c r="AA319" i="9"/>
  <c r="AA318" i="9"/>
  <c r="AA322" i="9"/>
  <c r="AA325" i="9"/>
  <c r="AA324" i="9"/>
  <c r="AA326" i="9"/>
  <c r="AA327" i="9"/>
  <c r="AA329" i="9"/>
  <c r="AA320" i="9"/>
  <c r="AA323" i="9"/>
  <c r="AA321" i="9"/>
  <c r="AA328" i="9"/>
  <c r="AA387" i="9"/>
  <c r="AA388" i="9"/>
  <c r="AA382" i="9"/>
  <c r="AA383" i="9"/>
  <c r="AA384" i="9"/>
  <c r="AA385" i="9"/>
  <c r="AA386" i="9"/>
  <c r="AA392" i="9"/>
  <c r="AA391" i="9"/>
  <c r="AA390" i="9"/>
  <c r="AA389" i="9"/>
  <c r="AA394" i="9"/>
  <c r="AA393" i="9"/>
  <c r="AA395" i="9"/>
  <c r="AA396" i="9"/>
  <c r="AA397" i="9"/>
  <c r="AA398" i="9"/>
  <c r="AA503" i="9"/>
  <c r="AA504" i="9"/>
  <c r="AA399" i="9"/>
  <c r="AA405" i="9"/>
  <c r="AA402" i="9"/>
  <c r="AA401" i="9"/>
  <c r="AA404" i="9"/>
  <c r="AA403" i="9"/>
  <c r="AA406" i="9"/>
  <c r="AA407" i="9"/>
  <c r="AA408" i="9"/>
  <c r="AA285" i="9"/>
  <c r="AA286" i="9"/>
  <c r="AA282" i="9"/>
  <c r="AA283" i="9"/>
  <c r="AA284" i="9"/>
  <c r="AA288" i="9"/>
  <c r="AA290" i="9"/>
  <c r="AA289" i="9"/>
  <c r="AA292" i="9"/>
  <c r="AA293" i="9"/>
  <c r="AA294" i="9"/>
  <c r="AA295" i="9"/>
  <c r="AA296" i="9"/>
  <c r="AA311" i="9"/>
  <c r="AA312" i="9"/>
  <c r="AA23" i="9"/>
  <c r="AA24" i="9"/>
  <c r="AA25" i="9"/>
  <c r="AA26" i="9"/>
  <c r="AA28" i="9"/>
  <c r="AA27" i="9"/>
  <c r="AA30" i="9"/>
  <c r="AA31" i="9"/>
  <c r="AA32" i="9"/>
  <c r="AA33" i="9"/>
  <c r="AA34" i="9"/>
  <c r="AA35" i="9"/>
  <c r="AA36" i="9"/>
  <c r="AA37" i="9"/>
  <c r="AA38" i="9"/>
  <c r="AA40" i="9"/>
  <c r="AA41" i="9"/>
  <c r="AA42" i="9"/>
  <c r="AA43" i="9"/>
  <c r="AA49" i="9"/>
  <c r="AA44" i="9"/>
  <c r="AA48" i="9"/>
  <c r="AA47" i="9"/>
  <c r="AA50" i="9"/>
  <c r="AA46" i="9"/>
  <c r="AA45" i="9"/>
  <c r="AA3" i="9"/>
  <c r="AA39" i="9"/>
  <c r="AA70" i="9"/>
  <c r="AA71" i="9"/>
  <c r="AA78" i="9"/>
  <c r="AA79" i="9"/>
  <c r="AA80" i="9"/>
  <c r="AA81" i="9"/>
  <c r="AA82" i="9"/>
  <c r="AA83" i="9"/>
  <c r="AA84" i="9"/>
  <c r="AA85" i="9"/>
  <c r="AA86" i="9"/>
  <c r="AA101" i="9"/>
  <c r="AA102" i="9"/>
  <c r="AA104" i="9"/>
  <c r="AA105" i="9"/>
  <c r="AA106" i="9"/>
  <c r="AA91" i="9"/>
  <c r="AA94" i="9"/>
  <c r="AA95" i="9"/>
  <c r="AA96" i="9"/>
  <c r="AA97" i="9"/>
  <c r="AA98" i="9"/>
  <c r="AA90" i="9"/>
  <c r="AA99" i="9"/>
  <c r="AA100" i="9"/>
  <c r="AA89" i="9"/>
  <c r="AA116" i="9"/>
  <c r="AA117" i="9"/>
  <c r="AA118" i="9"/>
  <c r="AA119" i="9"/>
  <c r="AA120" i="9"/>
  <c r="AA121" i="9"/>
  <c r="AA122" i="9"/>
  <c r="AA123" i="9"/>
  <c r="AA124" i="9"/>
  <c r="AA125" i="9"/>
  <c r="AA126" i="9"/>
  <c r="AA127" i="9"/>
  <c r="AA128" i="9"/>
  <c r="AA129" i="9"/>
  <c r="AA130" i="9"/>
  <c r="AA131" i="9"/>
  <c r="AA132" i="9"/>
  <c r="AA133" i="9"/>
  <c r="AA134" i="9"/>
  <c r="AA181" i="9"/>
  <c r="AA182" i="9"/>
  <c r="AA135" i="9"/>
  <c r="AA136" i="9"/>
  <c r="AA137" i="9"/>
  <c r="AA142" i="9"/>
  <c r="AA138" i="9"/>
  <c r="AA139" i="9"/>
  <c r="AA140" i="9"/>
  <c r="AA141" i="9"/>
  <c r="AA186" i="9"/>
  <c r="AA144" i="9"/>
  <c r="AA145" i="9"/>
  <c r="AA146" i="9"/>
  <c r="AA147" i="9"/>
  <c r="AA149" i="9"/>
  <c r="AA214" i="9"/>
  <c r="AA150" i="9"/>
  <c r="AA151" i="9"/>
  <c r="AA152" i="9"/>
  <c r="AA153" i="9"/>
  <c r="AA154" i="9"/>
  <c r="AA155" i="9"/>
  <c r="AA156" i="9"/>
  <c r="AA157" i="9"/>
  <c r="AA160" i="9"/>
  <c r="AA161" i="9"/>
  <c r="AA189" i="9"/>
  <c r="AA162" i="9"/>
  <c r="AA163" i="9"/>
  <c r="AA164" i="9"/>
  <c r="AA165" i="9"/>
  <c r="AA166" i="9"/>
  <c r="AA167" i="9"/>
  <c r="AA168" i="9"/>
  <c r="AA169" i="9"/>
  <c r="AA170" i="9"/>
  <c r="AA172" i="9"/>
  <c r="AA171" i="9"/>
  <c r="AA173" i="9"/>
  <c r="AA174" i="9"/>
  <c r="AA175" i="9"/>
  <c r="AA176" i="9"/>
  <c r="AA177" i="9"/>
  <c r="AA179" i="9"/>
  <c r="AA183" i="9"/>
  <c r="AA184" i="9"/>
  <c r="AA185" i="9"/>
  <c r="AA187" i="9"/>
  <c r="AA188" i="9"/>
  <c r="AA217" i="9"/>
  <c r="AA190" i="9"/>
  <c r="AA191" i="9"/>
  <c r="AA192" i="9"/>
  <c r="AA193" i="9"/>
  <c r="AA194" i="9"/>
  <c r="AA195" i="9"/>
  <c r="AA143" i="9"/>
  <c r="AA196" i="9"/>
  <c r="AA200" i="9"/>
  <c r="AA201" i="9"/>
  <c r="AA218" i="9"/>
  <c r="AA202" i="9"/>
  <c r="AA203" i="9"/>
  <c r="AA204" i="9"/>
  <c r="AA205" i="9"/>
  <c r="AA206" i="9"/>
  <c r="AA207" i="9"/>
  <c r="AA209" i="9"/>
  <c r="AA208" i="9"/>
  <c r="AA212" i="9"/>
  <c r="AA216" i="9"/>
  <c r="AA227" i="9"/>
  <c r="AA228" i="9"/>
  <c r="AA219" i="9"/>
  <c r="AA229" i="9"/>
  <c r="AA230" i="9"/>
  <c r="AA231" i="9"/>
  <c r="AA180" i="9"/>
  <c r="AA148" i="9"/>
  <c r="AA159" i="9"/>
  <c r="AA197" i="9"/>
  <c r="AA198" i="9"/>
  <c r="AA199" i="9"/>
  <c r="AA210" i="9"/>
  <c r="AA211" i="9"/>
  <c r="AA220" i="9"/>
  <c r="AA178" i="9"/>
  <c r="AA221" i="9"/>
  <c r="AA222" i="9"/>
  <c r="AA223" i="9"/>
  <c r="AA224" i="9"/>
  <c r="AA225" i="9"/>
  <c r="AA226" i="9"/>
  <c r="AA232" i="9"/>
  <c r="AA233" i="9"/>
  <c r="AA107" i="9"/>
  <c r="AA108" i="9"/>
  <c r="AA109" i="9"/>
  <c r="AA110" i="9"/>
  <c r="AA113" i="9"/>
  <c r="AA111" i="9"/>
  <c r="AA114" i="9"/>
  <c r="AA112" i="9"/>
  <c r="AA115" i="9"/>
  <c r="AA235" i="9"/>
  <c r="AA234" i="9"/>
  <c r="AA236" i="9"/>
  <c r="AA237" i="9"/>
  <c r="AA238" i="9"/>
  <c r="AA240" i="9"/>
  <c r="AA239" i="9"/>
  <c r="AA242" i="9"/>
  <c r="AA241" i="9"/>
  <c r="AA243" i="9"/>
  <c r="AA246" i="9"/>
  <c r="AA245" i="9"/>
  <c r="AA244" i="9"/>
  <c r="AA248" i="9"/>
  <c r="AA249" i="9"/>
  <c r="AA250" i="9"/>
  <c r="AA247" i="9"/>
  <c r="AA251" i="9"/>
  <c r="AA252" i="9"/>
  <c r="AA253" i="9"/>
  <c r="AA254" i="9"/>
  <c r="AA255" i="9"/>
  <c r="AA256" i="9"/>
  <c r="AA257" i="9"/>
  <c r="AA258" i="9"/>
  <c r="AA259" i="9"/>
  <c r="AA260" i="9"/>
  <c r="AA261" i="9"/>
  <c r="AA262" i="9"/>
  <c r="AA263" i="9"/>
  <c r="AA264" i="9"/>
  <c r="AA265" i="9"/>
  <c r="AA266" i="9"/>
  <c r="AA267" i="9"/>
  <c r="AA268" i="9"/>
  <c r="AA269" i="9"/>
  <c r="AA270" i="9"/>
  <c r="AA272" i="9"/>
  <c r="AA273" i="9"/>
  <c r="AA271" i="9"/>
  <c r="AA275" i="9"/>
  <c r="AA276" i="9"/>
  <c r="AA277" i="9"/>
  <c r="AA278" i="9"/>
  <c r="AA279" i="9"/>
  <c r="AA280" i="9"/>
  <c r="AA281" i="9"/>
  <c r="AA306" i="9"/>
  <c r="AA4" i="9"/>
  <c r="AA309" i="9"/>
  <c r="AA213" i="9"/>
  <c r="AA310" i="9"/>
  <c r="AA307" i="9"/>
  <c r="AA308" i="9"/>
  <c r="AA409" i="9"/>
  <c r="B24" i="11"/>
  <c r="C24" i="11"/>
  <c r="D24" i="11"/>
  <c r="E24" i="11"/>
  <c r="H24" i="11"/>
  <c r="K24" i="11"/>
  <c r="L24" i="11"/>
  <c r="B25" i="11"/>
  <c r="C25" i="11"/>
  <c r="I25" i="11" s="1"/>
  <c r="D25" i="11"/>
  <c r="E25" i="11"/>
  <c r="H25" i="11"/>
  <c r="K25" i="11"/>
  <c r="L25" i="11"/>
  <c r="B26" i="11"/>
  <c r="C26" i="11"/>
  <c r="I26" i="11" s="1"/>
  <c r="D26" i="11"/>
  <c r="E26" i="11"/>
  <c r="H26" i="11"/>
  <c r="K26" i="11"/>
  <c r="L26" i="11"/>
  <c r="B27" i="11"/>
  <c r="C27" i="11"/>
  <c r="I27" i="11" s="1"/>
  <c r="D27" i="11"/>
  <c r="E27" i="11"/>
  <c r="H27" i="11"/>
  <c r="K27" i="11"/>
  <c r="L27" i="11"/>
  <c r="B28" i="11"/>
  <c r="C28" i="11"/>
  <c r="D28" i="11"/>
  <c r="E28" i="11"/>
  <c r="H28" i="11"/>
  <c r="K28" i="11"/>
  <c r="L28" i="11"/>
  <c r="B29" i="11"/>
  <c r="C29" i="11"/>
  <c r="D29" i="11"/>
  <c r="E29" i="11"/>
  <c r="H29" i="11"/>
  <c r="K29" i="11"/>
  <c r="L29" i="11"/>
  <c r="B30" i="11"/>
  <c r="C30" i="11"/>
  <c r="D30" i="11"/>
  <c r="E30" i="11"/>
  <c r="H30" i="11"/>
  <c r="K30" i="11"/>
  <c r="L30" i="11"/>
  <c r="B31" i="11"/>
  <c r="C31" i="11"/>
  <c r="D31" i="11"/>
  <c r="E31" i="11"/>
  <c r="H31" i="11"/>
  <c r="K31" i="11"/>
  <c r="L31" i="11"/>
  <c r="B32" i="11"/>
  <c r="C32" i="11"/>
  <c r="D32" i="11"/>
  <c r="E32" i="11"/>
  <c r="H32" i="11"/>
  <c r="K32" i="11"/>
  <c r="L32" i="11"/>
  <c r="B33" i="11"/>
  <c r="C33" i="11"/>
  <c r="D33" i="11"/>
  <c r="E33" i="11"/>
  <c r="H33" i="11"/>
  <c r="K33" i="11"/>
  <c r="L33" i="11"/>
  <c r="B34" i="11"/>
  <c r="C34" i="11"/>
  <c r="D34" i="11"/>
  <c r="E34" i="11"/>
  <c r="H34" i="11"/>
  <c r="K34" i="11"/>
  <c r="L34" i="11"/>
  <c r="B35" i="11"/>
  <c r="C35" i="11"/>
  <c r="D35" i="11"/>
  <c r="E35" i="11"/>
  <c r="H35" i="11"/>
  <c r="K35" i="11"/>
  <c r="L35" i="11"/>
  <c r="B36" i="11"/>
  <c r="C36" i="11"/>
  <c r="I36" i="11" s="1"/>
  <c r="D36" i="11"/>
  <c r="E36" i="11"/>
  <c r="H36" i="11"/>
  <c r="K36" i="11"/>
  <c r="L36" i="11"/>
  <c r="B37" i="11"/>
  <c r="C37" i="11"/>
  <c r="I37" i="11" s="1"/>
  <c r="D37" i="11"/>
  <c r="E37" i="11"/>
  <c r="H37" i="11"/>
  <c r="K37" i="11"/>
  <c r="L37" i="11"/>
  <c r="B38" i="11"/>
  <c r="C38" i="11"/>
  <c r="D38" i="11"/>
  <c r="E38" i="11"/>
  <c r="H38" i="11"/>
  <c r="K38" i="11"/>
  <c r="L38" i="11"/>
  <c r="B39" i="11"/>
  <c r="C39" i="11"/>
  <c r="I39" i="11" s="1"/>
  <c r="D39" i="11"/>
  <c r="E39" i="11"/>
  <c r="H39" i="11"/>
  <c r="K39" i="11"/>
  <c r="L39" i="11"/>
  <c r="B40" i="11"/>
  <c r="C40" i="11"/>
  <c r="I40" i="11" s="1"/>
  <c r="D40" i="11"/>
  <c r="E40" i="11"/>
  <c r="H40" i="11"/>
  <c r="K40" i="11"/>
  <c r="L40" i="11"/>
  <c r="B41" i="11"/>
  <c r="C41" i="11"/>
  <c r="D41" i="11"/>
  <c r="E41" i="11"/>
  <c r="H41" i="11"/>
  <c r="K41" i="11"/>
  <c r="L41" i="11"/>
  <c r="B42" i="11"/>
  <c r="C42" i="11"/>
  <c r="D42" i="11"/>
  <c r="E42" i="11"/>
  <c r="H42" i="11"/>
  <c r="K42" i="11"/>
  <c r="L42" i="11"/>
  <c r="B43" i="11"/>
  <c r="C43" i="11"/>
  <c r="D43" i="11"/>
  <c r="E43" i="11"/>
  <c r="H43" i="11"/>
  <c r="K43" i="11"/>
  <c r="L43" i="11"/>
  <c r="B44" i="11"/>
  <c r="C44" i="11"/>
  <c r="D44" i="11"/>
  <c r="E44" i="11"/>
  <c r="H44" i="11"/>
  <c r="K44" i="11"/>
  <c r="L44" i="11"/>
  <c r="B45" i="11"/>
  <c r="C45" i="11"/>
  <c r="D45" i="11"/>
  <c r="E45" i="11"/>
  <c r="H45" i="11"/>
  <c r="K45" i="11"/>
  <c r="L45" i="11"/>
  <c r="B46" i="11"/>
  <c r="C46" i="11"/>
  <c r="D46" i="11"/>
  <c r="E46" i="11"/>
  <c r="H46" i="11"/>
  <c r="K46" i="11"/>
  <c r="L46" i="11"/>
  <c r="B47" i="11"/>
  <c r="C47" i="11"/>
  <c r="D47" i="11"/>
  <c r="E47" i="11"/>
  <c r="H47" i="11"/>
  <c r="K47" i="11"/>
  <c r="L47" i="11"/>
  <c r="B48" i="11"/>
  <c r="C48" i="11"/>
  <c r="D48" i="11"/>
  <c r="E48" i="11"/>
  <c r="H48" i="11"/>
  <c r="K48" i="11"/>
  <c r="L48" i="11"/>
  <c r="B49" i="11"/>
  <c r="C49" i="11"/>
  <c r="D49" i="11"/>
  <c r="E49" i="11"/>
  <c r="H49" i="11"/>
  <c r="K49" i="11"/>
  <c r="L49" i="11"/>
  <c r="B50" i="11"/>
  <c r="C50" i="11"/>
  <c r="D50" i="11"/>
  <c r="E50" i="11"/>
  <c r="H50" i="11"/>
  <c r="K50" i="11"/>
  <c r="L50" i="11"/>
  <c r="B51" i="11"/>
  <c r="C51" i="11"/>
  <c r="I51" i="11" s="1"/>
  <c r="D51" i="11"/>
  <c r="E51" i="11"/>
  <c r="H51" i="11"/>
  <c r="K51" i="11"/>
  <c r="L51" i="11"/>
  <c r="B52" i="11"/>
  <c r="C52" i="11"/>
  <c r="I52" i="11" s="1"/>
  <c r="D52" i="11"/>
  <c r="E52" i="11"/>
  <c r="H52" i="11"/>
  <c r="K52" i="11"/>
  <c r="L52" i="11"/>
  <c r="B53" i="11"/>
  <c r="C53" i="11"/>
  <c r="I53" i="11" s="1"/>
  <c r="D53" i="11"/>
  <c r="E53" i="11"/>
  <c r="H53" i="11"/>
  <c r="K53" i="11"/>
  <c r="L53" i="11"/>
  <c r="B54" i="11"/>
  <c r="C54" i="11"/>
  <c r="I54" i="11" s="1"/>
  <c r="D54" i="11"/>
  <c r="E54" i="11"/>
  <c r="H54" i="11"/>
  <c r="K54" i="11"/>
  <c r="L54" i="11"/>
  <c r="B55" i="11"/>
  <c r="C55" i="11"/>
  <c r="I55" i="11" s="1"/>
  <c r="D55" i="11"/>
  <c r="E55" i="11"/>
  <c r="H55" i="11"/>
  <c r="K55" i="11"/>
  <c r="L55" i="11"/>
  <c r="B56" i="11"/>
  <c r="C56" i="11"/>
  <c r="I56" i="11" s="1"/>
  <c r="D56" i="11"/>
  <c r="E56" i="11"/>
  <c r="H56" i="11"/>
  <c r="K56" i="11"/>
  <c r="L56" i="11"/>
  <c r="B57" i="11"/>
  <c r="C57" i="11"/>
  <c r="I57" i="11" s="1"/>
  <c r="D57" i="11"/>
  <c r="E57" i="11"/>
  <c r="H57" i="11"/>
  <c r="K57" i="11"/>
  <c r="L57" i="11"/>
  <c r="B58" i="11"/>
  <c r="C58" i="11"/>
  <c r="I58" i="11" s="1"/>
  <c r="D58" i="11"/>
  <c r="E58" i="11"/>
  <c r="H58" i="11"/>
  <c r="K58" i="11"/>
  <c r="L58" i="11"/>
  <c r="B59" i="11"/>
  <c r="C59" i="11"/>
  <c r="D59" i="11"/>
  <c r="E59" i="11"/>
  <c r="H59" i="11"/>
  <c r="K59" i="11"/>
  <c r="L59" i="11"/>
  <c r="B60" i="11"/>
  <c r="C60" i="11"/>
  <c r="D60" i="11"/>
  <c r="E60" i="11"/>
  <c r="H60" i="11"/>
  <c r="K60" i="11"/>
  <c r="L60" i="11"/>
  <c r="B61" i="11"/>
  <c r="C61" i="11"/>
  <c r="I61" i="11" s="1"/>
  <c r="D61" i="11"/>
  <c r="E61" i="11"/>
  <c r="H61" i="11"/>
  <c r="K61" i="11"/>
  <c r="L61" i="11"/>
  <c r="B62" i="11"/>
  <c r="C62" i="11"/>
  <c r="I62" i="11" s="1"/>
  <c r="D62" i="11"/>
  <c r="E62" i="11"/>
  <c r="H62" i="11"/>
  <c r="K62" i="11"/>
  <c r="L62" i="11"/>
  <c r="B63" i="11"/>
  <c r="C63" i="11"/>
  <c r="I63" i="11" s="1"/>
  <c r="D63" i="11"/>
  <c r="E63" i="11"/>
  <c r="H63" i="11"/>
  <c r="K63" i="11"/>
  <c r="L63" i="11"/>
  <c r="B64" i="11"/>
  <c r="C64" i="11"/>
  <c r="D64" i="11"/>
  <c r="E64" i="11"/>
  <c r="H64" i="11"/>
  <c r="K64" i="11"/>
  <c r="L64" i="11"/>
  <c r="B65" i="11"/>
  <c r="C65" i="11"/>
  <c r="I65" i="11" s="1"/>
  <c r="D65" i="11"/>
  <c r="E65" i="11"/>
  <c r="H65" i="11"/>
  <c r="K65" i="11"/>
  <c r="L65" i="11"/>
  <c r="B66" i="11"/>
  <c r="C66" i="11"/>
  <c r="I66" i="11" s="1"/>
  <c r="D66" i="11"/>
  <c r="E66" i="11"/>
  <c r="H66" i="11"/>
  <c r="K66" i="11"/>
  <c r="L66" i="11"/>
  <c r="B67" i="11"/>
  <c r="C67" i="11"/>
  <c r="D67" i="11"/>
  <c r="E67" i="11"/>
  <c r="H67" i="11"/>
  <c r="K67" i="11"/>
  <c r="L67" i="11"/>
  <c r="B68" i="11"/>
  <c r="C68" i="11"/>
  <c r="I68" i="11" s="1"/>
  <c r="D68" i="11"/>
  <c r="E68" i="11"/>
  <c r="H68" i="11"/>
  <c r="K68" i="11"/>
  <c r="L68" i="11"/>
  <c r="B69" i="11"/>
  <c r="C69" i="11"/>
  <c r="I69" i="11" s="1"/>
  <c r="D69" i="11"/>
  <c r="E69" i="11"/>
  <c r="H69" i="11"/>
  <c r="K69" i="11"/>
  <c r="L69" i="11"/>
  <c r="B70" i="11"/>
  <c r="C70" i="11"/>
  <c r="I70" i="11" s="1"/>
  <c r="D70" i="11"/>
  <c r="E70" i="11"/>
  <c r="H70" i="11"/>
  <c r="K70" i="11"/>
  <c r="L70" i="11"/>
  <c r="B71" i="11"/>
  <c r="C71" i="11"/>
  <c r="D71" i="11"/>
  <c r="E71" i="11"/>
  <c r="H71" i="11"/>
  <c r="K71" i="11"/>
  <c r="L71" i="11"/>
  <c r="B72" i="11"/>
  <c r="C72" i="11"/>
  <c r="I72" i="11" s="1"/>
  <c r="D72" i="11"/>
  <c r="E72" i="11"/>
  <c r="H72" i="11"/>
  <c r="K72" i="11"/>
  <c r="L72" i="11"/>
  <c r="B73" i="11"/>
  <c r="C73" i="11"/>
  <c r="I73" i="11" s="1"/>
  <c r="D73" i="11"/>
  <c r="E73" i="11"/>
  <c r="H73" i="11"/>
  <c r="K73" i="11"/>
  <c r="L73" i="11"/>
  <c r="B74" i="11"/>
  <c r="C74" i="11"/>
  <c r="I74" i="11" s="1"/>
  <c r="D74" i="11"/>
  <c r="E74" i="11"/>
  <c r="H74" i="11"/>
  <c r="K74" i="11"/>
  <c r="L74" i="11"/>
  <c r="B75" i="11"/>
  <c r="C75" i="11"/>
  <c r="I75" i="11" s="1"/>
  <c r="D75" i="11"/>
  <c r="E75" i="11"/>
  <c r="H75" i="11"/>
  <c r="K75" i="11"/>
  <c r="L75" i="11"/>
  <c r="B76" i="11"/>
  <c r="C76" i="11"/>
  <c r="I76" i="11" s="1"/>
  <c r="D76" i="11"/>
  <c r="E76" i="11"/>
  <c r="H76" i="11"/>
  <c r="K76" i="11"/>
  <c r="L76" i="11"/>
  <c r="B77" i="11"/>
  <c r="C77" i="11"/>
  <c r="I77" i="11" s="1"/>
  <c r="D77" i="11"/>
  <c r="E77" i="11"/>
  <c r="H77" i="11"/>
  <c r="K77" i="11"/>
  <c r="L77" i="11"/>
  <c r="B78" i="11"/>
  <c r="C78" i="11"/>
  <c r="I78" i="11" s="1"/>
  <c r="D78" i="11"/>
  <c r="E78" i="11"/>
  <c r="H78" i="11"/>
  <c r="K78" i="11"/>
  <c r="L78" i="11"/>
  <c r="B79" i="11"/>
  <c r="C79" i="11"/>
  <c r="I79" i="11" s="1"/>
  <c r="D79" i="11"/>
  <c r="E79" i="11"/>
  <c r="H79" i="11"/>
  <c r="K79" i="11"/>
  <c r="L79" i="11"/>
  <c r="B80" i="11"/>
  <c r="C80" i="11"/>
  <c r="I80" i="11" s="1"/>
  <c r="D80" i="11"/>
  <c r="E80" i="11"/>
  <c r="H80" i="11"/>
  <c r="K80" i="11"/>
  <c r="L80" i="11"/>
  <c r="B81" i="11"/>
  <c r="C81" i="11"/>
  <c r="I81" i="11" s="1"/>
  <c r="D81" i="11"/>
  <c r="E81" i="11"/>
  <c r="H81" i="11"/>
  <c r="K81" i="11"/>
  <c r="L81" i="11"/>
  <c r="B82" i="11"/>
  <c r="C82" i="11"/>
  <c r="I82" i="11" s="1"/>
  <c r="D82" i="11"/>
  <c r="E82" i="11"/>
  <c r="H82" i="11"/>
  <c r="K82" i="11"/>
  <c r="L82" i="11"/>
  <c r="B83" i="11"/>
  <c r="C83" i="11"/>
  <c r="I83" i="11" s="1"/>
  <c r="D83" i="11"/>
  <c r="E83" i="11"/>
  <c r="H83" i="11"/>
  <c r="K83" i="11"/>
  <c r="L83" i="11"/>
  <c r="B84" i="11"/>
  <c r="C84" i="11"/>
  <c r="I84" i="11" s="1"/>
  <c r="D84" i="11"/>
  <c r="E84" i="11"/>
  <c r="H84" i="11"/>
  <c r="K84" i="11"/>
  <c r="L84" i="11"/>
  <c r="B85" i="11"/>
  <c r="C85" i="11"/>
  <c r="I85" i="11" s="1"/>
  <c r="D85" i="11"/>
  <c r="E85" i="11"/>
  <c r="H85" i="11"/>
  <c r="K85" i="11"/>
  <c r="L85" i="11"/>
  <c r="B86" i="11"/>
  <c r="C86" i="11"/>
  <c r="I86" i="11" s="1"/>
  <c r="D86" i="11"/>
  <c r="E86" i="11"/>
  <c r="H86" i="11"/>
  <c r="K86" i="11"/>
  <c r="L86" i="11"/>
  <c r="B87" i="11"/>
  <c r="C87" i="11"/>
  <c r="I87" i="11" s="1"/>
  <c r="D87" i="11"/>
  <c r="E87" i="11"/>
  <c r="H87" i="11"/>
  <c r="K87" i="11"/>
  <c r="L87" i="11"/>
  <c r="B88" i="11"/>
  <c r="C88" i="11"/>
  <c r="I88" i="11" s="1"/>
  <c r="D88" i="11"/>
  <c r="E88" i="11"/>
  <c r="H88" i="11"/>
  <c r="K88" i="11"/>
  <c r="L88" i="11"/>
  <c r="B89" i="11"/>
  <c r="C89" i="11"/>
  <c r="I89" i="11" s="1"/>
  <c r="D89" i="11"/>
  <c r="E89" i="11"/>
  <c r="H89" i="11"/>
  <c r="K89" i="11"/>
  <c r="L89" i="11"/>
  <c r="B90" i="11"/>
  <c r="C90" i="11"/>
  <c r="D90" i="11"/>
  <c r="E90" i="11"/>
  <c r="H90" i="11"/>
  <c r="K90" i="11"/>
  <c r="L90" i="11"/>
  <c r="B91" i="11"/>
  <c r="C91" i="11"/>
  <c r="D91" i="11"/>
  <c r="E91" i="11"/>
  <c r="H91" i="11"/>
  <c r="K91" i="11"/>
  <c r="L91" i="11"/>
  <c r="B92" i="11"/>
  <c r="C92" i="11"/>
  <c r="D92" i="11"/>
  <c r="E92" i="11"/>
  <c r="H92" i="11"/>
  <c r="K92" i="11"/>
  <c r="L92" i="11"/>
  <c r="B93" i="11"/>
  <c r="C93" i="11"/>
  <c r="D93" i="11"/>
  <c r="E93" i="11"/>
  <c r="H93" i="11"/>
  <c r="K93" i="11"/>
  <c r="L93" i="11"/>
  <c r="B94" i="11"/>
  <c r="C94" i="11"/>
  <c r="D94" i="11"/>
  <c r="E94" i="11"/>
  <c r="H94" i="11"/>
  <c r="K94" i="11"/>
  <c r="L94" i="11"/>
  <c r="B95" i="11"/>
  <c r="C95" i="11"/>
  <c r="D95" i="11"/>
  <c r="E95" i="11"/>
  <c r="H95" i="11"/>
  <c r="K95" i="11"/>
  <c r="L95" i="11"/>
  <c r="B96" i="11"/>
  <c r="C96" i="11"/>
  <c r="D96" i="11"/>
  <c r="E96" i="11"/>
  <c r="H96" i="11"/>
  <c r="K96" i="11"/>
  <c r="L96" i="11"/>
  <c r="B97" i="11"/>
  <c r="C97" i="11"/>
  <c r="D97" i="11"/>
  <c r="E97" i="11"/>
  <c r="H97" i="11"/>
  <c r="K97" i="11"/>
  <c r="L97" i="11"/>
  <c r="B98" i="11"/>
  <c r="C98" i="11"/>
  <c r="D98" i="11"/>
  <c r="E98" i="11"/>
  <c r="H98" i="11"/>
  <c r="K98" i="11"/>
  <c r="L98" i="11"/>
  <c r="B99" i="11"/>
  <c r="C99" i="11"/>
  <c r="D99" i="11"/>
  <c r="E99" i="11"/>
  <c r="H99" i="11"/>
  <c r="K99" i="11"/>
  <c r="L99" i="11"/>
  <c r="B100" i="11"/>
  <c r="C100" i="11"/>
  <c r="D100" i="11"/>
  <c r="E100" i="11"/>
  <c r="H100" i="11"/>
  <c r="K100" i="11"/>
  <c r="L100" i="11"/>
  <c r="B101" i="11"/>
  <c r="C101" i="11"/>
  <c r="D101" i="11"/>
  <c r="E101" i="11"/>
  <c r="H101" i="11"/>
  <c r="K101" i="11"/>
  <c r="L101" i="11"/>
  <c r="B102" i="11"/>
  <c r="C102" i="11"/>
  <c r="D102" i="11"/>
  <c r="E102" i="11"/>
  <c r="H102" i="11"/>
  <c r="K102" i="11"/>
  <c r="L102" i="11"/>
  <c r="B103" i="11"/>
  <c r="C103" i="11"/>
  <c r="I103" i="11" s="1"/>
  <c r="D103" i="11"/>
  <c r="E103" i="11"/>
  <c r="H103" i="11"/>
  <c r="K103" i="11"/>
  <c r="L103" i="11"/>
  <c r="B104" i="11"/>
  <c r="C104" i="11"/>
  <c r="I104" i="11" s="1"/>
  <c r="D104" i="11"/>
  <c r="E104" i="11"/>
  <c r="H104" i="11"/>
  <c r="K104" i="11"/>
  <c r="L104" i="11"/>
  <c r="B105" i="11"/>
  <c r="C105" i="11"/>
  <c r="I105" i="11" s="1"/>
  <c r="D105" i="11"/>
  <c r="E105" i="11"/>
  <c r="H105" i="11"/>
  <c r="K105" i="11"/>
  <c r="L105" i="11"/>
  <c r="B106" i="11"/>
  <c r="C106" i="11"/>
  <c r="I106" i="11" s="1"/>
  <c r="D106" i="11"/>
  <c r="E106" i="11"/>
  <c r="H106" i="11"/>
  <c r="K106" i="11"/>
  <c r="L106" i="11"/>
  <c r="B107" i="11"/>
  <c r="C107" i="11"/>
  <c r="D107" i="11"/>
  <c r="E107" i="11"/>
  <c r="H107" i="11"/>
  <c r="K107" i="11"/>
  <c r="L107" i="11"/>
  <c r="B108" i="11"/>
  <c r="C108" i="11"/>
  <c r="I108" i="11" s="1"/>
  <c r="D108" i="11"/>
  <c r="E108" i="11"/>
  <c r="H108" i="11"/>
  <c r="K108" i="11"/>
  <c r="L108" i="11"/>
  <c r="B109" i="11"/>
  <c r="C109" i="11"/>
  <c r="I109" i="11" s="1"/>
  <c r="D109" i="11"/>
  <c r="E109" i="11"/>
  <c r="H109" i="11"/>
  <c r="K109" i="11"/>
  <c r="L109" i="11"/>
  <c r="B110" i="11"/>
  <c r="C110" i="11"/>
  <c r="I110" i="11" s="1"/>
  <c r="D110" i="11"/>
  <c r="E110" i="11"/>
  <c r="H110" i="11"/>
  <c r="K110" i="11"/>
  <c r="L110" i="11"/>
  <c r="B111" i="11"/>
  <c r="C111" i="11"/>
  <c r="I111" i="11" s="1"/>
  <c r="D111" i="11"/>
  <c r="E111" i="11"/>
  <c r="H111" i="11"/>
  <c r="K111" i="11"/>
  <c r="L111" i="11"/>
  <c r="B112" i="11"/>
  <c r="C112" i="11"/>
  <c r="D112" i="11"/>
  <c r="E112" i="11"/>
  <c r="H112" i="11"/>
  <c r="K112" i="11"/>
  <c r="L112" i="11"/>
  <c r="B113" i="11"/>
  <c r="C113" i="11"/>
  <c r="I113" i="11" s="1"/>
  <c r="D113" i="11"/>
  <c r="E113" i="11"/>
  <c r="H113" i="11"/>
  <c r="K113" i="11"/>
  <c r="L113" i="11"/>
  <c r="B114" i="11"/>
  <c r="C114" i="11"/>
  <c r="I114" i="11" s="1"/>
  <c r="D114" i="11"/>
  <c r="E114" i="11"/>
  <c r="H114" i="11"/>
  <c r="K114" i="11"/>
  <c r="L114" i="11"/>
  <c r="B115" i="11"/>
  <c r="C115" i="11"/>
  <c r="I115" i="11" s="1"/>
  <c r="D115" i="11"/>
  <c r="E115" i="11"/>
  <c r="H115" i="11"/>
  <c r="K115" i="11"/>
  <c r="L115" i="11"/>
  <c r="B116" i="11"/>
  <c r="C116" i="11"/>
  <c r="I116" i="11" s="1"/>
  <c r="D116" i="11"/>
  <c r="E116" i="11"/>
  <c r="H116" i="11"/>
  <c r="K116" i="11"/>
  <c r="L116" i="11"/>
  <c r="B117" i="11"/>
  <c r="C117" i="11"/>
  <c r="I117" i="11" s="1"/>
  <c r="D117" i="11"/>
  <c r="E117" i="11"/>
  <c r="H117" i="11"/>
  <c r="K117" i="11"/>
  <c r="L117" i="11"/>
  <c r="B118" i="11"/>
  <c r="C118" i="11"/>
  <c r="D118" i="11"/>
  <c r="E118" i="11"/>
  <c r="H118" i="11"/>
  <c r="K118" i="11"/>
  <c r="L118" i="11"/>
  <c r="B119" i="11"/>
  <c r="C119" i="11"/>
  <c r="D119" i="11"/>
  <c r="E119" i="11"/>
  <c r="H119" i="11"/>
  <c r="K119" i="11"/>
  <c r="L119" i="11"/>
  <c r="B120" i="11"/>
  <c r="C120" i="11"/>
  <c r="D120" i="11"/>
  <c r="E120" i="11"/>
  <c r="H120" i="11"/>
  <c r="K120" i="11"/>
  <c r="L120" i="11"/>
  <c r="B121" i="11"/>
  <c r="C121" i="11"/>
  <c r="D121" i="11"/>
  <c r="E121" i="11"/>
  <c r="H121" i="11"/>
  <c r="K121" i="11"/>
  <c r="L121" i="11"/>
  <c r="B122" i="11"/>
  <c r="C122" i="11"/>
  <c r="I122" i="11" s="1"/>
  <c r="D122" i="11"/>
  <c r="E122" i="11"/>
  <c r="H122" i="11"/>
  <c r="K122" i="11"/>
  <c r="L122" i="11"/>
  <c r="B123" i="11"/>
  <c r="C123" i="11"/>
  <c r="I123" i="11" s="1"/>
  <c r="D123" i="11"/>
  <c r="E123" i="11"/>
  <c r="H123" i="11"/>
  <c r="K123" i="11"/>
  <c r="L123" i="11"/>
  <c r="B124" i="11"/>
  <c r="C124" i="11"/>
  <c r="I124" i="11" s="1"/>
  <c r="D124" i="11"/>
  <c r="E124" i="11"/>
  <c r="H124" i="11"/>
  <c r="K124" i="11"/>
  <c r="L124" i="11"/>
  <c r="B125" i="11"/>
  <c r="C125" i="11"/>
  <c r="D125" i="11"/>
  <c r="E125" i="11"/>
  <c r="H125" i="11"/>
  <c r="K125" i="11"/>
  <c r="L125" i="11"/>
  <c r="B126" i="11"/>
  <c r="C126" i="11"/>
  <c r="I126" i="11" s="1"/>
  <c r="D126" i="11"/>
  <c r="E126" i="11"/>
  <c r="H126" i="11"/>
  <c r="K126" i="11"/>
  <c r="L126" i="11"/>
  <c r="B127" i="11"/>
  <c r="C127" i="11"/>
  <c r="I127" i="11" s="1"/>
  <c r="D127" i="11"/>
  <c r="E127" i="11"/>
  <c r="H127" i="11"/>
  <c r="K127" i="11"/>
  <c r="L127" i="11"/>
  <c r="B128" i="11"/>
  <c r="C128" i="11"/>
  <c r="I128" i="11" s="1"/>
  <c r="D128" i="11"/>
  <c r="E128" i="11"/>
  <c r="H128" i="11"/>
  <c r="K128" i="11"/>
  <c r="L128" i="11"/>
  <c r="B129" i="11"/>
  <c r="C129" i="11"/>
  <c r="D129" i="11"/>
  <c r="E129" i="11"/>
  <c r="H129" i="11"/>
  <c r="K129" i="11"/>
  <c r="L129" i="11"/>
  <c r="B130" i="11"/>
  <c r="C130" i="11"/>
  <c r="D130" i="11"/>
  <c r="E130" i="11"/>
  <c r="H130" i="11"/>
  <c r="K130" i="11"/>
  <c r="L130" i="11"/>
  <c r="B131" i="11"/>
  <c r="C131" i="11"/>
  <c r="I131" i="11" s="1"/>
  <c r="D131" i="11"/>
  <c r="E131" i="11"/>
  <c r="H131" i="11"/>
  <c r="K131" i="11"/>
  <c r="L131" i="11"/>
  <c r="B132" i="11"/>
  <c r="C132" i="11"/>
  <c r="D132" i="11"/>
  <c r="E132" i="11"/>
  <c r="H132" i="11"/>
  <c r="K132" i="11"/>
  <c r="L132" i="11"/>
  <c r="B133" i="11"/>
  <c r="C133" i="11"/>
  <c r="D133" i="11"/>
  <c r="E133" i="11"/>
  <c r="H133" i="11"/>
  <c r="K133" i="11"/>
  <c r="L133" i="11"/>
  <c r="B134" i="11"/>
  <c r="C134" i="11"/>
  <c r="I134" i="11" s="1"/>
  <c r="D134" i="11"/>
  <c r="E134" i="11"/>
  <c r="H134" i="11"/>
  <c r="K134" i="11"/>
  <c r="L134" i="11"/>
  <c r="B135" i="11"/>
  <c r="C135" i="11"/>
  <c r="D135" i="11"/>
  <c r="E135" i="11"/>
  <c r="H135" i="11"/>
  <c r="K135" i="11"/>
  <c r="L135" i="11"/>
  <c r="B136" i="11"/>
  <c r="C136" i="11"/>
  <c r="D136" i="11"/>
  <c r="E136" i="11"/>
  <c r="H136" i="11"/>
  <c r="K136" i="11"/>
  <c r="L136" i="11"/>
  <c r="B137" i="11"/>
  <c r="C137" i="11"/>
  <c r="I137" i="11" s="1"/>
  <c r="D137" i="11"/>
  <c r="E137" i="11"/>
  <c r="H137" i="11"/>
  <c r="K137" i="11"/>
  <c r="L137" i="11"/>
  <c r="B138" i="11"/>
  <c r="C138" i="11"/>
  <c r="D138" i="11"/>
  <c r="E138" i="11"/>
  <c r="H138" i="11"/>
  <c r="K138" i="11"/>
  <c r="L138" i="11"/>
  <c r="B139" i="11"/>
  <c r="C139" i="11"/>
  <c r="I139" i="11" s="1"/>
  <c r="D139" i="11"/>
  <c r="E139" i="11"/>
  <c r="H139" i="11"/>
  <c r="K139" i="11"/>
  <c r="L139" i="11"/>
  <c r="B140" i="11"/>
  <c r="C140" i="11"/>
  <c r="I140" i="11" s="1"/>
  <c r="D140" i="11"/>
  <c r="E140" i="11"/>
  <c r="H140" i="11"/>
  <c r="K140" i="11"/>
  <c r="L140" i="11"/>
  <c r="B141" i="11"/>
  <c r="C141" i="11"/>
  <c r="D141" i="11"/>
  <c r="E141" i="11"/>
  <c r="H141" i="11"/>
  <c r="K141" i="11"/>
  <c r="L141" i="11"/>
  <c r="B142" i="11"/>
  <c r="C142" i="11"/>
  <c r="D142" i="11"/>
  <c r="E142" i="11"/>
  <c r="H142" i="11"/>
  <c r="K142" i="11"/>
  <c r="L142" i="11"/>
  <c r="B143" i="11"/>
  <c r="C143" i="11"/>
  <c r="D143" i="11"/>
  <c r="E143" i="11"/>
  <c r="H143" i="11"/>
  <c r="K143" i="11"/>
  <c r="L143" i="11"/>
  <c r="B144" i="11"/>
  <c r="C144" i="11"/>
  <c r="D144" i="11"/>
  <c r="E144" i="11"/>
  <c r="H144" i="11"/>
  <c r="K144" i="11"/>
  <c r="L144" i="11"/>
  <c r="B145" i="11"/>
  <c r="C145" i="11"/>
  <c r="I145" i="11" s="1"/>
  <c r="D145" i="11"/>
  <c r="E145" i="11"/>
  <c r="H145" i="11"/>
  <c r="K145" i="11"/>
  <c r="L145" i="11"/>
  <c r="B146" i="11"/>
  <c r="C146" i="11"/>
  <c r="I146" i="11" s="1"/>
  <c r="D146" i="11"/>
  <c r="E146" i="11"/>
  <c r="H146" i="11"/>
  <c r="K146" i="11"/>
  <c r="L146" i="11"/>
  <c r="B147" i="11"/>
  <c r="C147" i="11"/>
  <c r="I147" i="11" s="1"/>
  <c r="D147" i="11"/>
  <c r="E147" i="11"/>
  <c r="H147" i="11"/>
  <c r="K147" i="11"/>
  <c r="L147" i="11"/>
  <c r="B148" i="11"/>
  <c r="C148" i="11"/>
  <c r="D148" i="11"/>
  <c r="E148" i="11"/>
  <c r="H148" i="11"/>
  <c r="K148" i="11"/>
  <c r="L148" i="11"/>
  <c r="B149" i="11"/>
  <c r="C149" i="11"/>
  <c r="I149" i="11" s="1"/>
  <c r="D149" i="11"/>
  <c r="E149" i="11"/>
  <c r="H149" i="11"/>
  <c r="K149" i="11"/>
  <c r="L149" i="11"/>
  <c r="B150" i="11"/>
  <c r="C150" i="11"/>
  <c r="D150" i="11"/>
  <c r="E150" i="11"/>
  <c r="H150" i="11"/>
  <c r="K150" i="11"/>
  <c r="L150" i="11"/>
  <c r="B151" i="11"/>
  <c r="C151" i="11"/>
  <c r="I151" i="11" s="1"/>
  <c r="D151" i="11"/>
  <c r="E151" i="11"/>
  <c r="H151" i="11"/>
  <c r="K151" i="11"/>
  <c r="L151" i="11"/>
  <c r="B152" i="11"/>
  <c r="C152" i="11"/>
  <c r="I152" i="11" s="1"/>
  <c r="D152" i="11"/>
  <c r="E152" i="11"/>
  <c r="H152" i="11"/>
  <c r="K152" i="11"/>
  <c r="L152" i="11"/>
  <c r="B153" i="11"/>
  <c r="C153" i="11"/>
  <c r="I153" i="11" s="1"/>
  <c r="D153" i="11"/>
  <c r="E153" i="11"/>
  <c r="H153" i="11"/>
  <c r="K153" i="11"/>
  <c r="L153" i="11"/>
  <c r="B154" i="11"/>
  <c r="C154" i="11"/>
  <c r="I154" i="11" s="1"/>
  <c r="D154" i="11"/>
  <c r="E154" i="11"/>
  <c r="H154" i="11"/>
  <c r="K154" i="11"/>
  <c r="L154" i="11"/>
  <c r="B155" i="11"/>
  <c r="C155" i="11"/>
  <c r="I155" i="11" s="1"/>
  <c r="D155" i="11"/>
  <c r="E155" i="11"/>
  <c r="H155" i="11"/>
  <c r="K155" i="11"/>
  <c r="L155" i="11"/>
  <c r="B156" i="11"/>
  <c r="C156" i="11"/>
  <c r="D156" i="11"/>
  <c r="E156" i="11"/>
  <c r="H156" i="11"/>
  <c r="K156" i="11"/>
  <c r="L156" i="11"/>
  <c r="B157" i="11"/>
  <c r="C157" i="11"/>
  <c r="D157" i="11"/>
  <c r="E157" i="11"/>
  <c r="H157" i="11"/>
  <c r="K157" i="11"/>
  <c r="L157" i="11"/>
  <c r="B158" i="11"/>
  <c r="C158" i="11"/>
  <c r="I158" i="11" s="1"/>
  <c r="D158" i="11"/>
  <c r="E158" i="11"/>
  <c r="H158" i="11"/>
  <c r="K158" i="11"/>
  <c r="L158" i="11"/>
  <c r="B159" i="11"/>
  <c r="C159" i="11"/>
  <c r="D159" i="11"/>
  <c r="E159" i="11"/>
  <c r="H159" i="11"/>
  <c r="K159" i="11"/>
  <c r="L159" i="11"/>
  <c r="B160" i="11"/>
  <c r="C160" i="11"/>
  <c r="D160" i="11"/>
  <c r="E160" i="11"/>
  <c r="H160" i="11"/>
  <c r="K160" i="11"/>
  <c r="L160" i="11"/>
  <c r="B161" i="11"/>
  <c r="C161" i="11"/>
  <c r="D161" i="11"/>
  <c r="E161" i="11"/>
  <c r="H161" i="11"/>
  <c r="K161" i="11"/>
  <c r="L161" i="11"/>
  <c r="B162" i="11"/>
  <c r="C162" i="11"/>
  <c r="D162" i="11"/>
  <c r="E162" i="11"/>
  <c r="H162" i="11"/>
  <c r="K162" i="11"/>
  <c r="L162" i="11"/>
  <c r="B163" i="11"/>
  <c r="C163" i="11"/>
  <c r="I163" i="11" s="1"/>
  <c r="D163" i="11"/>
  <c r="E163" i="11"/>
  <c r="H163" i="11"/>
  <c r="K163" i="11"/>
  <c r="L163" i="11"/>
  <c r="B164" i="11"/>
  <c r="C164" i="11"/>
  <c r="I164" i="11" s="1"/>
  <c r="D164" i="11"/>
  <c r="E164" i="11"/>
  <c r="H164" i="11"/>
  <c r="K164" i="11"/>
  <c r="L164" i="11"/>
  <c r="B165" i="11"/>
  <c r="C165" i="11"/>
  <c r="I165" i="11" s="1"/>
  <c r="D165" i="11"/>
  <c r="E165" i="11"/>
  <c r="H165" i="11"/>
  <c r="K165" i="11"/>
  <c r="L165" i="11"/>
  <c r="B166" i="11"/>
  <c r="C166" i="11"/>
  <c r="D166" i="11"/>
  <c r="E166" i="11"/>
  <c r="H166" i="11"/>
  <c r="K166" i="11"/>
  <c r="L166" i="11"/>
  <c r="B167" i="11"/>
  <c r="C167" i="11"/>
  <c r="I167" i="11" s="1"/>
  <c r="D167" i="11"/>
  <c r="E167" i="11"/>
  <c r="H167" i="11"/>
  <c r="K167" i="11"/>
  <c r="L167" i="11"/>
  <c r="B168" i="11"/>
  <c r="C168" i="11"/>
  <c r="I168" i="11" s="1"/>
  <c r="D168" i="11"/>
  <c r="E168" i="11"/>
  <c r="H168" i="11"/>
  <c r="K168" i="11"/>
  <c r="L168" i="11"/>
  <c r="B169" i="11"/>
  <c r="C169" i="11"/>
  <c r="I169" i="11" s="1"/>
  <c r="D169" i="11"/>
  <c r="E169" i="11"/>
  <c r="H169" i="11"/>
  <c r="K169" i="11"/>
  <c r="L169" i="11"/>
  <c r="B170" i="11"/>
  <c r="C170" i="11"/>
  <c r="I170" i="11" s="1"/>
  <c r="D170" i="11"/>
  <c r="E170" i="11"/>
  <c r="H170" i="11"/>
  <c r="K170" i="11"/>
  <c r="L170" i="11"/>
  <c r="B171" i="11"/>
  <c r="C171" i="11"/>
  <c r="I171" i="11" s="1"/>
  <c r="D171" i="11"/>
  <c r="E171" i="11"/>
  <c r="H171" i="11"/>
  <c r="K171" i="11"/>
  <c r="L171" i="11"/>
  <c r="B172" i="11"/>
  <c r="C172" i="11"/>
  <c r="I172" i="11" s="1"/>
  <c r="D172" i="11"/>
  <c r="E172" i="11"/>
  <c r="H172" i="11"/>
  <c r="K172" i="11"/>
  <c r="L172" i="11"/>
  <c r="B173" i="11"/>
  <c r="C173" i="11"/>
  <c r="D173" i="11"/>
  <c r="E173" i="11"/>
  <c r="H173" i="11"/>
  <c r="K173" i="11"/>
  <c r="L173" i="11"/>
  <c r="B174" i="11"/>
  <c r="C174" i="11"/>
  <c r="I174" i="11" s="1"/>
  <c r="D174" i="11"/>
  <c r="E174" i="11"/>
  <c r="H174" i="11"/>
  <c r="K174" i="11"/>
  <c r="L174" i="11"/>
  <c r="B175" i="11"/>
  <c r="C175" i="11"/>
  <c r="I175" i="11" s="1"/>
  <c r="D175" i="11"/>
  <c r="E175" i="11"/>
  <c r="H175" i="11"/>
  <c r="K175" i="11"/>
  <c r="L175" i="11"/>
  <c r="B176" i="11"/>
  <c r="C176" i="11"/>
  <c r="I176" i="11" s="1"/>
  <c r="D176" i="11"/>
  <c r="E176" i="11"/>
  <c r="H176" i="11"/>
  <c r="K176" i="11"/>
  <c r="L176" i="11"/>
  <c r="B177" i="11"/>
  <c r="C177" i="11"/>
  <c r="I177" i="11" s="1"/>
  <c r="D177" i="11"/>
  <c r="E177" i="11"/>
  <c r="H177" i="11"/>
  <c r="K177" i="11"/>
  <c r="L177" i="11"/>
  <c r="B178" i="11"/>
  <c r="C178" i="11"/>
  <c r="I178" i="11" s="1"/>
  <c r="D178" i="11"/>
  <c r="E178" i="11"/>
  <c r="H178" i="11"/>
  <c r="K178" i="11"/>
  <c r="L178" i="11"/>
  <c r="B179" i="11"/>
  <c r="C179" i="11"/>
  <c r="I179" i="11" s="1"/>
  <c r="D179" i="11"/>
  <c r="E179" i="11"/>
  <c r="H179" i="11"/>
  <c r="K179" i="11"/>
  <c r="L179" i="11"/>
  <c r="B180" i="11"/>
  <c r="C180" i="11"/>
  <c r="I180" i="11" s="1"/>
  <c r="D180" i="11"/>
  <c r="E180" i="11"/>
  <c r="H180" i="11"/>
  <c r="K180" i="11"/>
  <c r="L180" i="11"/>
  <c r="B181" i="11"/>
  <c r="C181" i="11"/>
  <c r="I181" i="11" s="1"/>
  <c r="D181" i="11"/>
  <c r="E181" i="11"/>
  <c r="H181" i="11"/>
  <c r="K181" i="11"/>
  <c r="L181" i="11"/>
  <c r="B182" i="11"/>
  <c r="C182" i="11"/>
  <c r="D182" i="11"/>
  <c r="E182" i="11"/>
  <c r="H182" i="11"/>
  <c r="K182" i="11"/>
  <c r="L182" i="11"/>
  <c r="B183" i="11"/>
  <c r="C183" i="11"/>
  <c r="D183" i="11"/>
  <c r="E183" i="11"/>
  <c r="H183" i="11"/>
  <c r="K183" i="11"/>
  <c r="L183" i="11"/>
  <c r="B184" i="11"/>
  <c r="C184" i="11"/>
  <c r="D184" i="11"/>
  <c r="E184" i="11"/>
  <c r="H184" i="11"/>
  <c r="K184" i="11"/>
  <c r="L184" i="11"/>
  <c r="B185" i="11"/>
  <c r="C185" i="11"/>
  <c r="D185" i="11"/>
  <c r="E185" i="11"/>
  <c r="H185" i="11"/>
  <c r="K185" i="11"/>
  <c r="L185" i="11"/>
  <c r="B186" i="11"/>
  <c r="C186" i="11"/>
  <c r="D186" i="11"/>
  <c r="E186" i="11"/>
  <c r="H186" i="11"/>
  <c r="K186" i="11"/>
  <c r="L186" i="11"/>
  <c r="B187" i="11"/>
  <c r="C187" i="11"/>
  <c r="D187" i="11"/>
  <c r="E187" i="11"/>
  <c r="H187" i="11"/>
  <c r="K187" i="11"/>
  <c r="L187" i="11"/>
  <c r="B188" i="11"/>
  <c r="C188" i="11"/>
  <c r="D188" i="11"/>
  <c r="E188" i="11"/>
  <c r="H188" i="11"/>
  <c r="K188" i="11"/>
  <c r="L188" i="11"/>
  <c r="B189" i="11"/>
  <c r="C189" i="11"/>
  <c r="I189" i="11" s="1"/>
  <c r="D189" i="11"/>
  <c r="E189" i="11"/>
  <c r="H189" i="11"/>
  <c r="K189" i="11"/>
  <c r="L189" i="11"/>
  <c r="B190" i="11"/>
  <c r="C190" i="11"/>
  <c r="I190" i="11" s="1"/>
  <c r="D190" i="11"/>
  <c r="E190" i="11"/>
  <c r="H190" i="11"/>
  <c r="K190" i="11"/>
  <c r="L190" i="11"/>
  <c r="B191" i="11"/>
  <c r="C191" i="11"/>
  <c r="I191" i="11" s="1"/>
  <c r="D191" i="11"/>
  <c r="E191" i="11"/>
  <c r="H191" i="11"/>
  <c r="K191" i="11"/>
  <c r="L191" i="11"/>
  <c r="B192" i="11"/>
  <c r="C192" i="11"/>
  <c r="I192" i="11" s="1"/>
  <c r="D192" i="11"/>
  <c r="E192" i="11"/>
  <c r="H192" i="11"/>
  <c r="K192" i="11"/>
  <c r="L192" i="11"/>
  <c r="B193" i="11"/>
  <c r="C193" i="11"/>
  <c r="I193" i="11" s="1"/>
  <c r="D193" i="11"/>
  <c r="E193" i="11"/>
  <c r="H193" i="11"/>
  <c r="K193" i="11"/>
  <c r="L193" i="11"/>
  <c r="B194" i="11"/>
  <c r="C194" i="11"/>
  <c r="I194" i="11" s="1"/>
  <c r="D194" i="11"/>
  <c r="E194" i="11"/>
  <c r="H194" i="11"/>
  <c r="K194" i="11"/>
  <c r="L194" i="11"/>
  <c r="B195" i="11"/>
  <c r="C195" i="11"/>
  <c r="D195" i="11"/>
  <c r="E195" i="11"/>
  <c r="H195" i="11"/>
  <c r="K195" i="11"/>
  <c r="L195" i="11"/>
  <c r="B196" i="11"/>
  <c r="C196" i="11"/>
  <c r="I196" i="11" s="1"/>
  <c r="D196" i="11"/>
  <c r="E196" i="11"/>
  <c r="H196" i="11"/>
  <c r="K196" i="11"/>
  <c r="L196" i="11"/>
  <c r="B197" i="11"/>
  <c r="C197" i="11"/>
  <c r="I197" i="11" s="1"/>
  <c r="D197" i="11"/>
  <c r="E197" i="11"/>
  <c r="H197" i="11"/>
  <c r="K197" i="11"/>
  <c r="L197" i="11"/>
  <c r="B198" i="11"/>
  <c r="C198" i="11"/>
  <c r="I198" i="11" s="1"/>
  <c r="D198" i="11"/>
  <c r="E198" i="11"/>
  <c r="H198" i="11"/>
  <c r="K198" i="11"/>
  <c r="L198" i="11"/>
  <c r="B199" i="11"/>
  <c r="C199" i="11"/>
  <c r="I199" i="11" s="1"/>
  <c r="D199" i="11"/>
  <c r="E199" i="11"/>
  <c r="H199" i="11"/>
  <c r="K199" i="11"/>
  <c r="L199" i="11"/>
  <c r="B200" i="11"/>
  <c r="C200" i="11"/>
  <c r="I200" i="11" s="1"/>
  <c r="D200" i="11"/>
  <c r="E200" i="11"/>
  <c r="H200" i="11"/>
  <c r="K200" i="11"/>
  <c r="L200" i="11"/>
  <c r="B201" i="11"/>
  <c r="C201" i="11"/>
  <c r="D201" i="11"/>
  <c r="E201" i="11"/>
  <c r="H201" i="11"/>
  <c r="K201" i="11"/>
  <c r="L201" i="11"/>
  <c r="B202" i="11"/>
  <c r="C202" i="11"/>
  <c r="D202" i="11"/>
  <c r="E202" i="11"/>
  <c r="H202" i="11"/>
  <c r="K202" i="11"/>
  <c r="L202" i="11"/>
  <c r="B203" i="11"/>
  <c r="C203" i="11"/>
  <c r="D203" i="11"/>
  <c r="E203" i="11"/>
  <c r="H203" i="11"/>
  <c r="K203" i="11"/>
  <c r="L203" i="11"/>
  <c r="B204" i="11"/>
  <c r="C204" i="11"/>
  <c r="I204" i="11" s="1"/>
  <c r="D204" i="11"/>
  <c r="E204" i="11"/>
  <c r="H204" i="11"/>
  <c r="K204" i="11"/>
  <c r="L204" i="11"/>
  <c r="B205" i="11"/>
  <c r="C205" i="11"/>
  <c r="I205" i="11" s="1"/>
  <c r="D205" i="11"/>
  <c r="E205" i="11"/>
  <c r="H205" i="11"/>
  <c r="K205" i="11"/>
  <c r="L205" i="11"/>
  <c r="B206" i="11"/>
  <c r="C206" i="11"/>
  <c r="I206" i="11" s="1"/>
  <c r="D206" i="11"/>
  <c r="E206" i="11"/>
  <c r="H206" i="11"/>
  <c r="K206" i="11"/>
  <c r="L206" i="11"/>
  <c r="B207" i="11"/>
  <c r="C207" i="11"/>
  <c r="I207" i="11" s="1"/>
  <c r="D207" i="11"/>
  <c r="E207" i="11"/>
  <c r="H207" i="11"/>
  <c r="K207" i="11"/>
  <c r="L207" i="11"/>
  <c r="B208" i="11"/>
  <c r="C208" i="11"/>
  <c r="D208" i="11"/>
  <c r="E208" i="11"/>
  <c r="H208" i="11"/>
  <c r="K208" i="11"/>
  <c r="L208" i="11"/>
  <c r="B209" i="11"/>
  <c r="C209" i="11"/>
  <c r="D209" i="11"/>
  <c r="E209" i="11"/>
  <c r="H209" i="11"/>
  <c r="K209" i="11"/>
  <c r="L209" i="11"/>
  <c r="B210" i="11"/>
  <c r="C210" i="11"/>
  <c r="D210" i="11"/>
  <c r="E210" i="11"/>
  <c r="H210" i="11"/>
  <c r="K210" i="11"/>
  <c r="L210" i="11"/>
  <c r="B211" i="11"/>
  <c r="C211" i="11"/>
  <c r="D211" i="11"/>
  <c r="E211" i="11"/>
  <c r="H211" i="11"/>
  <c r="K211" i="11"/>
  <c r="L211" i="11"/>
  <c r="B212" i="11"/>
  <c r="C212" i="11"/>
  <c r="D212" i="11"/>
  <c r="E212" i="11"/>
  <c r="H212" i="11"/>
  <c r="K212" i="11"/>
  <c r="L212" i="11"/>
  <c r="B213" i="11"/>
  <c r="C213" i="11"/>
  <c r="I213" i="11" s="1"/>
  <c r="D213" i="11"/>
  <c r="E213" i="11"/>
  <c r="H213" i="11"/>
  <c r="K213" i="11"/>
  <c r="L213" i="11"/>
  <c r="B214" i="11"/>
  <c r="C214" i="11"/>
  <c r="I214" i="11" s="1"/>
  <c r="D214" i="11"/>
  <c r="E214" i="11"/>
  <c r="H214" i="11"/>
  <c r="K214" i="11"/>
  <c r="L214" i="11"/>
  <c r="B215" i="11"/>
  <c r="C215" i="11"/>
  <c r="I215" i="11" s="1"/>
  <c r="D215" i="11"/>
  <c r="E215" i="11"/>
  <c r="H215" i="11"/>
  <c r="K215" i="11"/>
  <c r="L215" i="11"/>
  <c r="B216" i="11"/>
  <c r="C216" i="11"/>
  <c r="I216" i="11" s="1"/>
  <c r="D216" i="11"/>
  <c r="E216" i="11"/>
  <c r="H216" i="11"/>
  <c r="K216" i="11"/>
  <c r="L216" i="11"/>
  <c r="B217" i="11"/>
  <c r="C217" i="11"/>
  <c r="I217" i="11" s="1"/>
  <c r="D217" i="11"/>
  <c r="E217" i="11"/>
  <c r="H217" i="11"/>
  <c r="K217" i="11"/>
  <c r="L217" i="11"/>
  <c r="B218" i="11"/>
  <c r="C218" i="11"/>
  <c r="D218" i="11"/>
  <c r="E218" i="11"/>
  <c r="H218" i="11"/>
  <c r="K218" i="11"/>
  <c r="L218" i="11"/>
  <c r="B219" i="11"/>
  <c r="C219" i="11"/>
  <c r="I219" i="11" s="1"/>
  <c r="D219" i="11"/>
  <c r="E219" i="11"/>
  <c r="H219" i="11"/>
  <c r="K219" i="11"/>
  <c r="L219" i="11"/>
  <c r="B220" i="11"/>
  <c r="C220" i="11"/>
  <c r="I220" i="11" s="1"/>
  <c r="D220" i="11"/>
  <c r="E220" i="11"/>
  <c r="H220" i="11"/>
  <c r="K220" i="11"/>
  <c r="L220" i="11"/>
  <c r="B221" i="11"/>
  <c r="C221" i="11"/>
  <c r="I221" i="11" s="1"/>
  <c r="D221" i="11"/>
  <c r="E221" i="11"/>
  <c r="H221" i="11"/>
  <c r="K221" i="11"/>
  <c r="L221" i="11"/>
  <c r="B222" i="11"/>
  <c r="C222" i="11"/>
  <c r="D222" i="11"/>
  <c r="E222" i="11"/>
  <c r="H222" i="11"/>
  <c r="K222" i="11"/>
  <c r="L222" i="11"/>
  <c r="B223" i="11"/>
  <c r="C223" i="11"/>
  <c r="D223" i="11"/>
  <c r="E223" i="11"/>
  <c r="H223" i="11"/>
  <c r="K223" i="11"/>
  <c r="L223" i="11"/>
  <c r="B224" i="11"/>
  <c r="C224" i="11"/>
  <c r="I224" i="11" s="1"/>
  <c r="D224" i="11"/>
  <c r="E224" i="11"/>
  <c r="H224" i="11"/>
  <c r="K224" i="11"/>
  <c r="L224" i="11"/>
  <c r="B225" i="11"/>
  <c r="C225" i="11"/>
  <c r="D225" i="11"/>
  <c r="E225" i="11"/>
  <c r="H225" i="11"/>
  <c r="K225" i="11"/>
  <c r="L225" i="11"/>
  <c r="B226" i="11"/>
  <c r="C226" i="11"/>
  <c r="D226" i="11"/>
  <c r="E226" i="11"/>
  <c r="H226" i="11"/>
  <c r="K226" i="11"/>
  <c r="L226" i="11"/>
  <c r="B227" i="11"/>
  <c r="C227" i="11"/>
  <c r="D227" i="11"/>
  <c r="E227" i="11"/>
  <c r="H227" i="11"/>
  <c r="K227" i="11"/>
  <c r="L227" i="11"/>
  <c r="B228" i="11"/>
  <c r="C228" i="11"/>
  <c r="D228" i="11"/>
  <c r="E228" i="11"/>
  <c r="H228" i="11"/>
  <c r="K228" i="11"/>
  <c r="L228" i="11"/>
  <c r="B229" i="11"/>
  <c r="C229" i="11"/>
  <c r="D229" i="11"/>
  <c r="E229" i="11"/>
  <c r="H229" i="11"/>
  <c r="K229" i="11"/>
  <c r="L229" i="11"/>
  <c r="B230" i="11"/>
  <c r="C230" i="11"/>
  <c r="D230" i="11"/>
  <c r="E230" i="11"/>
  <c r="H230" i="11"/>
  <c r="K230" i="11"/>
  <c r="L230" i="11"/>
  <c r="B231" i="11"/>
  <c r="C231" i="11"/>
  <c r="D231" i="11"/>
  <c r="E231" i="11"/>
  <c r="H231" i="11"/>
  <c r="K231" i="11"/>
  <c r="L231" i="11"/>
  <c r="B232" i="11"/>
  <c r="C232" i="11"/>
  <c r="I232" i="11" s="1"/>
  <c r="D232" i="11"/>
  <c r="E232" i="11"/>
  <c r="H232" i="11"/>
  <c r="K232" i="11"/>
  <c r="L232" i="11"/>
  <c r="B233" i="11"/>
  <c r="C233" i="11"/>
  <c r="D233" i="11"/>
  <c r="E233" i="11"/>
  <c r="H233" i="11"/>
  <c r="K233" i="11"/>
  <c r="L233" i="11"/>
  <c r="B234" i="11"/>
  <c r="C234" i="11"/>
  <c r="I234" i="11" s="1"/>
  <c r="D234" i="11"/>
  <c r="E234" i="11"/>
  <c r="H234" i="11"/>
  <c r="K234" i="11"/>
  <c r="L234" i="11"/>
  <c r="B235" i="11"/>
  <c r="C235" i="11"/>
  <c r="I235" i="11" s="1"/>
  <c r="D235" i="11"/>
  <c r="E235" i="11"/>
  <c r="H235" i="11"/>
  <c r="K235" i="11"/>
  <c r="L235" i="11"/>
  <c r="B236" i="11"/>
  <c r="C236" i="11"/>
  <c r="I236" i="11" s="1"/>
  <c r="D236" i="11"/>
  <c r="E236" i="11"/>
  <c r="H236" i="11"/>
  <c r="K236" i="11"/>
  <c r="L236" i="11"/>
  <c r="B237" i="11"/>
  <c r="C237" i="11"/>
  <c r="I237" i="11" s="1"/>
  <c r="D237" i="11"/>
  <c r="E237" i="11"/>
  <c r="H237" i="11"/>
  <c r="K237" i="11"/>
  <c r="L237" i="11"/>
  <c r="B238" i="11"/>
  <c r="C238" i="11"/>
  <c r="I238" i="11" s="1"/>
  <c r="D238" i="11"/>
  <c r="E238" i="11"/>
  <c r="H238" i="11"/>
  <c r="K238" i="11"/>
  <c r="L238" i="11"/>
  <c r="B239" i="11"/>
  <c r="C239" i="11"/>
  <c r="I239" i="11" s="1"/>
  <c r="D239" i="11"/>
  <c r="E239" i="11"/>
  <c r="H239" i="11"/>
  <c r="K239" i="11"/>
  <c r="L239" i="11"/>
  <c r="B240" i="11"/>
  <c r="C240" i="11"/>
  <c r="I240" i="11" s="1"/>
  <c r="D240" i="11"/>
  <c r="E240" i="11"/>
  <c r="H240" i="11"/>
  <c r="K240" i="11"/>
  <c r="L240" i="11"/>
  <c r="B241" i="11"/>
  <c r="C241" i="11"/>
  <c r="I241" i="11" s="1"/>
  <c r="D241" i="11"/>
  <c r="E241" i="11"/>
  <c r="H241" i="11"/>
  <c r="K241" i="11"/>
  <c r="L241" i="11"/>
  <c r="B242" i="11"/>
  <c r="C242" i="11"/>
  <c r="I242" i="11" s="1"/>
  <c r="D242" i="11"/>
  <c r="E242" i="11"/>
  <c r="H242" i="11"/>
  <c r="K242" i="11"/>
  <c r="L242" i="11"/>
  <c r="B243" i="11"/>
  <c r="C243" i="11"/>
  <c r="I243" i="11" s="1"/>
  <c r="D243" i="11"/>
  <c r="E243" i="11"/>
  <c r="H243" i="11"/>
  <c r="K243" i="11"/>
  <c r="L243" i="11"/>
  <c r="B244" i="11"/>
  <c r="C244" i="11"/>
  <c r="I244" i="11" s="1"/>
  <c r="D244" i="11"/>
  <c r="E244" i="11"/>
  <c r="H244" i="11"/>
  <c r="K244" i="11"/>
  <c r="L244" i="11"/>
  <c r="B245" i="11"/>
  <c r="C245" i="11"/>
  <c r="I245" i="11" s="1"/>
  <c r="D245" i="11"/>
  <c r="E245" i="11"/>
  <c r="H245" i="11"/>
  <c r="K245" i="11"/>
  <c r="L245" i="11"/>
  <c r="B246" i="11"/>
  <c r="C246" i="11"/>
  <c r="I246" i="11" s="1"/>
  <c r="D246" i="11"/>
  <c r="E246" i="11"/>
  <c r="H246" i="11"/>
  <c r="K246" i="11"/>
  <c r="L246" i="11"/>
  <c r="B247" i="11"/>
  <c r="C247" i="11"/>
  <c r="I247" i="11" s="1"/>
  <c r="D247" i="11"/>
  <c r="E247" i="11"/>
  <c r="H247" i="11"/>
  <c r="K247" i="11"/>
  <c r="L247" i="11"/>
  <c r="B248" i="11"/>
  <c r="C248" i="11"/>
  <c r="I248" i="11" s="1"/>
  <c r="D248" i="11"/>
  <c r="E248" i="11"/>
  <c r="H248" i="11"/>
  <c r="K248" i="11"/>
  <c r="L248" i="11"/>
  <c r="B249" i="11"/>
  <c r="C249" i="11"/>
  <c r="I249" i="11" s="1"/>
  <c r="D249" i="11"/>
  <c r="E249" i="11"/>
  <c r="H249" i="11"/>
  <c r="K249" i="11"/>
  <c r="L249" i="11"/>
  <c r="B250" i="11"/>
  <c r="C250" i="11"/>
  <c r="I250" i="11" s="1"/>
  <c r="D250" i="11"/>
  <c r="E250" i="11"/>
  <c r="H250" i="11"/>
  <c r="K250" i="11"/>
  <c r="L250" i="11"/>
  <c r="B251" i="11"/>
  <c r="C251" i="11"/>
  <c r="I251" i="11" s="1"/>
  <c r="D251" i="11"/>
  <c r="E251" i="11"/>
  <c r="H251" i="11"/>
  <c r="K251" i="11"/>
  <c r="L251" i="11"/>
  <c r="B252" i="11"/>
  <c r="C252" i="11"/>
  <c r="I252" i="11" s="1"/>
  <c r="D252" i="11"/>
  <c r="E252" i="11"/>
  <c r="H252" i="11"/>
  <c r="K252" i="11"/>
  <c r="L252" i="11"/>
  <c r="B253" i="11"/>
  <c r="C253" i="11"/>
  <c r="D253" i="11"/>
  <c r="E253" i="11"/>
  <c r="H253" i="11"/>
  <c r="K253" i="11"/>
  <c r="L253" i="11"/>
  <c r="B254" i="11"/>
  <c r="C254" i="11"/>
  <c r="I254" i="11" s="1"/>
  <c r="D254" i="11"/>
  <c r="E254" i="11"/>
  <c r="H254" i="11"/>
  <c r="K254" i="11"/>
  <c r="L254" i="11"/>
  <c r="B255" i="11"/>
  <c r="C255" i="11"/>
  <c r="I255" i="11" s="1"/>
  <c r="D255" i="11"/>
  <c r="E255" i="11"/>
  <c r="H255" i="11"/>
  <c r="K255" i="11"/>
  <c r="L255" i="11"/>
  <c r="B256" i="11"/>
  <c r="C256" i="11"/>
  <c r="I256" i="11" s="1"/>
  <c r="D256" i="11"/>
  <c r="E256" i="11"/>
  <c r="H256" i="11"/>
  <c r="K256" i="11"/>
  <c r="L256" i="11"/>
  <c r="B257" i="11"/>
  <c r="C257" i="11"/>
  <c r="D257" i="11"/>
  <c r="E257" i="11"/>
  <c r="H257" i="11"/>
  <c r="K257" i="11"/>
  <c r="L257" i="11"/>
  <c r="B258" i="11"/>
  <c r="C258" i="11"/>
  <c r="I258" i="11" s="1"/>
  <c r="D258" i="11"/>
  <c r="E258" i="11"/>
  <c r="H258" i="11"/>
  <c r="K258" i="11"/>
  <c r="L258" i="11"/>
  <c r="B259" i="11"/>
  <c r="C259" i="11"/>
  <c r="I259" i="11" s="1"/>
  <c r="D259" i="11"/>
  <c r="E259" i="11"/>
  <c r="H259" i="11"/>
  <c r="K259" i="11"/>
  <c r="L259" i="11"/>
  <c r="B260" i="11"/>
  <c r="C260" i="11"/>
  <c r="I260" i="11" s="1"/>
  <c r="D260" i="11"/>
  <c r="E260" i="11"/>
  <c r="H260" i="11"/>
  <c r="K260" i="11"/>
  <c r="L260" i="11"/>
  <c r="B261" i="11"/>
  <c r="C261" i="11"/>
  <c r="I261" i="11" s="1"/>
  <c r="D261" i="11"/>
  <c r="E261" i="11"/>
  <c r="H261" i="11"/>
  <c r="K261" i="11"/>
  <c r="L261" i="11"/>
  <c r="B262" i="11"/>
  <c r="C262" i="11"/>
  <c r="I262" i="11" s="1"/>
  <c r="D262" i="11"/>
  <c r="E262" i="11"/>
  <c r="H262" i="11"/>
  <c r="K262" i="11"/>
  <c r="L262" i="11"/>
  <c r="B263" i="11"/>
  <c r="C263" i="11"/>
  <c r="I263" i="11" s="1"/>
  <c r="D263" i="11"/>
  <c r="E263" i="11"/>
  <c r="H263" i="11"/>
  <c r="K263" i="11"/>
  <c r="L263" i="11"/>
  <c r="B264" i="11"/>
  <c r="C264" i="11"/>
  <c r="I264" i="11" s="1"/>
  <c r="D264" i="11"/>
  <c r="E264" i="11"/>
  <c r="H264" i="11"/>
  <c r="K264" i="11"/>
  <c r="L264" i="11"/>
  <c r="B265" i="11"/>
  <c r="C265" i="11"/>
  <c r="I265" i="11" s="1"/>
  <c r="D265" i="11"/>
  <c r="E265" i="11"/>
  <c r="H265" i="11"/>
  <c r="K265" i="11"/>
  <c r="L265" i="11"/>
  <c r="B266" i="11"/>
  <c r="C266" i="11"/>
  <c r="I266" i="11" s="1"/>
  <c r="D266" i="11"/>
  <c r="E266" i="11"/>
  <c r="H266" i="11"/>
  <c r="K266" i="11"/>
  <c r="L266" i="11"/>
  <c r="B267" i="11"/>
  <c r="C267" i="11"/>
  <c r="I267" i="11" s="1"/>
  <c r="D267" i="11"/>
  <c r="E267" i="11"/>
  <c r="H267" i="11"/>
  <c r="K267" i="11"/>
  <c r="L267" i="11"/>
  <c r="B268" i="11"/>
  <c r="C268" i="11"/>
  <c r="I268" i="11" s="1"/>
  <c r="D268" i="11"/>
  <c r="E268" i="11"/>
  <c r="H268" i="11"/>
  <c r="K268" i="11"/>
  <c r="L268" i="11"/>
  <c r="B269" i="11"/>
  <c r="C269" i="11"/>
  <c r="I269" i="11" s="1"/>
  <c r="D269" i="11"/>
  <c r="E269" i="11"/>
  <c r="H269" i="11"/>
  <c r="K269" i="11"/>
  <c r="L269" i="11"/>
  <c r="B270" i="11"/>
  <c r="C270" i="11"/>
  <c r="I270" i="11" s="1"/>
  <c r="D270" i="11"/>
  <c r="E270" i="11"/>
  <c r="H270" i="11"/>
  <c r="K270" i="11"/>
  <c r="L270" i="11"/>
  <c r="B271" i="11"/>
  <c r="C271" i="11"/>
  <c r="I271" i="11" s="1"/>
  <c r="D271" i="11"/>
  <c r="E271" i="11"/>
  <c r="H271" i="11"/>
  <c r="K271" i="11"/>
  <c r="L271" i="11"/>
  <c r="B272" i="11"/>
  <c r="C272" i="11"/>
  <c r="D272" i="11"/>
  <c r="E272" i="11"/>
  <c r="H272" i="11"/>
  <c r="K272" i="11"/>
  <c r="L272" i="11"/>
  <c r="B273" i="11"/>
  <c r="C273" i="11"/>
  <c r="I273" i="11" s="1"/>
  <c r="D273" i="11"/>
  <c r="E273" i="11"/>
  <c r="H273" i="11"/>
  <c r="K273" i="11"/>
  <c r="L273" i="11"/>
  <c r="B274" i="11"/>
  <c r="C274" i="11"/>
  <c r="I274" i="11" s="1"/>
  <c r="D274" i="11"/>
  <c r="E274" i="11"/>
  <c r="H274" i="11"/>
  <c r="K274" i="11"/>
  <c r="L274" i="11"/>
  <c r="B275" i="11"/>
  <c r="C275" i="11"/>
  <c r="I275" i="11" s="1"/>
  <c r="D275" i="11"/>
  <c r="E275" i="11"/>
  <c r="H275" i="11"/>
  <c r="K275" i="11"/>
  <c r="L275" i="11"/>
  <c r="B276" i="11"/>
  <c r="C276" i="11"/>
  <c r="D276" i="11"/>
  <c r="E276" i="11"/>
  <c r="H276" i="11"/>
  <c r="K276" i="11"/>
  <c r="L276" i="11"/>
  <c r="B277" i="11"/>
  <c r="C277" i="11"/>
  <c r="I277" i="11" s="1"/>
  <c r="D277" i="11"/>
  <c r="E277" i="11"/>
  <c r="H277" i="11"/>
  <c r="K277" i="11"/>
  <c r="L277" i="11"/>
  <c r="B278" i="11"/>
  <c r="C278" i="11"/>
  <c r="D278" i="11"/>
  <c r="E278" i="11"/>
  <c r="H278" i="11"/>
  <c r="K278" i="11"/>
  <c r="L278" i="11"/>
  <c r="B279" i="11"/>
  <c r="C279" i="11"/>
  <c r="I279" i="11" s="1"/>
  <c r="D279" i="11"/>
  <c r="E279" i="11"/>
  <c r="H279" i="11"/>
  <c r="K279" i="11"/>
  <c r="L279" i="11"/>
  <c r="B280" i="11"/>
  <c r="C280" i="11"/>
  <c r="I280" i="11" s="1"/>
  <c r="D280" i="11"/>
  <c r="E280" i="11"/>
  <c r="H280" i="11"/>
  <c r="K280" i="11"/>
  <c r="L280" i="11"/>
  <c r="B281" i="11"/>
  <c r="C281" i="11"/>
  <c r="D281" i="11"/>
  <c r="E281" i="11"/>
  <c r="H281" i="11"/>
  <c r="K281" i="11"/>
  <c r="L281" i="11"/>
  <c r="B282" i="11"/>
  <c r="C282" i="11"/>
  <c r="I282" i="11" s="1"/>
  <c r="D282" i="11"/>
  <c r="E282" i="11"/>
  <c r="H282" i="11"/>
  <c r="K282" i="11"/>
  <c r="L282" i="11"/>
  <c r="B283" i="11"/>
  <c r="C283" i="11"/>
  <c r="I283" i="11" s="1"/>
  <c r="D283" i="11"/>
  <c r="E283" i="11"/>
  <c r="H283" i="11"/>
  <c r="K283" i="11"/>
  <c r="L283" i="11"/>
  <c r="B284" i="11"/>
  <c r="C284" i="11"/>
  <c r="I284" i="11" s="1"/>
  <c r="D284" i="11"/>
  <c r="E284" i="11"/>
  <c r="H284" i="11"/>
  <c r="K284" i="11"/>
  <c r="L284" i="11"/>
  <c r="B285" i="11"/>
  <c r="C285" i="11"/>
  <c r="I285" i="11" s="1"/>
  <c r="D285" i="11"/>
  <c r="E285" i="11"/>
  <c r="H285" i="11"/>
  <c r="K285" i="11"/>
  <c r="L285" i="11"/>
  <c r="B286" i="11"/>
  <c r="C286" i="11"/>
  <c r="I286" i="11" s="1"/>
  <c r="D286" i="11"/>
  <c r="E286" i="11"/>
  <c r="H286" i="11"/>
  <c r="K286" i="11"/>
  <c r="L286" i="11"/>
  <c r="B287" i="11"/>
  <c r="C287" i="11"/>
  <c r="I287" i="11" s="1"/>
  <c r="D287" i="11"/>
  <c r="E287" i="11"/>
  <c r="H287" i="11"/>
  <c r="K287" i="11"/>
  <c r="L287" i="11"/>
  <c r="B288" i="11"/>
  <c r="C288" i="11"/>
  <c r="I288" i="11" s="1"/>
  <c r="D288" i="11"/>
  <c r="E288" i="11"/>
  <c r="H288" i="11"/>
  <c r="K288" i="11"/>
  <c r="L288" i="11"/>
  <c r="B289" i="11"/>
  <c r="C289" i="11"/>
  <c r="I289" i="11" s="1"/>
  <c r="D289" i="11"/>
  <c r="E289" i="11"/>
  <c r="H289" i="11"/>
  <c r="K289" i="11"/>
  <c r="L289" i="11"/>
  <c r="B290" i="11"/>
  <c r="C290" i="11"/>
  <c r="I290" i="11" s="1"/>
  <c r="D290" i="11"/>
  <c r="E290" i="11"/>
  <c r="H290" i="11"/>
  <c r="K290" i="11"/>
  <c r="L290" i="11"/>
  <c r="B291" i="11"/>
  <c r="C291" i="11"/>
  <c r="I291" i="11" s="1"/>
  <c r="D291" i="11"/>
  <c r="E291" i="11"/>
  <c r="H291" i="11"/>
  <c r="K291" i="11"/>
  <c r="L291" i="11"/>
  <c r="B292" i="11"/>
  <c r="C292" i="11"/>
  <c r="I292" i="11" s="1"/>
  <c r="D292" i="11"/>
  <c r="E292" i="11"/>
  <c r="H292" i="11"/>
  <c r="K292" i="11"/>
  <c r="L292" i="11"/>
  <c r="B293" i="11"/>
  <c r="C293" i="11"/>
  <c r="I293" i="11" s="1"/>
  <c r="D293" i="11"/>
  <c r="E293" i="11"/>
  <c r="H293" i="11"/>
  <c r="K293" i="11"/>
  <c r="L293" i="11"/>
  <c r="B294" i="11"/>
  <c r="C294" i="11"/>
  <c r="D294" i="11"/>
  <c r="E294" i="11"/>
  <c r="H294" i="11"/>
  <c r="K294" i="11"/>
  <c r="L294" i="11"/>
  <c r="B295" i="11"/>
  <c r="C295" i="11"/>
  <c r="I295" i="11" s="1"/>
  <c r="D295" i="11"/>
  <c r="E295" i="11"/>
  <c r="H295" i="11"/>
  <c r="K295" i="11"/>
  <c r="L295" i="11"/>
  <c r="B296" i="11"/>
  <c r="C296" i="11"/>
  <c r="I296" i="11" s="1"/>
  <c r="D296" i="11"/>
  <c r="E296" i="11"/>
  <c r="H296" i="11"/>
  <c r="K296" i="11"/>
  <c r="L296" i="11"/>
  <c r="B297" i="11"/>
  <c r="C297" i="11"/>
  <c r="I297" i="11" s="1"/>
  <c r="D297" i="11"/>
  <c r="E297" i="11"/>
  <c r="H297" i="11"/>
  <c r="K297" i="11"/>
  <c r="L297" i="11"/>
  <c r="B298" i="11"/>
  <c r="C298" i="11"/>
  <c r="D298" i="11"/>
  <c r="E298" i="11"/>
  <c r="H298" i="11"/>
  <c r="K298" i="11"/>
  <c r="L298" i="11"/>
  <c r="B299" i="11"/>
  <c r="C299" i="11"/>
  <c r="I299" i="11" s="1"/>
  <c r="D299" i="11"/>
  <c r="E299" i="11"/>
  <c r="H299" i="11"/>
  <c r="K299" i="11"/>
  <c r="L299" i="11"/>
  <c r="B300" i="11"/>
  <c r="C300" i="11"/>
  <c r="D300" i="11"/>
  <c r="E300" i="11"/>
  <c r="H300" i="11"/>
  <c r="K300" i="11"/>
  <c r="L300" i="11"/>
  <c r="B301" i="11"/>
  <c r="C301" i="11"/>
  <c r="I301" i="11" s="1"/>
  <c r="D301" i="11"/>
  <c r="E301" i="11"/>
  <c r="H301" i="11"/>
  <c r="K301" i="11"/>
  <c r="L301" i="11"/>
  <c r="B302" i="11"/>
  <c r="C302" i="11"/>
  <c r="I302" i="11" s="1"/>
  <c r="D302" i="11"/>
  <c r="E302" i="11"/>
  <c r="H302" i="11"/>
  <c r="K302" i="11"/>
  <c r="L302" i="11"/>
  <c r="B303" i="11"/>
  <c r="C303" i="11"/>
  <c r="D303" i="11"/>
  <c r="E303" i="11"/>
  <c r="H303" i="11"/>
  <c r="K303" i="11"/>
  <c r="L303" i="11"/>
  <c r="B304" i="11"/>
  <c r="C304" i="11"/>
  <c r="D304" i="11"/>
  <c r="E304" i="11"/>
  <c r="H304" i="11"/>
  <c r="K304" i="11"/>
  <c r="L304" i="11"/>
  <c r="B305" i="11"/>
  <c r="C305" i="11"/>
  <c r="D305" i="11"/>
  <c r="E305" i="11"/>
  <c r="H305" i="11"/>
  <c r="K305" i="11"/>
  <c r="L305" i="11"/>
  <c r="B306" i="11"/>
  <c r="C306" i="11"/>
  <c r="D306" i="11"/>
  <c r="E306" i="11"/>
  <c r="H306" i="11"/>
  <c r="K306" i="11"/>
  <c r="L306" i="11"/>
  <c r="B307" i="11"/>
  <c r="C307" i="11"/>
  <c r="D307" i="11"/>
  <c r="E307" i="11"/>
  <c r="H307" i="11"/>
  <c r="K307" i="11"/>
  <c r="L307" i="11"/>
  <c r="B308" i="11"/>
  <c r="C308" i="11"/>
  <c r="D308" i="11"/>
  <c r="E308" i="11"/>
  <c r="H308" i="11"/>
  <c r="K308" i="11"/>
  <c r="L308" i="11"/>
  <c r="B309" i="11"/>
  <c r="C309" i="11"/>
  <c r="D309" i="11"/>
  <c r="E309" i="11"/>
  <c r="H309" i="11"/>
  <c r="K309" i="11"/>
  <c r="L309" i="11"/>
  <c r="B310" i="11"/>
  <c r="C310" i="11"/>
  <c r="I310" i="11" s="1"/>
  <c r="D310" i="11"/>
  <c r="E310" i="11"/>
  <c r="H310" i="11"/>
  <c r="K310" i="11"/>
  <c r="L310" i="11"/>
  <c r="B311" i="11"/>
  <c r="C311" i="11"/>
  <c r="D311" i="11"/>
  <c r="E311" i="11"/>
  <c r="H311" i="11"/>
  <c r="K311" i="11"/>
  <c r="L311" i="11"/>
  <c r="B312" i="11"/>
  <c r="C312" i="11"/>
  <c r="D312" i="11"/>
  <c r="E312" i="11"/>
  <c r="H312" i="11"/>
  <c r="K312" i="11"/>
  <c r="L312" i="11"/>
  <c r="B313" i="11"/>
  <c r="C313" i="11"/>
  <c r="I313" i="11" s="1"/>
  <c r="D313" i="11"/>
  <c r="E313" i="11"/>
  <c r="H313" i="11"/>
  <c r="K313" i="11"/>
  <c r="L313" i="11"/>
  <c r="B314" i="11"/>
  <c r="C314" i="11"/>
  <c r="I314" i="11" s="1"/>
  <c r="D314" i="11"/>
  <c r="E314" i="11"/>
  <c r="H314" i="11"/>
  <c r="K314" i="11"/>
  <c r="L314" i="11"/>
  <c r="B315" i="11"/>
  <c r="C315" i="11"/>
  <c r="I315" i="11" s="1"/>
  <c r="D315" i="11"/>
  <c r="E315" i="11"/>
  <c r="H315" i="11"/>
  <c r="K315" i="11"/>
  <c r="L315" i="11"/>
  <c r="B316" i="11"/>
  <c r="C316" i="11"/>
  <c r="D316" i="11"/>
  <c r="E316" i="11"/>
  <c r="H316" i="11"/>
  <c r="K316" i="11"/>
  <c r="L316" i="11"/>
  <c r="B317" i="11"/>
  <c r="C317" i="11"/>
  <c r="D317" i="11"/>
  <c r="E317" i="11"/>
  <c r="H317" i="11"/>
  <c r="K317" i="11"/>
  <c r="L317" i="11"/>
  <c r="B318" i="11"/>
  <c r="C318" i="11"/>
  <c r="I318" i="11" s="1"/>
  <c r="D318" i="11"/>
  <c r="E318" i="11"/>
  <c r="H318" i="11"/>
  <c r="K318" i="11"/>
  <c r="L318" i="11"/>
  <c r="B319" i="11"/>
  <c r="C319" i="11"/>
  <c r="I319" i="11" s="1"/>
  <c r="D319" i="11"/>
  <c r="E319" i="11"/>
  <c r="H319" i="11"/>
  <c r="K319" i="11"/>
  <c r="L319" i="11"/>
  <c r="B320" i="11"/>
  <c r="C320" i="11"/>
  <c r="D320" i="11"/>
  <c r="E320" i="11"/>
  <c r="H320" i="11"/>
  <c r="K320" i="11"/>
  <c r="L320" i="11"/>
  <c r="B321" i="11"/>
  <c r="C321" i="11"/>
  <c r="I321" i="11" s="1"/>
  <c r="D321" i="11"/>
  <c r="E321" i="11"/>
  <c r="H321" i="11"/>
  <c r="K321" i="11"/>
  <c r="L321" i="11"/>
  <c r="B322" i="11"/>
  <c r="C322" i="11"/>
  <c r="I322" i="11" s="1"/>
  <c r="D322" i="11"/>
  <c r="E322" i="11"/>
  <c r="H322" i="11"/>
  <c r="K322" i="11"/>
  <c r="L322" i="11"/>
  <c r="B323" i="11"/>
  <c r="C323" i="11"/>
  <c r="I323" i="11" s="1"/>
  <c r="D323" i="11"/>
  <c r="E323" i="11"/>
  <c r="H323" i="11"/>
  <c r="K323" i="11"/>
  <c r="L323" i="11"/>
  <c r="B324" i="11"/>
  <c r="C324" i="11"/>
  <c r="I324" i="11" s="1"/>
  <c r="D324" i="11"/>
  <c r="E324" i="11"/>
  <c r="H324" i="11"/>
  <c r="K324" i="11"/>
  <c r="L324" i="11"/>
  <c r="B325" i="11"/>
  <c r="C325" i="11"/>
  <c r="D325" i="11"/>
  <c r="E325" i="11"/>
  <c r="H325" i="11"/>
  <c r="K325" i="11"/>
  <c r="L325" i="11"/>
  <c r="B326" i="11"/>
  <c r="C326" i="11"/>
  <c r="I326" i="11" s="1"/>
  <c r="D326" i="11"/>
  <c r="E326" i="11"/>
  <c r="H326" i="11"/>
  <c r="K326" i="11"/>
  <c r="L326" i="11"/>
  <c r="B327" i="11"/>
  <c r="C327" i="11"/>
  <c r="I327" i="11" s="1"/>
  <c r="D327" i="11"/>
  <c r="E327" i="11"/>
  <c r="H327" i="11"/>
  <c r="K327" i="11"/>
  <c r="L327" i="11"/>
  <c r="B328" i="11"/>
  <c r="C328" i="11"/>
  <c r="I328" i="11" s="1"/>
  <c r="D328" i="11"/>
  <c r="E328" i="11"/>
  <c r="H328" i="11"/>
  <c r="K328" i="11"/>
  <c r="L328" i="11"/>
  <c r="B329" i="11"/>
  <c r="C329" i="11"/>
  <c r="D329" i="11"/>
  <c r="E329" i="11"/>
  <c r="H329" i="11"/>
  <c r="K329" i="11"/>
  <c r="L329" i="11"/>
  <c r="B330" i="11"/>
  <c r="C330" i="11"/>
  <c r="D330" i="11"/>
  <c r="E330" i="11"/>
  <c r="H330" i="11"/>
  <c r="K330" i="11"/>
  <c r="L330" i="11"/>
  <c r="B331" i="11"/>
  <c r="C331" i="11"/>
  <c r="D331" i="11"/>
  <c r="E331" i="11"/>
  <c r="H331" i="11"/>
  <c r="K331" i="11"/>
  <c r="L331" i="11"/>
  <c r="B332" i="11"/>
  <c r="C332" i="11"/>
  <c r="D332" i="11"/>
  <c r="E332" i="11"/>
  <c r="H332" i="11"/>
  <c r="K332" i="11"/>
  <c r="L332" i="11"/>
  <c r="B333" i="11"/>
  <c r="C333" i="11"/>
  <c r="I333" i="11" s="1"/>
  <c r="D333" i="11"/>
  <c r="E333" i="11"/>
  <c r="H333" i="11"/>
  <c r="K333" i="11"/>
  <c r="L333" i="11"/>
  <c r="B334" i="11"/>
  <c r="C334" i="11"/>
  <c r="I334" i="11" s="1"/>
  <c r="D334" i="11"/>
  <c r="E334" i="11"/>
  <c r="H334" i="11"/>
  <c r="K334" i="11"/>
  <c r="L334" i="11"/>
  <c r="B335" i="11"/>
  <c r="C335" i="11"/>
  <c r="I335" i="11" s="1"/>
  <c r="D335" i="11"/>
  <c r="E335" i="11"/>
  <c r="H335" i="11"/>
  <c r="K335" i="11"/>
  <c r="L335" i="11"/>
  <c r="B336" i="11"/>
  <c r="C336" i="11"/>
  <c r="I336" i="11" s="1"/>
  <c r="D336" i="11"/>
  <c r="E336" i="11"/>
  <c r="H336" i="11"/>
  <c r="K336" i="11"/>
  <c r="L336" i="11"/>
  <c r="B337" i="11"/>
  <c r="C337" i="11"/>
  <c r="I337" i="11" s="1"/>
  <c r="D337" i="11"/>
  <c r="E337" i="11"/>
  <c r="H337" i="11"/>
  <c r="K337" i="11"/>
  <c r="L337" i="11"/>
  <c r="B338" i="11"/>
  <c r="C338" i="11"/>
  <c r="D338" i="11"/>
  <c r="E338" i="11"/>
  <c r="H338" i="11"/>
  <c r="K338" i="11"/>
  <c r="L338" i="11"/>
  <c r="B339" i="11"/>
  <c r="C339" i="11"/>
  <c r="I339" i="11" s="1"/>
  <c r="D339" i="11"/>
  <c r="E339" i="11"/>
  <c r="H339" i="11"/>
  <c r="K339" i="11"/>
  <c r="L339" i="11"/>
  <c r="B340" i="11"/>
  <c r="C340" i="11"/>
  <c r="I340" i="11" s="1"/>
  <c r="D340" i="11"/>
  <c r="E340" i="11"/>
  <c r="H340" i="11"/>
  <c r="K340" i="11"/>
  <c r="L340" i="11"/>
  <c r="B341" i="11"/>
  <c r="C341" i="11"/>
  <c r="I341" i="11" s="1"/>
  <c r="D341" i="11"/>
  <c r="E341" i="11"/>
  <c r="H341" i="11"/>
  <c r="K341" i="11"/>
  <c r="L341" i="11"/>
  <c r="B342" i="11"/>
  <c r="C342" i="11"/>
  <c r="D342" i="11"/>
  <c r="E342" i="11"/>
  <c r="H342" i="11"/>
  <c r="K342" i="11"/>
  <c r="L342" i="11"/>
  <c r="B343" i="11"/>
  <c r="C343" i="11"/>
  <c r="I343" i="11" s="1"/>
  <c r="D343" i="11"/>
  <c r="E343" i="11"/>
  <c r="H343" i="11"/>
  <c r="K343" i="11"/>
  <c r="L343" i="11"/>
  <c r="B344" i="11"/>
  <c r="C344" i="11"/>
  <c r="I344" i="11" s="1"/>
  <c r="D344" i="11"/>
  <c r="E344" i="11"/>
  <c r="J344" i="11" s="1"/>
  <c r="H344" i="11"/>
  <c r="K344" i="11"/>
  <c r="L344" i="11"/>
  <c r="B345" i="11"/>
  <c r="C345" i="11"/>
  <c r="D345" i="11"/>
  <c r="E345" i="11"/>
  <c r="H345" i="11"/>
  <c r="K345" i="11"/>
  <c r="L345" i="11"/>
  <c r="B346" i="11"/>
  <c r="C346" i="11"/>
  <c r="D346" i="11"/>
  <c r="E346" i="11"/>
  <c r="H346" i="11"/>
  <c r="K346" i="11"/>
  <c r="L346" i="11"/>
  <c r="B347" i="11"/>
  <c r="C347" i="11"/>
  <c r="I347" i="11" s="1"/>
  <c r="D347" i="11"/>
  <c r="E347" i="11"/>
  <c r="H347" i="11"/>
  <c r="K347" i="11"/>
  <c r="L347" i="11"/>
  <c r="B348" i="11"/>
  <c r="C348" i="11"/>
  <c r="I348" i="11" s="1"/>
  <c r="D348" i="11"/>
  <c r="E348" i="11"/>
  <c r="H348" i="11"/>
  <c r="K348" i="11"/>
  <c r="L348" i="11"/>
  <c r="B349" i="11"/>
  <c r="C349" i="11"/>
  <c r="I349" i="11" s="1"/>
  <c r="D349" i="11"/>
  <c r="E349" i="11"/>
  <c r="H349" i="11"/>
  <c r="K349" i="11"/>
  <c r="L349" i="11"/>
  <c r="B350" i="11"/>
  <c r="C350" i="11"/>
  <c r="I350" i="11" s="1"/>
  <c r="D350" i="11"/>
  <c r="E350" i="11"/>
  <c r="H350" i="11"/>
  <c r="K350" i="11"/>
  <c r="L350" i="11"/>
  <c r="B351" i="11"/>
  <c r="C351" i="11"/>
  <c r="I351" i="11" s="1"/>
  <c r="D351" i="11"/>
  <c r="E351" i="11"/>
  <c r="H351" i="11"/>
  <c r="K351" i="11"/>
  <c r="L351" i="11"/>
  <c r="B352" i="11"/>
  <c r="C352" i="11"/>
  <c r="I352" i="11" s="1"/>
  <c r="D352" i="11"/>
  <c r="E352" i="11"/>
  <c r="H352" i="11"/>
  <c r="K352" i="11"/>
  <c r="L352" i="11"/>
  <c r="B353" i="11"/>
  <c r="C353" i="11"/>
  <c r="I353" i="11" s="1"/>
  <c r="D353" i="11"/>
  <c r="E353" i="11"/>
  <c r="H353" i="11"/>
  <c r="K353" i="11"/>
  <c r="L353" i="11"/>
  <c r="B354" i="11"/>
  <c r="C354" i="11"/>
  <c r="D354" i="11"/>
  <c r="E354" i="11"/>
  <c r="H354" i="11"/>
  <c r="K354" i="11"/>
  <c r="L354" i="11"/>
  <c r="B355" i="11"/>
  <c r="C355" i="11"/>
  <c r="I355" i="11" s="1"/>
  <c r="D355" i="11"/>
  <c r="E355" i="11"/>
  <c r="H355" i="11"/>
  <c r="K355" i="11"/>
  <c r="L355" i="11"/>
  <c r="B356" i="11"/>
  <c r="C356" i="11"/>
  <c r="I356" i="11" s="1"/>
  <c r="D356" i="11"/>
  <c r="E356" i="11"/>
  <c r="H356" i="11"/>
  <c r="K356" i="11"/>
  <c r="L356" i="11"/>
  <c r="B357" i="11"/>
  <c r="C357" i="11"/>
  <c r="D357" i="11"/>
  <c r="E357" i="11"/>
  <c r="H357" i="11"/>
  <c r="K357" i="11"/>
  <c r="L357" i="11"/>
  <c r="B358" i="11"/>
  <c r="C358" i="11"/>
  <c r="D358" i="11"/>
  <c r="E358" i="11"/>
  <c r="H358" i="11"/>
  <c r="K358" i="11"/>
  <c r="L358" i="11"/>
  <c r="B359" i="11"/>
  <c r="C359" i="11"/>
  <c r="I359" i="11" s="1"/>
  <c r="D359" i="11"/>
  <c r="E359" i="11"/>
  <c r="H359" i="11"/>
  <c r="K359" i="11"/>
  <c r="L359" i="11"/>
  <c r="B360" i="11"/>
  <c r="C360" i="11"/>
  <c r="D360" i="11"/>
  <c r="E360" i="11"/>
  <c r="H360" i="11"/>
  <c r="K360" i="11"/>
  <c r="L360" i="11"/>
  <c r="B361" i="11"/>
  <c r="C361" i="11"/>
  <c r="I361" i="11" s="1"/>
  <c r="D361" i="11"/>
  <c r="E361" i="11"/>
  <c r="H361" i="11"/>
  <c r="K361" i="11"/>
  <c r="L361" i="11"/>
  <c r="B362" i="11"/>
  <c r="C362" i="11"/>
  <c r="I362" i="11" s="1"/>
  <c r="D362" i="11"/>
  <c r="E362" i="11"/>
  <c r="H362" i="11"/>
  <c r="K362" i="11"/>
  <c r="L362" i="11"/>
  <c r="B363" i="11"/>
  <c r="C363" i="11"/>
  <c r="I363" i="11" s="1"/>
  <c r="D363" i="11"/>
  <c r="E363" i="11"/>
  <c r="H363" i="11"/>
  <c r="K363" i="11"/>
  <c r="L363" i="11"/>
  <c r="B364" i="11"/>
  <c r="C364" i="11"/>
  <c r="D364" i="11"/>
  <c r="E364" i="11"/>
  <c r="H364" i="11"/>
  <c r="K364" i="11"/>
  <c r="L364" i="11"/>
  <c r="B365" i="11"/>
  <c r="C365" i="11"/>
  <c r="I365" i="11" s="1"/>
  <c r="D365" i="11"/>
  <c r="E365" i="11"/>
  <c r="H365" i="11"/>
  <c r="K365" i="11"/>
  <c r="L365" i="11"/>
  <c r="B366" i="11"/>
  <c r="C366" i="11"/>
  <c r="D366" i="11"/>
  <c r="E366" i="11"/>
  <c r="H366" i="11"/>
  <c r="K366" i="11"/>
  <c r="L366" i="11"/>
  <c r="B367" i="11"/>
  <c r="C367" i="11"/>
  <c r="I367" i="11" s="1"/>
  <c r="D367" i="11"/>
  <c r="E367" i="11"/>
  <c r="H367" i="11"/>
  <c r="K367" i="11"/>
  <c r="L367" i="11"/>
  <c r="B368" i="11"/>
  <c r="C368" i="11"/>
  <c r="I368" i="11" s="1"/>
  <c r="D368" i="11"/>
  <c r="E368" i="11"/>
  <c r="H368" i="11"/>
  <c r="K368" i="11"/>
  <c r="L368" i="11"/>
  <c r="B369" i="11"/>
  <c r="C369" i="11"/>
  <c r="I369" i="11" s="1"/>
  <c r="D369" i="11"/>
  <c r="E369" i="11"/>
  <c r="H369" i="11"/>
  <c r="K369" i="11"/>
  <c r="L369" i="11"/>
  <c r="B370" i="11"/>
  <c r="C370" i="11"/>
  <c r="I370" i="11" s="1"/>
  <c r="D370" i="11"/>
  <c r="E370" i="11"/>
  <c r="H370" i="11"/>
  <c r="K370" i="11"/>
  <c r="L370" i="11"/>
  <c r="B371" i="11"/>
  <c r="C371" i="11"/>
  <c r="I371" i="11" s="1"/>
  <c r="D371" i="11"/>
  <c r="E371" i="11"/>
  <c r="H371" i="11"/>
  <c r="K371" i="11"/>
  <c r="L371" i="11"/>
  <c r="B372" i="11"/>
  <c r="C372" i="11"/>
  <c r="I372" i="11" s="1"/>
  <c r="D372" i="11"/>
  <c r="E372" i="11"/>
  <c r="H372" i="11"/>
  <c r="K372" i="11"/>
  <c r="L372" i="11"/>
  <c r="B373" i="11"/>
  <c r="C373" i="11"/>
  <c r="I373" i="11" s="1"/>
  <c r="D373" i="11"/>
  <c r="E373" i="11"/>
  <c r="H373" i="11"/>
  <c r="K373" i="11"/>
  <c r="L373" i="11"/>
  <c r="B374" i="11"/>
  <c r="C374" i="11"/>
  <c r="I374" i="11" s="1"/>
  <c r="D374" i="11"/>
  <c r="E374" i="11"/>
  <c r="H374" i="11"/>
  <c r="K374" i="11"/>
  <c r="L374" i="11"/>
  <c r="B375" i="11"/>
  <c r="C375" i="11"/>
  <c r="I375" i="11" s="1"/>
  <c r="D375" i="11"/>
  <c r="E375" i="11"/>
  <c r="H375" i="11"/>
  <c r="K375" i="11"/>
  <c r="L375" i="11"/>
  <c r="B376" i="11"/>
  <c r="C376" i="11"/>
  <c r="I376" i="11" s="1"/>
  <c r="D376" i="11"/>
  <c r="E376" i="11"/>
  <c r="H376" i="11"/>
  <c r="K376" i="11"/>
  <c r="L376" i="11"/>
  <c r="B377" i="11"/>
  <c r="C377" i="11"/>
  <c r="I377" i="11" s="1"/>
  <c r="D377" i="11"/>
  <c r="E377" i="11"/>
  <c r="H377" i="11"/>
  <c r="K377" i="11"/>
  <c r="L377" i="11"/>
  <c r="B378" i="11"/>
  <c r="C378" i="11"/>
  <c r="I378" i="11" s="1"/>
  <c r="D378" i="11"/>
  <c r="E378" i="11"/>
  <c r="H378" i="11"/>
  <c r="K378" i="11"/>
  <c r="L378" i="11"/>
  <c r="B379" i="11"/>
  <c r="C379" i="11"/>
  <c r="D379" i="11"/>
  <c r="E379" i="11"/>
  <c r="H379" i="11"/>
  <c r="K379" i="11"/>
  <c r="L379" i="11"/>
  <c r="B380" i="11"/>
  <c r="C380" i="11"/>
  <c r="I380" i="11" s="1"/>
  <c r="D380" i="11"/>
  <c r="E380" i="11"/>
  <c r="H380" i="11"/>
  <c r="K380" i="11"/>
  <c r="L380" i="11"/>
  <c r="B381" i="11"/>
  <c r="C381" i="11"/>
  <c r="D381" i="11"/>
  <c r="E381" i="11"/>
  <c r="H381" i="11"/>
  <c r="K381" i="11"/>
  <c r="L381" i="11"/>
  <c r="B382" i="11"/>
  <c r="C382" i="11"/>
  <c r="I382" i="11" s="1"/>
  <c r="D382" i="11"/>
  <c r="E382" i="11"/>
  <c r="H382" i="11"/>
  <c r="K382" i="11"/>
  <c r="L382" i="11"/>
  <c r="B383" i="11"/>
  <c r="C383" i="11"/>
  <c r="D383" i="11"/>
  <c r="E383" i="11"/>
  <c r="H383" i="11"/>
  <c r="K383" i="11"/>
  <c r="L383" i="11"/>
  <c r="B384" i="11"/>
  <c r="C384" i="11"/>
  <c r="D384" i="11"/>
  <c r="E384" i="11"/>
  <c r="H384" i="11"/>
  <c r="K384" i="11"/>
  <c r="L384" i="11"/>
  <c r="B385" i="11"/>
  <c r="C385" i="11"/>
  <c r="I385" i="11" s="1"/>
  <c r="D385" i="11"/>
  <c r="E385" i="11"/>
  <c r="H385" i="11"/>
  <c r="K385" i="11"/>
  <c r="L385" i="11"/>
  <c r="B386" i="11"/>
  <c r="C386" i="11"/>
  <c r="I386" i="11" s="1"/>
  <c r="D386" i="11"/>
  <c r="E386" i="11"/>
  <c r="H386" i="11"/>
  <c r="K386" i="11"/>
  <c r="L386" i="11"/>
  <c r="B387" i="11"/>
  <c r="C387" i="11"/>
  <c r="I387" i="11" s="1"/>
  <c r="D387" i="11"/>
  <c r="E387" i="11"/>
  <c r="H387" i="11"/>
  <c r="K387" i="11"/>
  <c r="L387" i="11"/>
  <c r="B388" i="11"/>
  <c r="C388" i="11"/>
  <c r="I388" i="11" s="1"/>
  <c r="D388" i="11"/>
  <c r="E388" i="11"/>
  <c r="H388" i="11"/>
  <c r="K388" i="11"/>
  <c r="L388" i="11"/>
  <c r="B389" i="11"/>
  <c r="C389" i="11"/>
  <c r="D389" i="11"/>
  <c r="E389" i="11"/>
  <c r="H389" i="11"/>
  <c r="K389" i="11"/>
  <c r="L389" i="11"/>
  <c r="B390" i="11"/>
  <c r="C390" i="11"/>
  <c r="I390" i="11" s="1"/>
  <c r="D390" i="11"/>
  <c r="E390" i="11"/>
  <c r="H390" i="11"/>
  <c r="K390" i="11"/>
  <c r="L390" i="11"/>
  <c r="B391" i="11"/>
  <c r="C391" i="11"/>
  <c r="I391" i="11" s="1"/>
  <c r="D391" i="11"/>
  <c r="E391" i="11"/>
  <c r="H391" i="11"/>
  <c r="K391" i="11"/>
  <c r="L391" i="11"/>
  <c r="B392" i="11"/>
  <c r="C392" i="11"/>
  <c r="I392" i="11" s="1"/>
  <c r="D392" i="11"/>
  <c r="E392" i="11"/>
  <c r="H392" i="11"/>
  <c r="K392" i="11"/>
  <c r="L392" i="11"/>
  <c r="B393" i="11"/>
  <c r="C393" i="11"/>
  <c r="D393" i="11"/>
  <c r="E393" i="11"/>
  <c r="H393" i="11"/>
  <c r="K393" i="11"/>
  <c r="L393" i="11"/>
  <c r="B394" i="11"/>
  <c r="C394" i="11"/>
  <c r="D394" i="11"/>
  <c r="E394" i="11"/>
  <c r="H394" i="11"/>
  <c r="K394" i="11"/>
  <c r="L394" i="11"/>
  <c r="B395" i="11"/>
  <c r="C395" i="11"/>
  <c r="I395" i="11" s="1"/>
  <c r="D395" i="11"/>
  <c r="E395" i="11"/>
  <c r="H395" i="11"/>
  <c r="K395" i="11"/>
  <c r="L395" i="11"/>
  <c r="B396" i="11"/>
  <c r="C396" i="11"/>
  <c r="D396" i="11"/>
  <c r="E396" i="11"/>
  <c r="H396" i="11"/>
  <c r="K396" i="11"/>
  <c r="L396" i="11"/>
  <c r="B397" i="11"/>
  <c r="C397" i="11"/>
  <c r="I397" i="11" s="1"/>
  <c r="D397" i="11"/>
  <c r="E397" i="11"/>
  <c r="H397" i="11"/>
  <c r="K397" i="11"/>
  <c r="L397" i="11"/>
  <c r="B398" i="11"/>
  <c r="C398" i="11"/>
  <c r="D398" i="11"/>
  <c r="E398" i="11"/>
  <c r="H398" i="11"/>
  <c r="K398" i="11"/>
  <c r="L398" i="11"/>
  <c r="B399" i="11"/>
  <c r="C399" i="11"/>
  <c r="D399" i="11"/>
  <c r="E399" i="11"/>
  <c r="H399" i="11"/>
  <c r="K399" i="11"/>
  <c r="L399" i="11"/>
  <c r="B400" i="11"/>
  <c r="C400" i="11"/>
  <c r="D400" i="11"/>
  <c r="E400" i="11"/>
  <c r="H400" i="11"/>
  <c r="K400" i="11"/>
  <c r="L400" i="11"/>
  <c r="B401" i="11"/>
  <c r="C401" i="11"/>
  <c r="D401" i="11"/>
  <c r="E401" i="11"/>
  <c r="H401" i="11"/>
  <c r="K401" i="11"/>
  <c r="L401" i="11"/>
  <c r="B402" i="11"/>
  <c r="C402" i="11"/>
  <c r="I402" i="11" s="1"/>
  <c r="D402" i="11"/>
  <c r="E402" i="11"/>
  <c r="H402" i="11"/>
  <c r="K402" i="11"/>
  <c r="L402" i="11"/>
  <c r="B403" i="11"/>
  <c r="C403" i="11"/>
  <c r="D403" i="11"/>
  <c r="E403" i="11"/>
  <c r="H403" i="11"/>
  <c r="K403" i="11"/>
  <c r="L403" i="11"/>
  <c r="B404" i="11"/>
  <c r="C404" i="11"/>
  <c r="D404" i="11"/>
  <c r="E404" i="11"/>
  <c r="H404" i="11"/>
  <c r="K404" i="11"/>
  <c r="L404" i="11"/>
  <c r="B405" i="11"/>
  <c r="C405" i="11"/>
  <c r="D405" i="11"/>
  <c r="E405" i="11"/>
  <c r="H405" i="11"/>
  <c r="K405" i="11"/>
  <c r="L405" i="11"/>
  <c r="B406" i="11"/>
  <c r="C406" i="11"/>
  <c r="I406" i="11" s="1"/>
  <c r="D406" i="11"/>
  <c r="E406" i="11"/>
  <c r="H406" i="11"/>
  <c r="K406" i="11"/>
  <c r="L406" i="11"/>
  <c r="B407" i="11"/>
  <c r="C407" i="11"/>
  <c r="I407" i="11" s="1"/>
  <c r="D407" i="11"/>
  <c r="E407" i="11"/>
  <c r="H407" i="11"/>
  <c r="K407" i="11"/>
  <c r="L407" i="11"/>
  <c r="B408" i="11"/>
  <c r="C408" i="11"/>
  <c r="I408" i="11" s="1"/>
  <c r="D408" i="11"/>
  <c r="E408" i="11"/>
  <c r="H408" i="11"/>
  <c r="K408" i="11"/>
  <c r="L408" i="11"/>
  <c r="B409" i="11"/>
  <c r="C409" i="11"/>
  <c r="I409" i="11" s="1"/>
  <c r="D409" i="11"/>
  <c r="E409" i="11"/>
  <c r="H409" i="11"/>
  <c r="K409" i="11"/>
  <c r="L409" i="11"/>
  <c r="B410" i="11"/>
  <c r="C410" i="11"/>
  <c r="D410" i="11"/>
  <c r="E410" i="11"/>
  <c r="H410" i="11"/>
  <c r="K410" i="11"/>
  <c r="L410" i="11"/>
  <c r="B411" i="11"/>
  <c r="C411" i="11"/>
  <c r="I411" i="11" s="1"/>
  <c r="D411" i="11"/>
  <c r="E411" i="11"/>
  <c r="H411" i="11"/>
  <c r="K411" i="11"/>
  <c r="L411" i="11"/>
  <c r="B412" i="11"/>
  <c r="C412" i="11"/>
  <c r="I412" i="11" s="1"/>
  <c r="D412" i="11"/>
  <c r="E412" i="11"/>
  <c r="H412" i="11"/>
  <c r="K412" i="11"/>
  <c r="L412" i="11"/>
  <c r="B413" i="11"/>
  <c r="C413" i="11"/>
  <c r="I413" i="11" s="1"/>
  <c r="D413" i="11"/>
  <c r="E413" i="11"/>
  <c r="H413" i="11"/>
  <c r="K413" i="11"/>
  <c r="L413" i="11"/>
  <c r="B414" i="11"/>
  <c r="C414" i="11"/>
  <c r="I414" i="11" s="1"/>
  <c r="D414" i="11"/>
  <c r="E414" i="11"/>
  <c r="H414" i="11"/>
  <c r="K414" i="11"/>
  <c r="L414" i="11"/>
  <c r="B415" i="11"/>
  <c r="C415" i="11"/>
  <c r="D415" i="11"/>
  <c r="E415" i="11"/>
  <c r="H415" i="11"/>
  <c r="K415" i="11"/>
  <c r="L415" i="11"/>
  <c r="B416" i="11"/>
  <c r="C416" i="11"/>
  <c r="I416" i="11" s="1"/>
  <c r="D416" i="11"/>
  <c r="E416" i="11"/>
  <c r="H416" i="11"/>
  <c r="K416" i="11"/>
  <c r="L416" i="11"/>
  <c r="B417" i="11"/>
  <c r="C417" i="11"/>
  <c r="I417" i="11" s="1"/>
  <c r="D417" i="11"/>
  <c r="E417" i="11"/>
  <c r="H417" i="11"/>
  <c r="K417" i="11"/>
  <c r="L417" i="11"/>
  <c r="B418" i="11"/>
  <c r="C418" i="11"/>
  <c r="D418" i="11"/>
  <c r="E418" i="11"/>
  <c r="H418" i="11"/>
  <c r="K418" i="11"/>
  <c r="L418" i="11"/>
  <c r="B419" i="11"/>
  <c r="C419" i="11"/>
  <c r="I419" i="11" s="1"/>
  <c r="D419" i="11"/>
  <c r="E419" i="11"/>
  <c r="H419" i="11"/>
  <c r="K419" i="11"/>
  <c r="L419" i="11"/>
  <c r="B420" i="11"/>
  <c r="C420" i="11"/>
  <c r="D420" i="11"/>
  <c r="E420" i="11"/>
  <c r="H420" i="11"/>
  <c r="K420" i="11"/>
  <c r="L420" i="11"/>
  <c r="B421" i="11"/>
  <c r="C421" i="11"/>
  <c r="D421" i="11"/>
  <c r="E421" i="11"/>
  <c r="H421" i="11"/>
  <c r="K421" i="11"/>
  <c r="L421" i="11"/>
  <c r="B422" i="11"/>
  <c r="C422" i="11"/>
  <c r="D422" i="11"/>
  <c r="E422" i="11"/>
  <c r="H422" i="11"/>
  <c r="K422" i="11"/>
  <c r="L422" i="11"/>
  <c r="B423" i="11"/>
  <c r="C423" i="11"/>
  <c r="D423" i="11"/>
  <c r="E423" i="11"/>
  <c r="H423" i="11"/>
  <c r="K423" i="11"/>
  <c r="L423" i="11"/>
  <c r="B424" i="11"/>
  <c r="C424" i="11"/>
  <c r="D424" i="11"/>
  <c r="E424" i="11"/>
  <c r="H424" i="11"/>
  <c r="K424" i="11"/>
  <c r="L424" i="11"/>
  <c r="B425" i="11"/>
  <c r="C425" i="11"/>
  <c r="D425" i="11"/>
  <c r="E425" i="11"/>
  <c r="H425" i="11"/>
  <c r="K425" i="11"/>
  <c r="L425" i="11"/>
  <c r="B426" i="11"/>
  <c r="C426" i="11"/>
  <c r="D426" i="11"/>
  <c r="E426" i="11"/>
  <c r="H426" i="11"/>
  <c r="K426" i="11"/>
  <c r="L426" i="11"/>
  <c r="B427" i="11"/>
  <c r="C427" i="11"/>
  <c r="D427" i="11"/>
  <c r="E427" i="11"/>
  <c r="H427" i="11"/>
  <c r="K427" i="11"/>
  <c r="L427" i="11"/>
  <c r="B428" i="11"/>
  <c r="C428" i="11"/>
  <c r="I428" i="11" s="1"/>
  <c r="D428" i="11"/>
  <c r="E428" i="11"/>
  <c r="H428" i="11"/>
  <c r="K428" i="11"/>
  <c r="L428" i="11"/>
  <c r="B429" i="11"/>
  <c r="C429" i="11"/>
  <c r="D429" i="11"/>
  <c r="E429" i="11"/>
  <c r="H429" i="11"/>
  <c r="K429" i="11"/>
  <c r="L429" i="11"/>
  <c r="B430" i="11"/>
  <c r="C430" i="11"/>
  <c r="D430" i="11"/>
  <c r="E430" i="11"/>
  <c r="H430" i="11"/>
  <c r="K430" i="11"/>
  <c r="L430" i="11"/>
  <c r="B431" i="11"/>
  <c r="C431" i="11"/>
  <c r="D431" i="11"/>
  <c r="E431" i="11"/>
  <c r="H431" i="11"/>
  <c r="K431" i="11"/>
  <c r="L431" i="11"/>
  <c r="B432" i="11"/>
  <c r="C432" i="11"/>
  <c r="I432" i="11" s="1"/>
  <c r="D432" i="11"/>
  <c r="E432" i="11"/>
  <c r="H432" i="11"/>
  <c r="K432" i="11"/>
  <c r="L432" i="11"/>
  <c r="B433" i="11"/>
  <c r="C433" i="11"/>
  <c r="D433" i="11"/>
  <c r="E433" i="11"/>
  <c r="H433" i="11"/>
  <c r="K433" i="11"/>
  <c r="L433" i="11"/>
  <c r="B434" i="11"/>
  <c r="C434" i="11"/>
  <c r="I434" i="11" s="1"/>
  <c r="D434" i="11"/>
  <c r="E434" i="11"/>
  <c r="H434" i="11"/>
  <c r="K434" i="11"/>
  <c r="L434" i="11"/>
  <c r="B435" i="11"/>
  <c r="C435" i="11"/>
  <c r="I435" i="11" s="1"/>
  <c r="D435" i="11"/>
  <c r="E435" i="11"/>
  <c r="H435" i="11"/>
  <c r="K435" i="11"/>
  <c r="L435" i="11"/>
  <c r="B436" i="11"/>
  <c r="C436" i="11"/>
  <c r="I436" i="11" s="1"/>
  <c r="D436" i="11"/>
  <c r="E436" i="11"/>
  <c r="H436" i="11"/>
  <c r="K436" i="11"/>
  <c r="L436" i="11"/>
  <c r="B437" i="11"/>
  <c r="C437" i="11"/>
  <c r="D437" i="11"/>
  <c r="E437" i="11"/>
  <c r="H437" i="11"/>
  <c r="K437" i="11"/>
  <c r="L437" i="11"/>
  <c r="B438" i="11"/>
  <c r="C438" i="11"/>
  <c r="I438" i="11" s="1"/>
  <c r="D438" i="11"/>
  <c r="E438" i="11"/>
  <c r="H438" i="11"/>
  <c r="K438" i="11"/>
  <c r="L438" i="11"/>
  <c r="B439" i="11"/>
  <c r="C439" i="11"/>
  <c r="I439" i="11" s="1"/>
  <c r="D439" i="11"/>
  <c r="E439" i="11"/>
  <c r="H439" i="11"/>
  <c r="K439" i="11"/>
  <c r="L439" i="11"/>
  <c r="B440" i="11"/>
  <c r="C440" i="11"/>
  <c r="I440" i="11" s="1"/>
  <c r="D440" i="11"/>
  <c r="E440" i="11"/>
  <c r="H440" i="11"/>
  <c r="K440" i="11"/>
  <c r="L440" i="11"/>
  <c r="B441" i="11"/>
  <c r="C441" i="11"/>
  <c r="I441" i="11" s="1"/>
  <c r="D441" i="11"/>
  <c r="E441" i="11"/>
  <c r="H441" i="11"/>
  <c r="K441" i="11"/>
  <c r="L441" i="11"/>
  <c r="B442" i="11"/>
  <c r="C442" i="11"/>
  <c r="I442" i="11" s="1"/>
  <c r="D442" i="11"/>
  <c r="E442" i="11"/>
  <c r="H442" i="11"/>
  <c r="K442" i="11"/>
  <c r="L442" i="11"/>
  <c r="B443" i="11"/>
  <c r="C443" i="11"/>
  <c r="I443" i="11" s="1"/>
  <c r="D443" i="11"/>
  <c r="E443" i="11"/>
  <c r="H443" i="11"/>
  <c r="K443" i="11"/>
  <c r="L443" i="11"/>
  <c r="B444" i="11"/>
  <c r="C444" i="11"/>
  <c r="I444" i="11" s="1"/>
  <c r="D444" i="11"/>
  <c r="E444" i="11"/>
  <c r="H444" i="11"/>
  <c r="K444" i="11"/>
  <c r="L444" i="11"/>
  <c r="B445" i="11"/>
  <c r="C445" i="11"/>
  <c r="D445" i="11"/>
  <c r="E445" i="11"/>
  <c r="H445" i="11"/>
  <c r="K445" i="11"/>
  <c r="L445" i="11"/>
  <c r="B446" i="11"/>
  <c r="C446" i="11"/>
  <c r="I446" i="11" s="1"/>
  <c r="D446" i="11"/>
  <c r="E446" i="11"/>
  <c r="H446" i="11"/>
  <c r="K446" i="11"/>
  <c r="L446" i="11"/>
  <c r="B447" i="11"/>
  <c r="C447" i="11"/>
  <c r="I447" i="11" s="1"/>
  <c r="D447" i="11"/>
  <c r="E447" i="11"/>
  <c r="H447" i="11"/>
  <c r="K447" i="11"/>
  <c r="L447" i="11"/>
  <c r="B448" i="11"/>
  <c r="C448" i="11"/>
  <c r="I448" i="11" s="1"/>
  <c r="D448" i="11"/>
  <c r="E448" i="11"/>
  <c r="H448" i="11"/>
  <c r="K448" i="11"/>
  <c r="L448" i="11"/>
  <c r="B449" i="11"/>
  <c r="C449" i="11"/>
  <c r="D449" i="11"/>
  <c r="E449" i="11"/>
  <c r="H449" i="11"/>
  <c r="K449" i="11"/>
  <c r="L449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K3" i="11"/>
  <c r="L3" i="11"/>
  <c r="K4" i="11"/>
  <c r="L4" i="11"/>
  <c r="K5" i="11"/>
  <c r="L5" i="11"/>
  <c r="K6" i="11"/>
  <c r="L6" i="11"/>
  <c r="K7" i="11"/>
  <c r="L7" i="11"/>
  <c r="K8" i="11"/>
  <c r="L8" i="11"/>
  <c r="K9" i="11"/>
  <c r="L9" i="11"/>
  <c r="K10" i="11"/>
  <c r="L10" i="11"/>
  <c r="K11" i="11"/>
  <c r="L11" i="11"/>
  <c r="K12" i="11"/>
  <c r="L12" i="11"/>
  <c r="K13" i="11"/>
  <c r="L13" i="11"/>
  <c r="K14" i="11"/>
  <c r="L14" i="11"/>
  <c r="K15" i="11"/>
  <c r="L15" i="11"/>
  <c r="K16" i="11"/>
  <c r="L16" i="11"/>
  <c r="K17" i="11"/>
  <c r="L17" i="11"/>
  <c r="K18" i="11"/>
  <c r="L18" i="11"/>
  <c r="K19" i="11"/>
  <c r="L19" i="11"/>
  <c r="K20" i="11"/>
  <c r="L20" i="11"/>
  <c r="K21" i="11"/>
  <c r="L21" i="11"/>
  <c r="K22" i="11"/>
  <c r="L22" i="11"/>
  <c r="K23" i="11"/>
  <c r="L23" i="11"/>
  <c r="D3" i="11"/>
  <c r="E3" i="11"/>
  <c r="D4" i="11"/>
  <c r="E4" i="11"/>
  <c r="D5" i="11"/>
  <c r="E5" i="11"/>
  <c r="D6" i="11"/>
  <c r="E6" i="11"/>
  <c r="D7" i="11"/>
  <c r="E7" i="11"/>
  <c r="D8" i="11"/>
  <c r="E8" i="11"/>
  <c r="D9" i="11"/>
  <c r="E9" i="11"/>
  <c r="D10" i="11"/>
  <c r="E10" i="11"/>
  <c r="D11" i="11"/>
  <c r="E11" i="11"/>
  <c r="D12" i="11"/>
  <c r="E12" i="11"/>
  <c r="D13" i="11"/>
  <c r="E13" i="11"/>
  <c r="D14" i="11"/>
  <c r="E14" i="11"/>
  <c r="D15" i="11"/>
  <c r="E15" i="11"/>
  <c r="D16" i="11"/>
  <c r="E16" i="11"/>
  <c r="D17" i="11"/>
  <c r="E17" i="11"/>
  <c r="D18" i="11"/>
  <c r="E18" i="11"/>
  <c r="D19" i="11"/>
  <c r="E19" i="11"/>
  <c r="D20" i="11"/>
  <c r="E20" i="11"/>
  <c r="D21" i="11"/>
  <c r="E21" i="11"/>
  <c r="D22" i="11"/>
  <c r="E22" i="11"/>
  <c r="D23" i="11"/>
  <c r="E23" i="11"/>
  <c r="L2" i="11"/>
  <c r="K2" i="1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H2" i="11"/>
  <c r="C2" i="11"/>
  <c r="E2" i="11"/>
  <c r="D2" i="11"/>
  <c r="B2" i="11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Z359" i="9"/>
  <c r="Y359" i="9"/>
  <c r="X359" i="9"/>
  <c r="Z351" i="9"/>
  <c r="Y351" i="9"/>
  <c r="X351" i="9"/>
  <c r="Z115" i="9"/>
  <c r="Y115" i="9"/>
  <c r="X115" i="9"/>
  <c r="Z114" i="9"/>
  <c r="Y114" i="9"/>
  <c r="X114" i="9"/>
  <c r="Z113" i="9"/>
  <c r="Y113" i="9"/>
  <c r="X113" i="9"/>
  <c r="Z28" i="9"/>
  <c r="Y28" i="9"/>
  <c r="X28" i="9"/>
  <c r="Z16" i="9"/>
  <c r="Y16" i="9"/>
  <c r="X16" i="9"/>
  <c r="Z249" i="9"/>
  <c r="Y249" i="9"/>
  <c r="X249" i="9"/>
  <c r="Z245" i="9"/>
  <c r="Y245" i="9"/>
  <c r="X245" i="9"/>
  <c r="Z248" i="9"/>
  <c r="Y248" i="9"/>
  <c r="X248" i="9"/>
  <c r="Z232" i="9"/>
  <c r="Y232" i="9"/>
  <c r="X232" i="9"/>
  <c r="Z241" i="9"/>
  <c r="Y241" i="9"/>
  <c r="X241" i="9"/>
  <c r="Z238" i="9"/>
  <c r="Y238" i="9"/>
  <c r="X238" i="9"/>
  <c r="Z233" i="9"/>
  <c r="Y233" i="9"/>
  <c r="X233" i="9"/>
  <c r="Y27" i="9"/>
  <c r="X27" i="9"/>
  <c r="Z27" i="9"/>
  <c r="Z102" i="9"/>
  <c r="Y102" i="9"/>
  <c r="X102" i="9"/>
  <c r="Z73" i="9"/>
  <c r="Y73" i="9"/>
  <c r="X73" i="9"/>
  <c r="Z62" i="9"/>
  <c r="Y62" i="9"/>
  <c r="X62" i="9"/>
  <c r="Z77" i="9"/>
  <c r="Y77" i="9"/>
  <c r="X77" i="9"/>
  <c r="Z65" i="9"/>
  <c r="Y65" i="9"/>
  <c r="X65" i="9"/>
  <c r="X192" i="9"/>
  <c r="Y192" i="9"/>
  <c r="Z192" i="9"/>
  <c r="Z123" i="9"/>
  <c r="Y123" i="9"/>
  <c r="X123" i="9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M70" i="10"/>
  <c r="M71" i="10"/>
  <c r="M72" i="10"/>
  <c r="M73" i="10"/>
  <c r="M74" i="10"/>
  <c r="M75" i="10"/>
  <c r="M76" i="10"/>
  <c r="M77" i="10"/>
  <c r="M78" i="10"/>
  <c r="M79" i="10"/>
  <c r="M80" i="10"/>
  <c r="M81" i="10"/>
  <c r="M82" i="10"/>
  <c r="M83" i="10"/>
  <c r="M84" i="10"/>
  <c r="M85" i="10"/>
  <c r="M86" i="10"/>
  <c r="M87" i="10"/>
  <c r="M88" i="10"/>
  <c r="M89" i="10"/>
  <c r="M90" i="10"/>
  <c r="M91" i="10"/>
  <c r="M92" i="10"/>
  <c r="M93" i="10"/>
  <c r="M94" i="10"/>
  <c r="M95" i="10"/>
  <c r="M96" i="10"/>
  <c r="M97" i="10"/>
  <c r="M98" i="10"/>
  <c r="M99" i="10"/>
  <c r="M100" i="10"/>
  <c r="M101" i="10"/>
  <c r="M102" i="10"/>
  <c r="M103" i="10"/>
  <c r="M104" i="10"/>
  <c r="M105" i="10"/>
  <c r="M106" i="10"/>
  <c r="M107" i="10"/>
  <c r="M108" i="10"/>
  <c r="M109" i="10"/>
  <c r="M110" i="10"/>
  <c r="M111" i="10"/>
  <c r="M112" i="10"/>
  <c r="M113" i="10"/>
  <c r="M114" i="10"/>
  <c r="M115" i="10"/>
  <c r="M116" i="10"/>
  <c r="M117" i="10"/>
  <c r="M118" i="10"/>
  <c r="M119" i="10"/>
  <c r="M120" i="10"/>
  <c r="M121" i="10"/>
  <c r="M122" i="10"/>
  <c r="M123" i="10"/>
  <c r="M124" i="10"/>
  <c r="M125" i="10"/>
  <c r="M126" i="10"/>
  <c r="M127" i="10"/>
  <c r="M128" i="10"/>
  <c r="M129" i="10"/>
  <c r="M130" i="10"/>
  <c r="M131" i="10"/>
  <c r="M132" i="10"/>
  <c r="M133" i="10"/>
  <c r="M134" i="10"/>
  <c r="M135" i="10"/>
  <c r="M136" i="10"/>
  <c r="M137" i="10"/>
  <c r="M138" i="10"/>
  <c r="M139" i="10"/>
  <c r="M140" i="10"/>
  <c r="M141" i="10"/>
  <c r="M142" i="10"/>
  <c r="M143" i="10"/>
  <c r="M144" i="10"/>
  <c r="M145" i="10"/>
  <c r="M146" i="10"/>
  <c r="M147" i="10"/>
  <c r="M148" i="10"/>
  <c r="M149" i="10"/>
  <c r="M150" i="10"/>
  <c r="M151" i="10"/>
  <c r="M152" i="10"/>
  <c r="M153" i="10"/>
  <c r="M154" i="10"/>
  <c r="M155" i="10"/>
  <c r="M156" i="10"/>
  <c r="M157" i="10"/>
  <c r="M158" i="10"/>
  <c r="M159" i="10"/>
  <c r="M160" i="10"/>
  <c r="M161" i="10"/>
  <c r="M162" i="10"/>
  <c r="M163" i="10"/>
  <c r="M164" i="10"/>
  <c r="M165" i="10"/>
  <c r="M166" i="10"/>
  <c r="M167" i="10"/>
  <c r="M168" i="10"/>
  <c r="M169" i="10"/>
  <c r="M170" i="10"/>
  <c r="M171" i="10"/>
  <c r="M172" i="10"/>
  <c r="M173" i="10"/>
  <c r="M174" i="10"/>
  <c r="M175" i="10"/>
  <c r="M176" i="10"/>
  <c r="M177" i="10"/>
  <c r="M178" i="10"/>
  <c r="M179" i="10"/>
  <c r="M180" i="10"/>
  <c r="M181" i="10"/>
  <c r="M182" i="10"/>
  <c r="M183" i="10"/>
  <c r="M184" i="10"/>
  <c r="M185" i="10"/>
  <c r="M186" i="10"/>
  <c r="M187" i="10"/>
  <c r="M188" i="10"/>
  <c r="M189" i="10"/>
  <c r="M190" i="10"/>
  <c r="M191" i="10"/>
  <c r="M192" i="10"/>
  <c r="M193" i="10"/>
  <c r="M194" i="10"/>
  <c r="M195" i="10"/>
  <c r="M196" i="10"/>
  <c r="M197" i="10"/>
  <c r="M198" i="10"/>
  <c r="M199" i="10"/>
  <c r="M200" i="10"/>
  <c r="M201" i="10"/>
  <c r="M202" i="10"/>
  <c r="M203" i="10"/>
  <c r="M204" i="10"/>
  <c r="M205" i="10"/>
  <c r="M206" i="10"/>
  <c r="M207" i="10"/>
  <c r="M208" i="10"/>
  <c r="M209" i="10"/>
  <c r="M210" i="10"/>
  <c r="M211" i="10"/>
  <c r="M212" i="10"/>
  <c r="M213" i="10"/>
  <c r="M214" i="10"/>
  <c r="M215" i="10"/>
  <c r="M216" i="10"/>
  <c r="M217" i="10"/>
  <c r="M218" i="10"/>
  <c r="M219" i="10"/>
  <c r="M220" i="10"/>
  <c r="M221" i="10"/>
  <c r="M222" i="10"/>
  <c r="M223" i="10"/>
  <c r="M224" i="10"/>
  <c r="M225" i="10"/>
  <c r="M226" i="10"/>
  <c r="M227" i="10"/>
  <c r="M228" i="10"/>
  <c r="M229" i="10"/>
  <c r="M230" i="10"/>
  <c r="M231" i="10"/>
  <c r="M232" i="10"/>
  <c r="M233" i="10"/>
  <c r="M234" i="10"/>
  <c r="M235" i="10"/>
  <c r="M236" i="10"/>
  <c r="M237" i="10"/>
  <c r="M238" i="10"/>
  <c r="M239" i="10"/>
  <c r="M240" i="10"/>
  <c r="M241" i="10"/>
  <c r="M242" i="10"/>
  <c r="M243" i="10"/>
  <c r="M244" i="10"/>
  <c r="M245" i="10"/>
  <c r="M246" i="10"/>
  <c r="M247" i="10"/>
  <c r="M248" i="10"/>
  <c r="M249" i="10"/>
  <c r="M250" i="10"/>
  <c r="M251" i="10"/>
  <c r="M252" i="10"/>
  <c r="M253" i="10"/>
  <c r="M254" i="10"/>
  <c r="M255" i="10"/>
  <c r="M256" i="10"/>
  <c r="M257" i="10"/>
  <c r="M258" i="10"/>
  <c r="M259" i="10"/>
  <c r="M260" i="10"/>
  <c r="M261" i="10"/>
  <c r="M262" i="10"/>
  <c r="M263" i="10"/>
  <c r="M264" i="10"/>
  <c r="M265" i="10"/>
  <c r="M266" i="10"/>
  <c r="M267" i="10"/>
  <c r="M268" i="10"/>
  <c r="M269" i="10"/>
  <c r="M270" i="10"/>
  <c r="M271" i="10"/>
  <c r="M272" i="10"/>
  <c r="M273" i="10"/>
  <c r="M274" i="10"/>
  <c r="M275" i="10"/>
  <c r="M276" i="10"/>
  <c r="M277" i="10"/>
  <c r="M278" i="10"/>
  <c r="M279" i="10"/>
  <c r="M280" i="10"/>
  <c r="M281" i="10"/>
  <c r="M282" i="10"/>
  <c r="M283" i="10"/>
  <c r="M284" i="10"/>
  <c r="M285" i="10"/>
  <c r="M286" i="10"/>
  <c r="M287" i="10"/>
  <c r="M288" i="10"/>
  <c r="M289" i="10"/>
  <c r="M290" i="10"/>
  <c r="M291" i="10"/>
  <c r="M292" i="10"/>
  <c r="M293" i="10"/>
  <c r="M294" i="10"/>
  <c r="M295" i="10"/>
  <c r="M296" i="10"/>
  <c r="M297" i="10"/>
  <c r="M298" i="10"/>
  <c r="M299" i="10"/>
  <c r="M300" i="10"/>
  <c r="M301" i="10"/>
  <c r="M302" i="10"/>
  <c r="M303" i="10"/>
  <c r="M304" i="10"/>
  <c r="M305" i="10"/>
  <c r="M306" i="10"/>
  <c r="M307" i="10"/>
  <c r="M308" i="10"/>
  <c r="M309" i="10"/>
  <c r="M310" i="10"/>
  <c r="M311" i="10"/>
  <c r="M312" i="10"/>
  <c r="M313" i="10"/>
  <c r="M314" i="10"/>
  <c r="M315" i="10"/>
  <c r="M316" i="10"/>
  <c r="M317" i="10"/>
  <c r="M318" i="10"/>
  <c r="M319" i="10"/>
  <c r="M320" i="10"/>
  <c r="M321" i="10"/>
  <c r="M322" i="10"/>
  <c r="M323" i="10"/>
  <c r="M324" i="10"/>
  <c r="M325" i="10"/>
  <c r="M326" i="10"/>
  <c r="M327" i="10"/>
  <c r="M328" i="10"/>
  <c r="M329" i="10"/>
  <c r="M330" i="10"/>
  <c r="M331" i="10"/>
  <c r="M332" i="10"/>
  <c r="M333" i="10"/>
  <c r="M334" i="10"/>
  <c r="M335" i="10"/>
  <c r="M336" i="10"/>
  <c r="M337" i="10"/>
  <c r="M338" i="10"/>
  <c r="M339" i="10"/>
  <c r="M340" i="10"/>
  <c r="M341" i="10"/>
  <c r="M342" i="10"/>
  <c r="M343" i="10"/>
  <c r="M344" i="10"/>
  <c r="M345" i="10"/>
  <c r="M346" i="10"/>
  <c r="M347" i="10"/>
  <c r="M348" i="10"/>
  <c r="M349" i="10"/>
  <c r="M350" i="10"/>
  <c r="M351" i="10"/>
  <c r="M352" i="10"/>
  <c r="M353" i="10"/>
  <c r="M354" i="10"/>
  <c r="M355" i="10"/>
  <c r="M356" i="10"/>
  <c r="M357" i="10"/>
  <c r="M358" i="10"/>
  <c r="M359" i="10"/>
  <c r="M360" i="10"/>
  <c r="M361" i="10"/>
  <c r="M362" i="10"/>
  <c r="M363" i="10"/>
  <c r="M364" i="10"/>
  <c r="M365" i="10"/>
  <c r="M366" i="10"/>
  <c r="M367" i="10"/>
  <c r="M368" i="10"/>
  <c r="M369" i="10"/>
  <c r="M370" i="10"/>
  <c r="M371" i="10"/>
  <c r="M372" i="10"/>
  <c r="M373" i="10"/>
  <c r="M374" i="10"/>
  <c r="M375" i="10"/>
  <c r="M376" i="10"/>
  <c r="M377" i="10"/>
  <c r="M378" i="10"/>
  <c r="M379" i="10"/>
  <c r="M380" i="10"/>
  <c r="M381" i="10"/>
  <c r="M382" i="10"/>
  <c r="M383" i="10"/>
  <c r="M384" i="10"/>
  <c r="M385" i="10"/>
  <c r="M386" i="10"/>
  <c r="M387" i="10"/>
  <c r="M388" i="10"/>
  <c r="M389" i="10"/>
  <c r="M390" i="10"/>
  <c r="M391" i="10"/>
  <c r="M392" i="10"/>
  <c r="M393" i="10"/>
  <c r="M394" i="10"/>
  <c r="M395" i="10"/>
  <c r="M396" i="10"/>
  <c r="M397" i="10"/>
  <c r="M398" i="10"/>
  <c r="M399" i="10"/>
  <c r="M400" i="10"/>
  <c r="M401" i="10"/>
  <c r="M402" i="10"/>
  <c r="M403" i="10"/>
  <c r="M404" i="10"/>
  <c r="M405" i="10"/>
  <c r="M406" i="10"/>
  <c r="M407" i="10"/>
  <c r="M408" i="10"/>
  <c r="M409" i="10"/>
  <c r="M410" i="10"/>
  <c r="M411" i="10"/>
  <c r="M412" i="10"/>
  <c r="M413" i="10"/>
  <c r="M414" i="10"/>
  <c r="M415" i="10"/>
  <c r="M416" i="10"/>
  <c r="M417" i="10"/>
  <c r="M418" i="10"/>
  <c r="M419" i="10"/>
  <c r="M420" i="10"/>
  <c r="M421" i="10"/>
  <c r="M422" i="10"/>
  <c r="M423" i="10"/>
  <c r="M424" i="10"/>
  <c r="M425" i="10"/>
  <c r="M426" i="10"/>
  <c r="M427" i="10"/>
  <c r="M428" i="10"/>
  <c r="M429" i="10"/>
  <c r="M430" i="10"/>
  <c r="M431" i="10"/>
  <c r="M432" i="10"/>
  <c r="M433" i="10"/>
  <c r="M434" i="10"/>
  <c r="M435" i="10"/>
  <c r="M436" i="10"/>
  <c r="M437" i="10"/>
  <c r="M438" i="10"/>
  <c r="M439" i="10"/>
  <c r="M440" i="10"/>
  <c r="M441" i="10"/>
  <c r="M442" i="10"/>
  <c r="M443" i="10"/>
  <c r="M444" i="10"/>
  <c r="M445" i="10"/>
  <c r="M446" i="10"/>
  <c r="M447" i="10"/>
  <c r="M448" i="10"/>
  <c r="M449" i="10"/>
  <c r="M450" i="10"/>
  <c r="M451" i="10"/>
  <c r="M452" i="10"/>
  <c r="M453" i="10"/>
  <c r="M454" i="10"/>
  <c r="M455" i="10"/>
  <c r="M456" i="10"/>
  <c r="M457" i="10"/>
  <c r="M458" i="10"/>
  <c r="M459" i="10"/>
  <c r="M460" i="10"/>
  <c r="M461" i="10"/>
  <c r="M462" i="10"/>
  <c r="M463" i="10"/>
  <c r="M464" i="10"/>
  <c r="M465" i="10"/>
  <c r="M466" i="10"/>
  <c r="M467" i="10"/>
  <c r="M468" i="10"/>
  <c r="M469" i="10"/>
  <c r="M470" i="10"/>
  <c r="M471" i="10"/>
  <c r="M472" i="10"/>
  <c r="M473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2" i="10"/>
  <c r="X473" i="9"/>
  <c r="Y473" i="9"/>
  <c r="Z473" i="9"/>
  <c r="X479" i="9"/>
  <c r="Y479" i="9"/>
  <c r="Z479" i="9"/>
  <c r="X481" i="9"/>
  <c r="Y481" i="9"/>
  <c r="Z481" i="9"/>
  <c r="X482" i="9"/>
  <c r="Y482" i="9"/>
  <c r="Z482" i="9"/>
  <c r="X483" i="9"/>
  <c r="Y483" i="9"/>
  <c r="Z483" i="9"/>
  <c r="X484" i="9"/>
  <c r="Y484" i="9"/>
  <c r="Z484" i="9"/>
  <c r="X485" i="9"/>
  <c r="Y485" i="9"/>
  <c r="Z485" i="9"/>
  <c r="X486" i="9"/>
  <c r="Y486" i="9"/>
  <c r="Z486" i="9"/>
  <c r="X496" i="9"/>
  <c r="Y496" i="9"/>
  <c r="Z496" i="9"/>
  <c r="X497" i="9"/>
  <c r="Y497" i="9"/>
  <c r="Z497" i="9"/>
  <c r="X498" i="9"/>
  <c r="Y498" i="9"/>
  <c r="Z498" i="9"/>
  <c r="X499" i="9"/>
  <c r="Y499" i="9"/>
  <c r="Z499" i="9"/>
  <c r="X500" i="9"/>
  <c r="Y500" i="9"/>
  <c r="Z500" i="9"/>
  <c r="X429" i="9"/>
  <c r="Y429" i="9"/>
  <c r="Z429" i="9"/>
  <c r="X430" i="9"/>
  <c r="Y430" i="9"/>
  <c r="Z430" i="9"/>
  <c r="X431" i="9"/>
  <c r="Y431" i="9"/>
  <c r="Z431" i="9"/>
  <c r="X432" i="9"/>
  <c r="Y432" i="9"/>
  <c r="Z432" i="9"/>
  <c r="X433" i="9"/>
  <c r="Y433" i="9"/>
  <c r="Z433" i="9"/>
  <c r="X434" i="9"/>
  <c r="Y434" i="9"/>
  <c r="Z434" i="9"/>
  <c r="X435" i="9"/>
  <c r="Y435" i="9"/>
  <c r="Z435" i="9"/>
  <c r="X436" i="9"/>
  <c r="Y436" i="9"/>
  <c r="Z436" i="9"/>
  <c r="X437" i="9"/>
  <c r="Y437" i="9"/>
  <c r="Z437" i="9"/>
  <c r="X438" i="9"/>
  <c r="Y438" i="9"/>
  <c r="Z438" i="9"/>
  <c r="X439" i="9"/>
  <c r="Y439" i="9"/>
  <c r="Z439" i="9"/>
  <c r="X440" i="9"/>
  <c r="Y440" i="9"/>
  <c r="Z440" i="9"/>
  <c r="X441" i="9"/>
  <c r="Y441" i="9"/>
  <c r="Z441" i="9"/>
  <c r="X442" i="9"/>
  <c r="Y442" i="9"/>
  <c r="Z442" i="9"/>
  <c r="X443" i="9"/>
  <c r="Y443" i="9"/>
  <c r="Z443" i="9"/>
  <c r="X444" i="9"/>
  <c r="Y444" i="9"/>
  <c r="Z444" i="9"/>
  <c r="X448" i="9"/>
  <c r="Y448" i="9"/>
  <c r="Z448" i="9"/>
  <c r="X449" i="9"/>
  <c r="Y449" i="9"/>
  <c r="Z449" i="9"/>
  <c r="X450" i="9"/>
  <c r="Y450" i="9"/>
  <c r="Z450" i="9"/>
  <c r="X451" i="9"/>
  <c r="Y451" i="9"/>
  <c r="Z451" i="9"/>
  <c r="X452" i="9"/>
  <c r="Y452" i="9"/>
  <c r="Z452" i="9"/>
  <c r="X453" i="9"/>
  <c r="Y453" i="9"/>
  <c r="Z453" i="9"/>
  <c r="X454" i="9"/>
  <c r="Y454" i="9"/>
  <c r="Z454" i="9"/>
  <c r="X455" i="9"/>
  <c r="Y455" i="9"/>
  <c r="Z455" i="9"/>
  <c r="X456" i="9"/>
  <c r="Y456" i="9"/>
  <c r="Z456" i="9"/>
  <c r="X457" i="9"/>
  <c r="Y457" i="9"/>
  <c r="Z457" i="9"/>
  <c r="X458" i="9"/>
  <c r="Y458" i="9"/>
  <c r="Z458" i="9"/>
  <c r="X459" i="9"/>
  <c r="Y459" i="9"/>
  <c r="Z459" i="9"/>
  <c r="X475" i="9"/>
  <c r="Y475" i="9"/>
  <c r="Z475" i="9"/>
  <c r="X495" i="9"/>
  <c r="Y495" i="9"/>
  <c r="Z495" i="9"/>
  <c r="X69" i="9"/>
  <c r="Y69" i="9"/>
  <c r="Z69" i="9"/>
  <c r="X489" i="9"/>
  <c r="Y489" i="9"/>
  <c r="Z489" i="9"/>
  <c r="X460" i="9"/>
  <c r="Y460" i="9"/>
  <c r="Z460" i="9"/>
  <c r="X480" i="9"/>
  <c r="Y480" i="9"/>
  <c r="Z480" i="9"/>
  <c r="X404" i="9"/>
  <c r="Y404" i="9"/>
  <c r="Z404" i="9"/>
  <c r="X330" i="9"/>
  <c r="Y330" i="9"/>
  <c r="Z330" i="9"/>
  <c r="X331" i="9"/>
  <c r="Y331" i="9"/>
  <c r="Z331" i="9"/>
  <c r="X332" i="9"/>
  <c r="Y332" i="9"/>
  <c r="Z332" i="9"/>
  <c r="X333" i="9"/>
  <c r="Y333" i="9"/>
  <c r="Z333" i="9"/>
  <c r="X334" i="9"/>
  <c r="Y334" i="9"/>
  <c r="Z334" i="9"/>
  <c r="X335" i="9"/>
  <c r="Y335" i="9"/>
  <c r="Z335" i="9"/>
  <c r="X338" i="9"/>
  <c r="Y338" i="9"/>
  <c r="Z338" i="9"/>
  <c r="X336" i="9"/>
  <c r="Y336" i="9"/>
  <c r="Z336" i="9"/>
  <c r="X337" i="9"/>
  <c r="Y337" i="9"/>
  <c r="Z337" i="9"/>
  <c r="X339" i="9"/>
  <c r="Y339" i="9"/>
  <c r="Z339" i="9"/>
  <c r="X340" i="9"/>
  <c r="Y340" i="9"/>
  <c r="Z340" i="9"/>
  <c r="X341" i="9"/>
  <c r="Y341" i="9"/>
  <c r="Z341" i="9"/>
  <c r="X343" i="9"/>
  <c r="Y343" i="9"/>
  <c r="Z343" i="9"/>
  <c r="X342" i="9"/>
  <c r="Y342" i="9"/>
  <c r="Z342" i="9"/>
  <c r="X344" i="9"/>
  <c r="Y344" i="9"/>
  <c r="Z344" i="9"/>
  <c r="X346" i="9"/>
  <c r="Y346" i="9"/>
  <c r="Z346" i="9"/>
  <c r="X347" i="9"/>
  <c r="Y347" i="9"/>
  <c r="Z347" i="9"/>
  <c r="X348" i="9"/>
  <c r="Y348" i="9"/>
  <c r="Z348" i="9"/>
  <c r="X349" i="9"/>
  <c r="Y349" i="9"/>
  <c r="Z349" i="9"/>
  <c r="X350" i="9"/>
  <c r="Y350" i="9"/>
  <c r="Z350" i="9"/>
  <c r="X354" i="9"/>
  <c r="Y354" i="9"/>
  <c r="Z354" i="9"/>
  <c r="X355" i="9"/>
  <c r="Y355" i="9"/>
  <c r="Z355" i="9"/>
  <c r="X356" i="9"/>
  <c r="Y356" i="9"/>
  <c r="Z356" i="9"/>
  <c r="X357" i="9"/>
  <c r="Y357" i="9"/>
  <c r="Z357" i="9"/>
  <c r="X345" i="9"/>
  <c r="Y345" i="9"/>
  <c r="Z345" i="9"/>
  <c r="X364" i="9"/>
  <c r="Y364" i="9"/>
  <c r="Z364" i="9"/>
  <c r="X362" i="9"/>
  <c r="Y362" i="9"/>
  <c r="Z362" i="9"/>
  <c r="X363" i="9"/>
  <c r="Y363" i="9"/>
  <c r="Z363" i="9"/>
  <c r="X368" i="9"/>
  <c r="Y368" i="9"/>
  <c r="Z368" i="9"/>
  <c r="X367" i="9"/>
  <c r="Y367" i="9"/>
  <c r="Z367" i="9"/>
  <c r="X369" i="9"/>
  <c r="Y369" i="9"/>
  <c r="Z369" i="9"/>
  <c r="X365" i="9"/>
  <c r="Y365" i="9"/>
  <c r="Z365" i="9"/>
  <c r="X366" i="9"/>
  <c r="Y366" i="9"/>
  <c r="Z366" i="9"/>
  <c r="X370" i="9"/>
  <c r="Y370" i="9"/>
  <c r="Z370" i="9"/>
  <c r="X371" i="9"/>
  <c r="Y371" i="9"/>
  <c r="Z371" i="9"/>
  <c r="X372" i="9"/>
  <c r="Y372" i="9"/>
  <c r="Z372" i="9"/>
  <c r="X373" i="9"/>
  <c r="Y373" i="9"/>
  <c r="Z373" i="9"/>
  <c r="X352" i="9"/>
  <c r="Y352" i="9"/>
  <c r="Z352" i="9"/>
  <c r="X353" i="9"/>
  <c r="Y353" i="9"/>
  <c r="Z353" i="9"/>
  <c r="X360" i="9"/>
  <c r="Y360" i="9"/>
  <c r="Z360" i="9"/>
  <c r="X361" i="9"/>
  <c r="Y361" i="9"/>
  <c r="Z361" i="9"/>
  <c r="X375" i="9"/>
  <c r="Y375" i="9"/>
  <c r="Z375" i="9"/>
  <c r="X374" i="9"/>
  <c r="Y374" i="9"/>
  <c r="Z374" i="9"/>
  <c r="X376" i="9"/>
  <c r="Y376" i="9"/>
  <c r="Z376" i="9"/>
  <c r="X377" i="9"/>
  <c r="Y377" i="9"/>
  <c r="Z377" i="9"/>
  <c r="X379" i="9"/>
  <c r="Y379" i="9"/>
  <c r="Z379" i="9"/>
  <c r="X378" i="9"/>
  <c r="Y378" i="9"/>
  <c r="Z378" i="9"/>
  <c r="X380" i="9"/>
  <c r="Y380" i="9"/>
  <c r="Z380" i="9"/>
  <c r="X381" i="9"/>
  <c r="Y381" i="9"/>
  <c r="Z381" i="9"/>
  <c r="X5" i="9"/>
  <c r="Y5" i="9"/>
  <c r="Z5" i="9"/>
  <c r="X392" i="9"/>
  <c r="Y392" i="9"/>
  <c r="Z392" i="9"/>
  <c r="X18" i="9"/>
  <c r="Y18" i="9"/>
  <c r="Z18" i="9"/>
  <c r="X17" i="9"/>
  <c r="Y17" i="9"/>
  <c r="Z17" i="9"/>
  <c r="X399" i="9"/>
  <c r="Y399" i="9"/>
  <c r="Z399" i="9"/>
  <c r="X52" i="9"/>
  <c r="Y52" i="9"/>
  <c r="Z52" i="9"/>
  <c r="X53" i="9"/>
  <c r="Y53" i="9"/>
  <c r="Z53" i="9"/>
  <c r="X54" i="9"/>
  <c r="Y54" i="9"/>
  <c r="Z54" i="9"/>
  <c r="X405" i="9"/>
  <c r="Y405" i="9"/>
  <c r="Z405" i="9"/>
  <c r="X7" i="9"/>
  <c r="Y7" i="9"/>
  <c r="Z7" i="9"/>
  <c r="X8" i="9"/>
  <c r="Y8" i="9"/>
  <c r="Z8" i="9"/>
  <c r="X66" i="9"/>
  <c r="Y66" i="9"/>
  <c r="Z66" i="9"/>
  <c r="X61" i="9"/>
  <c r="Y61" i="9"/>
  <c r="Z61" i="9"/>
  <c r="X58" i="9"/>
  <c r="Y58" i="9"/>
  <c r="Z58" i="9"/>
  <c r="X60" i="9"/>
  <c r="Y60" i="9"/>
  <c r="Z60" i="9"/>
  <c r="X10" i="9"/>
  <c r="Y10" i="9"/>
  <c r="Z10" i="9"/>
  <c r="X9" i="9"/>
  <c r="Y9" i="9"/>
  <c r="Z9" i="9"/>
  <c r="X11" i="9"/>
  <c r="Y11" i="9"/>
  <c r="Z11" i="9"/>
  <c r="X67" i="9"/>
  <c r="Y67" i="9"/>
  <c r="Z67" i="9"/>
  <c r="X13" i="9"/>
  <c r="Y13" i="9"/>
  <c r="Z13" i="9"/>
  <c r="X12" i="9"/>
  <c r="Y12" i="9"/>
  <c r="Z12" i="9"/>
  <c r="X14" i="9"/>
  <c r="Y14" i="9"/>
  <c r="Z14" i="9"/>
  <c r="X74" i="9"/>
  <c r="Y74" i="9"/>
  <c r="Z74" i="9"/>
  <c r="X19" i="9"/>
  <c r="Y19" i="9"/>
  <c r="Z19" i="9"/>
  <c r="X20" i="9"/>
  <c r="Y20" i="9"/>
  <c r="Z20" i="9"/>
  <c r="X72" i="9"/>
  <c r="Y72" i="9"/>
  <c r="Z72" i="9"/>
  <c r="X75" i="9"/>
  <c r="Y75" i="9"/>
  <c r="Z75" i="9"/>
  <c r="X294" i="9"/>
  <c r="Y294" i="9"/>
  <c r="Z294" i="9"/>
  <c r="X311" i="9"/>
  <c r="Y311" i="9"/>
  <c r="Z311" i="9"/>
  <c r="X312" i="9"/>
  <c r="Y312" i="9"/>
  <c r="Z312" i="9"/>
  <c r="X295" i="9"/>
  <c r="Y295" i="9"/>
  <c r="Z295" i="9"/>
  <c r="X296" i="9"/>
  <c r="Y296" i="9"/>
  <c r="Z296" i="9"/>
  <c r="X68" i="9"/>
  <c r="Y68" i="9"/>
  <c r="Z68" i="9"/>
  <c r="X22" i="9"/>
  <c r="Y22" i="9"/>
  <c r="Z22" i="9"/>
  <c r="X64" i="9"/>
  <c r="Y64" i="9"/>
  <c r="Z64" i="9"/>
  <c r="X63" i="9"/>
  <c r="Y63" i="9"/>
  <c r="Z63" i="9"/>
  <c r="X76" i="9"/>
  <c r="Y76" i="9"/>
  <c r="Z76" i="9"/>
  <c r="X21" i="9"/>
  <c r="Y21" i="9"/>
  <c r="Z21" i="9"/>
  <c r="X487" i="9"/>
  <c r="Y487" i="9"/>
  <c r="Z487" i="9"/>
  <c r="X56" i="9"/>
  <c r="Y56" i="9"/>
  <c r="Z56" i="9"/>
  <c r="X55" i="9"/>
  <c r="Y55" i="9"/>
  <c r="Z55" i="9"/>
  <c r="X57" i="9"/>
  <c r="Y57" i="9"/>
  <c r="Z57" i="9"/>
  <c r="X299" i="9"/>
  <c r="Y299" i="9"/>
  <c r="Z299" i="9"/>
  <c r="X300" i="9"/>
  <c r="Y300" i="9"/>
  <c r="Z300" i="9"/>
  <c r="X297" i="9"/>
  <c r="Y297" i="9"/>
  <c r="Z297" i="9"/>
  <c r="X303" i="9"/>
  <c r="Y303" i="9"/>
  <c r="Z303" i="9"/>
  <c r="X302" i="9"/>
  <c r="Y302" i="9"/>
  <c r="Z302" i="9"/>
  <c r="X301" i="9"/>
  <c r="Y301" i="9"/>
  <c r="Z301" i="9"/>
  <c r="X298" i="9"/>
  <c r="Y298" i="9"/>
  <c r="Z298" i="9"/>
  <c r="X315" i="9"/>
  <c r="Y315" i="9"/>
  <c r="Z315" i="9"/>
  <c r="X314" i="9"/>
  <c r="Y314" i="9"/>
  <c r="Z314" i="9"/>
  <c r="X313" i="9"/>
  <c r="Y313" i="9"/>
  <c r="Z313" i="9"/>
  <c r="X316" i="9"/>
  <c r="Y316" i="9"/>
  <c r="Z316" i="9"/>
  <c r="X317" i="9"/>
  <c r="Y317" i="9"/>
  <c r="Z317" i="9"/>
  <c r="X397" i="9"/>
  <c r="Y397" i="9"/>
  <c r="Z397" i="9"/>
  <c r="X398" i="9"/>
  <c r="Y398" i="9"/>
  <c r="Z398" i="9"/>
  <c r="X319" i="9"/>
  <c r="Y319" i="9"/>
  <c r="Z319" i="9"/>
  <c r="X318" i="9"/>
  <c r="Y318" i="9"/>
  <c r="Z318" i="9"/>
  <c r="X322" i="9"/>
  <c r="Y322" i="9"/>
  <c r="Z322" i="9"/>
  <c r="X325" i="9"/>
  <c r="Y325" i="9"/>
  <c r="Z325" i="9"/>
  <c r="X324" i="9"/>
  <c r="Y324" i="9"/>
  <c r="Z324" i="9"/>
  <c r="X326" i="9"/>
  <c r="Y326" i="9"/>
  <c r="Z326" i="9"/>
  <c r="X327" i="9"/>
  <c r="Y327" i="9"/>
  <c r="Z327" i="9"/>
  <c r="X329" i="9"/>
  <c r="Y329" i="9"/>
  <c r="Z329" i="9"/>
  <c r="X320" i="9"/>
  <c r="Y320" i="9"/>
  <c r="Z320" i="9"/>
  <c r="X323" i="9"/>
  <c r="Y323" i="9"/>
  <c r="Z323" i="9"/>
  <c r="X321" i="9"/>
  <c r="Y321" i="9"/>
  <c r="Z321" i="9"/>
  <c r="X328" i="9"/>
  <c r="Y328" i="9"/>
  <c r="Z328" i="9"/>
  <c r="X387" i="9"/>
  <c r="Y387" i="9"/>
  <c r="Z387" i="9"/>
  <c r="X388" i="9"/>
  <c r="Y388" i="9"/>
  <c r="Z388" i="9"/>
  <c r="X382" i="9"/>
  <c r="Y382" i="9"/>
  <c r="Z382" i="9"/>
  <c r="X383" i="9"/>
  <c r="Y383" i="9"/>
  <c r="Z383" i="9"/>
  <c r="X384" i="9"/>
  <c r="Y384" i="9"/>
  <c r="Z384" i="9"/>
  <c r="X385" i="9"/>
  <c r="Y385" i="9"/>
  <c r="Z385" i="9"/>
  <c r="X386" i="9"/>
  <c r="Y386" i="9"/>
  <c r="Z386" i="9"/>
  <c r="X391" i="9"/>
  <c r="Y391" i="9"/>
  <c r="Z391" i="9"/>
  <c r="X390" i="9"/>
  <c r="Y390" i="9"/>
  <c r="Z390" i="9"/>
  <c r="X389" i="9"/>
  <c r="Y389" i="9"/>
  <c r="Z389" i="9"/>
  <c r="X394" i="9"/>
  <c r="Y394" i="9"/>
  <c r="Z394" i="9"/>
  <c r="X393" i="9"/>
  <c r="Y393" i="9"/>
  <c r="Z393" i="9"/>
  <c r="X395" i="9"/>
  <c r="Y395" i="9"/>
  <c r="Z395" i="9"/>
  <c r="X396" i="9"/>
  <c r="Y396" i="9"/>
  <c r="Z396" i="9"/>
  <c r="X407" i="9"/>
  <c r="Y407" i="9"/>
  <c r="Z407" i="9"/>
  <c r="X408" i="9"/>
  <c r="Y408" i="9"/>
  <c r="Z408" i="9"/>
  <c r="X406" i="9"/>
  <c r="Y406" i="9"/>
  <c r="Z406" i="9"/>
  <c r="X304" i="9"/>
  <c r="Y304" i="9"/>
  <c r="Z304" i="9"/>
  <c r="X305" i="9"/>
  <c r="Y305" i="9"/>
  <c r="Z305" i="9"/>
  <c r="X44" i="9"/>
  <c r="Y44" i="9"/>
  <c r="Z44" i="9"/>
  <c r="X505" i="9"/>
  <c r="Y505" i="9"/>
  <c r="Z505" i="9"/>
  <c r="X506" i="9"/>
  <c r="Y506" i="9"/>
  <c r="Z506" i="9"/>
  <c r="X507" i="9"/>
  <c r="Y507" i="9"/>
  <c r="Z507" i="9"/>
  <c r="X23" i="9"/>
  <c r="Y23" i="9"/>
  <c r="Z23" i="9"/>
  <c r="X24" i="9"/>
  <c r="Y24" i="9"/>
  <c r="Z24" i="9"/>
  <c r="X25" i="9"/>
  <c r="Y25" i="9"/>
  <c r="Z25" i="9"/>
  <c r="X26" i="9"/>
  <c r="Y26" i="9"/>
  <c r="Z26" i="9"/>
  <c r="X29" i="9"/>
  <c r="Y29" i="9"/>
  <c r="Z29" i="9"/>
  <c r="X30" i="9"/>
  <c r="Y30" i="9"/>
  <c r="Z30" i="9"/>
  <c r="X31" i="9"/>
  <c r="Y31" i="9"/>
  <c r="Z31" i="9"/>
  <c r="X32" i="9"/>
  <c r="Y32" i="9"/>
  <c r="Z32" i="9"/>
  <c r="X33" i="9"/>
  <c r="Y33" i="9"/>
  <c r="Z33" i="9"/>
  <c r="X35" i="9"/>
  <c r="Y35" i="9"/>
  <c r="Z35" i="9"/>
  <c r="X36" i="9"/>
  <c r="Y36" i="9"/>
  <c r="Z36" i="9"/>
  <c r="X37" i="9"/>
  <c r="Y37" i="9"/>
  <c r="Z37" i="9"/>
  <c r="X34" i="9"/>
  <c r="Y34" i="9"/>
  <c r="Z34" i="9"/>
  <c r="X38" i="9"/>
  <c r="Y38" i="9"/>
  <c r="Z38" i="9"/>
  <c r="X40" i="9"/>
  <c r="Y40" i="9"/>
  <c r="Z40" i="9"/>
  <c r="X42" i="9"/>
  <c r="Y42" i="9"/>
  <c r="Z42" i="9"/>
  <c r="X43" i="9"/>
  <c r="Y43" i="9"/>
  <c r="Z43" i="9"/>
  <c r="X49" i="9"/>
  <c r="Y49" i="9"/>
  <c r="Z49" i="9"/>
  <c r="X48" i="9"/>
  <c r="Y48" i="9"/>
  <c r="Z48" i="9"/>
  <c r="X47" i="9"/>
  <c r="Y47" i="9"/>
  <c r="Z47" i="9"/>
  <c r="X50" i="9"/>
  <c r="Y50" i="9"/>
  <c r="Z50" i="9"/>
  <c r="X46" i="9"/>
  <c r="Y46" i="9"/>
  <c r="Z46" i="9"/>
  <c r="X45" i="9"/>
  <c r="Y45" i="9"/>
  <c r="Z45" i="9"/>
  <c r="X293" i="9"/>
  <c r="Y293" i="9"/>
  <c r="Z293" i="9"/>
  <c r="X261" i="9"/>
  <c r="Y261" i="9"/>
  <c r="Z261" i="9"/>
  <c r="X427" i="9"/>
  <c r="Y427" i="9"/>
  <c r="Z427" i="9"/>
  <c r="X285" i="9"/>
  <c r="Y285" i="9"/>
  <c r="Z285" i="9"/>
  <c r="X286" i="9"/>
  <c r="Y286" i="9"/>
  <c r="Z286" i="9"/>
  <c r="X282" i="9"/>
  <c r="Y282" i="9"/>
  <c r="Z282" i="9"/>
  <c r="X283" i="9"/>
  <c r="Y283" i="9"/>
  <c r="Z283" i="9"/>
  <c r="X284" i="9"/>
  <c r="Y284" i="9"/>
  <c r="Z284" i="9"/>
  <c r="X288" i="9"/>
  <c r="Y288" i="9"/>
  <c r="Z288" i="9"/>
  <c r="X290" i="9"/>
  <c r="Y290" i="9"/>
  <c r="Z290" i="9"/>
  <c r="X289" i="9"/>
  <c r="Y289" i="9"/>
  <c r="Z289" i="9"/>
  <c r="X292" i="9"/>
  <c r="Y292" i="9"/>
  <c r="Z292" i="9"/>
  <c r="X409" i="9"/>
  <c r="Y409" i="9"/>
  <c r="Z409" i="9"/>
  <c r="X410" i="9"/>
  <c r="Y410" i="9"/>
  <c r="Z410" i="9"/>
  <c r="X180" i="9"/>
  <c r="Y180" i="9"/>
  <c r="Z180" i="9"/>
  <c r="X411" i="9"/>
  <c r="Y411" i="9"/>
  <c r="Z411" i="9"/>
  <c r="X412" i="9"/>
  <c r="Y412" i="9"/>
  <c r="Z412" i="9"/>
  <c r="X132" i="9"/>
  <c r="Y132" i="9"/>
  <c r="Z132" i="9"/>
  <c r="X148" i="9"/>
  <c r="Y148" i="9"/>
  <c r="Z148" i="9"/>
  <c r="X413" i="9"/>
  <c r="Y413" i="9"/>
  <c r="Z413" i="9"/>
  <c r="X414" i="9"/>
  <c r="Y414" i="9"/>
  <c r="Z414" i="9"/>
  <c r="X153" i="9"/>
  <c r="Y153" i="9"/>
  <c r="Z153" i="9"/>
  <c r="X154" i="9"/>
  <c r="Y154" i="9"/>
  <c r="Z154" i="9"/>
  <c r="X159" i="9"/>
  <c r="Y159" i="9"/>
  <c r="Z159" i="9"/>
  <c r="X3" i="9"/>
  <c r="Y3" i="9"/>
  <c r="Z3" i="9"/>
  <c r="X415" i="9"/>
  <c r="Y415" i="9"/>
  <c r="Z415" i="9"/>
  <c r="X417" i="9"/>
  <c r="Y417" i="9"/>
  <c r="Z417" i="9"/>
  <c r="X418" i="9"/>
  <c r="Y418" i="9"/>
  <c r="Z418" i="9"/>
  <c r="X419" i="9"/>
  <c r="Y419" i="9"/>
  <c r="Z419" i="9"/>
  <c r="X39" i="9"/>
  <c r="Y39" i="9"/>
  <c r="Z39" i="9"/>
  <c r="X420" i="9"/>
  <c r="Y420" i="9"/>
  <c r="Z420" i="9"/>
  <c r="X421" i="9"/>
  <c r="Y421" i="9"/>
  <c r="Z421" i="9"/>
  <c r="X422" i="9"/>
  <c r="Y422" i="9"/>
  <c r="Z422" i="9"/>
  <c r="X197" i="9"/>
  <c r="Y197" i="9"/>
  <c r="Z197" i="9"/>
  <c r="X198" i="9"/>
  <c r="Y198" i="9"/>
  <c r="Z198" i="9"/>
  <c r="X199" i="9"/>
  <c r="Y199" i="9"/>
  <c r="Z199" i="9"/>
  <c r="X201" i="9"/>
  <c r="Y201" i="9"/>
  <c r="Z201" i="9"/>
  <c r="X262" i="9"/>
  <c r="Y262" i="9"/>
  <c r="Z262" i="9"/>
  <c r="X423" i="9"/>
  <c r="Y423" i="9"/>
  <c r="Z423" i="9"/>
  <c r="X205" i="9"/>
  <c r="Y205" i="9"/>
  <c r="Z205" i="9"/>
  <c r="X207" i="9"/>
  <c r="Y207" i="9"/>
  <c r="Z207" i="9"/>
  <c r="X210" i="9"/>
  <c r="Y210" i="9"/>
  <c r="Z210" i="9"/>
  <c r="X211" i="9"/>
  <c r="Y211" i="9"/>
  <c r="Z211" i="9"/>
  <c r="X424" i="9"/>
  <c r="Y424" i="9"/>
  <c r="Z424" i="9"/>
  <c r="X309" i="9"/>
  <c r="Y309" i="9"/>
  <c r="Z309" i="9"/>
  <c r="X425" i="9"/>
  <c r="Y425" i="9"/>
  <c r="Z425" i="9"/>
  <c r="X426" i="9"/>
  <c r="Y426" i="9"/>
  <c r="Z426" i="9"/>
  <c r="X263" i="9"/>
  <c r="Y263" i="9"/>
  <c r="Z263" i="9"/>
  <c r="X220" i="9"/>
  <c r="Y220" i="9"/>
  <c r="Z220" i="9"/>
  <c r="X178" i="9"/>
  <c r="Y178" i="9"/>
  <c r="Z178" i="9"/>
  <c r="X221" i="9"/>
  <c r="Y221" i="9"/>
  <c r="Z221" i="9"/>
  <c r="X222" i="9"/>
  <c r="Y222" i="9"/>
  <c r="Z222" i="9"/>
  <c r="X223" i="9"/>
  <c r="Y223" i="9"/>
  <c r="Z223" i="9"/>
  <c r="X224" i="9"/>
  <c r="Y224" i="9"/>
  <c r="Z224" i="9"/>
  <c r="X225" i="9"/>
  <c r="Y225" i="9"/>
  <c r="Z225" i="9"/>
  <c r="X226" i="9"/>
  <c r="Y226" i="9"/>
  <c r="Z226" i="9"/>
  <c r="X107" i="9"/>
  <c r="Y107" i="9"/>
  <c r="Z107" i="9"/>
  <c r="X108" i="9"/>
  <c r="Y108" i="9"/>
  <c r="Z108" i="9"/>
  <c r="X109" i="9"/>
  <c r="Y109" i="9"/>
  <c r="Z109" i="9"/>
  <c r="X253" i="9"/>
  <c r="Y253" i="9"/>
  <c r="Z253" i="9"/>
  <c r="X112" i="9"/>
  <c r="Y112" i="9"/>
  <c r="Z112" i="9"/>
  <c r="X110" i="9"/>
  <c r="Y110" i="9"/>
  <c r="Z110" i="9"/>
  <c r="X111" i="9"/>
  <c r="Y111" i="9"/>
  <c r="Z111" i="9"/>
  <c r="X254" i="9"/>
  <c r="Y254" i="9"/>
  <c r="Z254" i="9"/>
  <c r="X235" i="9"/>
  <c r="Y235" i="9"/>
  <c r="Z235" i="9"/>
  <c r="X234" i="9"/>
  <c r="Y234" i="9"/>
  <c r="Z234" i="9"/>
  <c r="X236" i="9"/>
  <c r="Y236" i="9"/>
  <c r="Z236" i="9"/>
  <c r="X237" i="9"/>
  <c r="Y237" i="9"/>
  <c r="Z237" i="9"/>
  <c r="X240" i="9"/>
  <c r="Y240" i="9"/>
  <c r="Z240" i="9"/>
  <c r="X239" i="9"/>
  <c r="Y239" i="9"/>
  <c r="Z239" i="9"/>
  <c r="X242" i="9"/>
  <c r="Y242" i="9"/>
  <c r="Z242" i="9"/>
  <c r="X243" i="9"/>
  <c r="Y243" i="9"/>
  <c r="Z243" i="9"/>
  <c r="X70" i="9"/>
  <c r="Y70" i="9"/>
  <c r="Z70" i="9"/>
  <c r="X71" i="9"/>
  <c r="Y71" i="9"/>
  <c r="Z71" i="9"/>
  <c r="X246" i="9"/>
  <c r="Y246" i="9"/>
  <c r="Z246" i="9"/>
  <c r="X244" i="9"/>
  <c r="Y244" i="9"/>
  <c r="Z244" i="9"/>
  <c r="X250" i="9"/>
  <c r="Y250" i="9"/>
  <c r="Z250" i="9"/>
  <c r="X247" i="9"/>
  <c r="Y247" i="9"/>
  <c r="Z247" i="9"/>
  <c r="X133" i="9"/>
  <c r="Y133" i="9"/>
  <c r="Z133" i="9"/>
  <c r="X251" i="9"/>
  <c r="Y251" i="9"/>
  <c r="Z251" i="9"/>
  <c r="X259" i="9"/>
  <c r="Y259" i="9"/>
  <c r="Z259" i="9"/>
  <c r="X134" i="9"/>
  <c r="Y134" i="9"/>
  <c r="Z134" i="9"/>
  <c r="X252" i="9"/>
  <c r="Y252" i="9"/>
  <c r="Z252" i="9"/>
  <c r="X260" i="9"/>
  <c r="Y260" i="9"/>
  <c r="Z260" i="9"/>
  <c r="X255" i="9"/>
  <c r="Y255" i="9"/>
  <c r="Z255" i="9"/>
  <c r="X256" i="9"/>
  <c r="Y256" i="9"/>
  <c r="Z256" i="9"/>
  <c r="X257" i="9"/>
  <c r="Y257" i="9"/>
  <c r="Z257" i="9"/>
  <c r="X258" i="9"/>
  <c r="Y258" i="9"/>
  <c r="Z258" i="9"/>
  <c r="X280" i="9"/>
  <c r="Y280" i="9"/>
  <c r="Z280" i="9"/>
  <c r="X281" i="9"/>
  <c r="Y281" i="9"/>
  <c r="Z281" i="9"/>
  <c r="X181" i="9"/>
  <c r="Y181" i="9"/>
  <c r="Z181" i="9"/>
  <c r="X142" i="9"/>
  <c r="Y142" i="9"/>
  <c r="Z142" i="9"/>
  <c r="X140" i="9"/>
  <c r="Y140" i="9"/>
  <c r="Z140" i="9"/>
  <c r="X186" i="9"/>
  <c r="Y186" i="9"/>
  <c r="Z186" i="9"/>
  <c r="X177" i="9"/>
  <c r="Y177" i="9"/>
  <c r="Z177" i="9"/>
  <c r="X179" i="9"/>
  <c r="Y179" i="9"/>
  <c r="Z179" i="9"/>
  <c r="X187" i="9"/>
  <c r="Y187" i="9"/>
  <c r="Z187" i="9"/>
  <c r="X188" i="9"/>
  <c r="Y188" i="9"/>
  <c r="Z188" i="9"/>
  <c r="X200" i="9"/>
  <c r="Y200" i="9"/>
  <c r="Z200" i="9"/>
  <c r="X264" i="9"/>
  <c r="Y264" i="9"/>
  <c r="Z264" i="9"/>
  <c r="X81" i="9"/>
  <c r="Y81" i="9"/>
  <c r="Z81" i="9"/>
  <c r="X82" i="9"/>
  <c r="Y82" i="9"/>
  <c r="Z82" i="9"/>
  <c r="X83" i="9"/>
  <c r="Y83" i="9"/>
  <c r="Z83" i="9"/>
  <c r="X84" i="9"/>
  <c r="Y84" i="9"/>
  <c r="Z84" i="9"/>
  <c r="X85" i="9"/>
  <c r="Y85" i="9"/>
  <c r="Z85" i="9"/>
  <c r="X86" i="9"/>
  <c r="Y86" i="9"/>
  <c r="Z86" i="9"/>
  <c r="X91" i="9"/>
  <c r="Y91" i="9"/>
  <c r="Z91" i="9"/>
  <c r="X95" i="9"/>
  <c r="Y95" i="9"/>
  <c r="Z95" i="9"/>
  <c r="X96" i="9"/>
  <c r="Y96" i="9"/>
  <c r="Z96" i="9"/>
  <c r="X97" i="9"/>
  <c r="Y97" i="9"/>
  <c r="Z97" i="9"/>
  <c r="X98" i="9"/>
  <c r="Y98" i="9"/>
  <c r="Z98" i="9"/>
  <c r="X90" i="9"/>
  <c r="Y90" i="9"/>
  <c r="Z90" i="9"/>
  <c r="X99" i="9"/>
  <c r="Y99" i="9"/>
  <c r="Z99" i="9"/>
  <c r="X100" i="9"/>
  <c r="Y100" i="9"/>
  <c r="Z100" i="9"/>
  <c r="X89" i="9"/>
  <c r="Y89" i="9"/>
  <c r="Z89" i="9"/>
  <c r="X202" i="9"/>
  <c r="Y202" i="9"/>
  <c r="Z202" i="9"/>
  <c r="X182" i="9"/>
  <c r="Y182" i="9"/>
  <c r="Z182" i="9"/>
  <c r="X135" i="9"/>
  <c r="Y135" i="9"/>
  <c r="Z135" i="9"/>
  <c r="X136" i="9"/>
  <c r="Y136" i="9"/>
  <c r="Z136" i="9"/>
  <c r="X137" i="9"/>
  <c r="Y137" i="9"/>
  <c r="Z137" i="9"/>
  <c r="X138" i="9"/>
  <c r="Y138" i="9"/>
  <c r="Z138" i="9"/>
  <c r="X139" i="9"/>
  <c r="Y139" i="9"/>
  <c r="Z139" i="9"/>
  <c r="X141" i="9"/>
  <c r="Y141" i="9"/>
  <c r="Z141" i="9"/>
  <c r="X144" i="9"/>
  <c r="Y144" i="9"/>
  <c r="Z144" i="9"/>
  <c r="X145" i="9"/>
  <c r="Y145" i="9"/>
  <c r="Z145" i="9"/>
  <c r="X146" i="9"/>
  <c r="Y146" i="9"/>
  <c r="Z146" i="9"/>
  <c r="X147" i="9"/>
  <c r="Y147" i="9"/>
  <c r="Z147" i="9"/>
  <c r="X149" i="9"/>
  <c r="Y149" i="9"/>
  <c r="Z149" i="9"/>
  <c r="X214" i="9"/>
  <c r="Y214" i="9"/>
  <c r="Z214" i="9"/>
  <c r="X150" i="9"/>
  <c r="Y150" i="9"/>
  <c r="Z150" i="9"/>
  <c r="X151" i="9"/>
  <c r="Y151" i="9"/>
  <c r="Z151" i="9"/>
  <c r="X152" i="9"/>
  <c r="Y152" i="9"/>
  <c r="Z152" i="9"/>
  <c r="X155" i="9"/>
  <c r="Y155" i="9"/>
  <c r="Z155" i="9"/>
  <c r="X156" i="9"/>
  <c r="Y156" i="9"/>
  <c r="Z156" i="9"/>
  <c r="X157" i="9"/>
  <c r="Y157" i="9"/>
  <c r="Z157" i="9"/>
  <c r="X160" i="9"/>
  <c r="Y160" i="9"/>
  <c r="Z160" i="9"/>
  <c r="X161" i="9"/>
  <c r="Y161" i="9"/>
  <c r="Z161" i="9"/>
  <c r="X189" i="9"/>
  <c r="Y189" i="9"/>
  <c r="Z189" i="9"/>
  <c r="X162" i="9"/>
  <c r="Y162" i="9"/>
  <c r="Z162" i="9"/>
  <c r="X163" i="9"/>
  <c r="Y163" i="9"/>
  <c r="Z163" i="9"/>
  <c r="X164" i="9"/>
  <c r="Y164" i="9"/>
  <c r="Z164" i="9"/>
  <c r="X165" i="9"/>
  <c r="Y165" i="9"/>
  <c r="Z165" i="9"/>
  <c r="X166" i="9"/>
  <c r="Y166" i="9"/>
  <c r="Z166" i="9"/>
  <c r="X167" i="9"/>
  <c r="Y167" i="9"/>
  <c r="Z167" i="9"/>
  <c r="X168" i="9"/>
  <c r="Y168" i="9"/>
  <c r="Z168" i="9"/>
  <c r="X170" i="9"/>
  <c r="Y170" i="9"/>
  <c r="Z170" i="9"/>
  <c r="X172" i="9"/>
  <c r="Y172" i="9"/>
  <c r="Z172" i="9"/>
  <c r="X171" i="9"/>
  <c r="Y171" i="9"/>
  <c r="Z171" i="9"/>
  <c r="X173" i="9"/>
  <c r="Y173" i="9"/>
  <c r="Z173" i="9"/>
  <c r="X174" i="9"/>
  <c r="Y174" i="9"/>
  <c r="Z174" i="9"/>
  <c r="X175" i="9"/>
  <c r="Y175" i="9"/>
  <c r="Z175" i="9"/>
  <c r="X176" i="9"/>
  <c r="Y176" i="9"/>
  <c r="Z176" i="9"/>
  <c r="X183" i="9"/>
  <c r="Y183" i="9"/>
  <c r="Z183" i="9"/>
  <c r="X184" i="9"/>
  <c r="Y184" i="9"/>
  <c r="Z184" i="9"/>
  <c r="X217" i="9"/>
  <c r="Y217" i="9"/>
  <c r="Z217" i="9"/>
  <c r="X190" i="9"/>
  <c r="Y190" i="9"/>
  <c r="Z190" i="9"/>
  <c r="X191" i="9"/>
  <c r="Y191" i="9"/>
  <c r="Z191" i="9"/>
  <c r="X193" i="9"/>
  <c r="Y193" i="9"/>
  <c r="Z193" i="9"/>
  <c r="X194" i="9"/>
  <c r="Y194" i="9"/>
  <c r="Z194" i="9"/>
  <c r="X195" i="9"/>
  <c r="Y195" i="9"/>
  <c r="Z195" i="9"/>
  <c r="X196" i="9"/>
  <c r="Y196" i="9"/>
  <c r="Z196" i="9"/>
  <c r="X218" i="9"/>
  <c r="Y218" i="9"/>
  <c r="Z218" i="9"/>
  <c r="X203" i="9"/>
  <c r="Y203" i="9"/>
  <c r="Z203" i="9"/>
  <c r="X204" i="9"/>
  <c r="Y204" i="9"/>
  <c r="Z204" i="9"/>
  <c r="X206" i="9"/>
  <c r="Y206" i="9"/>
  <c r="Z206" i="9"/>
  <c r="X209" i="9"/>
  <c r="Y209" i="9"/>
  <c r="Z209" i="9"/>
  <c r="X208" i="9"/>
  <c r="Y208" i="9"/>
  <c r="Z208" i="9"/>
  <c r="X212" i="9"/>
  <c r="Y212" i="9"/>
  <c r="Z212" i="9"/>
  <c r="X216" i="9"/>
  <c r="Y216" i="9"/>
  <c r="Z216" i="9"/>
  <c r="X227" i="9"/>
  <c r="Y227" i="9"/>
  <c r="Z227" i="9"/>
  <c r="X228" i="9"/>
  <c r="Y228" i="9"/>
  <c r="Z228" i="9"/>
  <c r="X219" i="9"/>
  <c r="Y219" i="9"/>
  <c r="Z219" i="9"/>
  <c r="X229" i="9"/>
  <c r="Y229" i="9"/>
  <c r="Z229" i="9"/>
  <c r="X230" i="9"/>
  <c r="Y230" i="9"/>
  <c r="Z230" i="9"/>
  <c r="X231" i="9"/>
  <c r="Y231" i="9"/>
  <c r="Z231" i="9"/>
  <c r="X130" i="9"/>
  <c r="Y130" i="9"/>
  <c r="Z130" i="9"/>
  <c r="X131" i="9"/>
  <c r="Y131" i="9"/>
  <c r="Z131" i="9"/>
  <c r="X117" i="9"/>
  <c r="Y117" i="9"/>
  <c r="Z117" i="9"/>
  <c r="X118" i="9"/>
  <c r="Y118" i="9"/>
  <c r="Z118" i="9"/>
  <c r="X119" i="9"/>
  <c r="Y119" i="9"/>
  <c r="Z119" i="9"/>
  <c r="X120" i="9"/>
  <c r="Y120" i="9"/>
  <c r="Z120" i="9"/>
  <c r="X124" i="9"/>
  <c r="Y124" i="9"/>
  <c r="Z124" i="9"/>
  <c r="X121" i="9"/>
  <c r="Y121" i="9"/>
  <c r="Z121" i="9"/>
  <c r="X125" i="9"/>
  <c r="Y125" i="9"/>
  <c r="Z125" i="9"/>
  <c r="X122" i="9"/>
  <c r="Y122" i="9"/>
  <c r="Z122" i="9"/>
  <c r="X307" i="9"/>
  <c r="Y307" i="9"/>
  <c r="Z307" i="9"/>
  <c r="X101" i="9"/>
  <c r="Y101" i="9"/>
  <c r="Z101" i="9"/>
  <c r="X308" i="9"/>
  <c r="Y308" i="9"/>
  <c r="Z308" i="9"/>
  <c r="X105" i="9"/>
  <c r="Y105" i="9"/>
  <c r="Z105" i="9"/>
  <c r="X104" i="9"/>
  <c r="Y104" i="9"/>
  <c r="Z104" i="9"/>
  <c r="X106" i="9"/>
  <c r="Y106" i="9"/>
  <c r="Z106" i="9"/>
  <c r="X126" i="9"/>
  <c r="Y126" i="9"/>
  <c r="Z126" i="9"/>
  <c r="X128" i="9"/>
  <c r="Y128" i="9"/>
  <c r="Z128" i="9"/>
  <c r="X127" i="9"/>
  <c r="Y127" i="9"/>
  <c r="Z127" i="9"/>
  <c r="X129" i="9"/>
  <c r="Y129" i="9"/>
  <c r="Z129" i="9"/>
  <c r="X306" i="9"/>
  <c r="Y306" i="9"/>
  <c r="Z306" i="9"/>
  <c r="X169" i="9"/>
  <c r="Y169" i="9"/>
  <c r="Z169" i="9"/>
  <c r="X416" i="9"/>
  <c r="Y416" i="9"/>
  <c r="Z416" i="9"/>
  <c r="X185" i="9"/>
  <c r="Y185" i="9"/>
  <c r="Z185" i="9"/>
  <c r="X143" i="9"/>
  <c r="Y143" i="9"/>
  <c r="Z143" i="9"/>
  <c r="X4" i="9"/>
  <c r="Y4" i="9"/>
  <c r="Z4" i="9"/>
  <c r="X213" i="9"/>
  <c r="Y213" i="9"/>
  <c r="Z213" i="9"/>
  <c r="X310" i="9"/>
  <c r="Y310" i="9"/>
  <c r="Z310" i="9"/>
  <c r="X116" i="9"/>
  <c r="Y116" i="9"/>
  <c r="Z116" i="9"/>
  <c r="X78" i="9"/>
  <c r="Y78" i="9"/>
  <c r="Z78" i="9"/>
  <c r="X94" i="9"/>
  <c r="Y94" i="9"/>
  <c r="Z94" i="9"/>
  <c r="X79" i="9"/>
  <c r="Y79" i="9"/>
  <c r="Z79" i="9"/>
  <c r="X80" i="9"/>
  <c r="Y80" i="9"/>
  <c r="Z80" i="9"/>
  <c r="X265" i="9"/>
  <c r="Y265" i="9"/>
  <c r="Z265" i="9"/>
  <c r="X266" i="9"/>
  <c r="Y266" i="9"/>
  <c r="Z266" i="9"/>
  <c r="X267" i="9"/>
  <c r="Y267" i="9"/>
  <c r="Z267" i="9"/>
  <c r="X268" i="9"/>
  <c r="Y268" i="9"/>
  <c r="Z268" i="9"/>
  <c r="X269" i="9"/>
  <c r="Y269" i="9"/>
  <c r="Z269" i="9"/>
  <c r="X270" i="9"/>
  <c r="Y270" i="9"/>
  <c r="Z270" i="9"/>
  <c r="X41" i="9"/>
  <c r="Y41" i="9"/>
  <c r="Z41" i="9"/>
  <c r="X272" i="9"/>
  <c r="Y272" i="9"/>
  <c r="Z272" i="9"/>
  <c r="X273" i="9"/>
  <c r="Y273" i="9"/>
  <c r="Z273" i="9"/>
  <c r="X271" i="9"/>
  <c r="Y271" i="9"/>
  <c r="Z271" i="9"/>
  <c r="X275" i="9"/>
  <c r="Y275" i="9"/>
  <c r="Z275" i="9"/>
  <c r="X276" i="9"/>
  <c r="Y276" i="9"/>
  <c r="Z276" i="9"/>
  <c r="X277" i="9"/>
  <c r="Y277" i="9"/>
  <c r="Z277" i="9"/>
  <c r="X278" i="9"/>
  <c r="Y278" i="9"/>
  <c r="Z278" i="9"/>
  <c r="X279" i="9"/>
  <c r="Y279" i="9"/>
  <c r="Z279" i="9"/>
  <c r="X445" i="9"/>
  <c r="Y445" i="9"/>
  <c r="Z445" i="9"/>
  <c r="X446" i="9"/>
  <c r="Y446" i="9"/>
  <c r="Z446" i="9"/>
  <c r="X461" i="9"/>
  <c r="Y461" i="9"/>
  <c r="Z461" i="9"/>
  <c r="X464" i="9"/>
  <c r="Y464" i="9"/>
  <c r="Z464" i="9"/>
  <c r="X466" i="9"/>
  <c r="Y466" i="9"/>
  <c r="Z466" i="9"/>
  <c r="X467" i="9"/>
  <c r="Y467" i="9"/>
  <c r="Z467" i="9"/>
  <c r="X468" i="9"/>
  <c r="Y468" i="9"/>
  <c r="Z468" i="9"/>
  <c r="X6" i="9"/>
  <c r="Y6" i="9"/>
  <c r="Z6" i="9"/>
  <c r="X474" i="9"/>
  <c r="Y474" i="9"/>
  <c r="Z474" i="9"/>
  <c r="X477" i="9"/>
  <c r="Y477" i="9"/>
  <c r="Z477" i="9"/>
  <c r="X478" i="9"/>
  <c r="Y478" i="9"/>
  <c r="Z478" i="9"/>
  <c r="X488" i="9"/>
  <c r="Y488" i="9"/>
  <c r="Z488" i="9"/>
  <c r="X490" i="9"/>
  <c r="Y490" i="9"/>
  <c r="Z490" i="9"/>
  <c r="X491" i="9"/>
  <c r="Y491" i="9"/>
  <c r="Z491" i="9"/>
  <c r="X492" i="9"/>
  <c r="Y492" i="9"/>
  <c r="Z492" i="9"/>
  <c r="X493" i="9"/>
  <c r="Y493" i="9"/>
  <c r="Z493" i="9"/>
  <c r="X494" i="9"/>
  <c r="Y494" i="9"/>
  <c r="Z494" i="9"/>
  <c r="X403" i="9"/>
  <c r="Y403" i="9"/>
  <c r="Z403" i="9"/>
  <c r="X501" i="9"/>
  <c r="Y501" i="9"/>
  <c r="Z501" i="9"/>
  <c r="X502" i="9"/>
  <c r="Y502" i="9"/>
  <c r="Z502" i="9"/>
  <c r="X447" i="9"/>
  <c r="Y447" i="9"/>
  <c r="Z447" i="9"/>
  <c r="X476" i="9"/>
  <c r="Y476" i="9"/>
  <c r="Z476" i="9"/>
  <c r="X503" i="9"/>
  <c r="Y503" i="9"/>
  <c r="Z503" i="9"/>
  <c r="X428" i="9"/>
  <c r="Y428" i="9"/>
  <c r="Z428" i="9"/>
  <c r="X462" i="9"/>
  <c r="Y462" i="9"/>
  <c r="Z462" i="9"/>
  <c r="X463" i="9"/>
  <c r="Y463" i="9"/>
  <c r="Z463" i="9"/>
  <c r="X465" i="9"/>
  <c r="Y465" i="9"/>
  <c r="Z465" i="9"/>
  <c r="X469" i="9"/>
  <c r="Y469" i="9"/>
  <c r="Z469" i="9"/>
  <c r="X470" i="9"/>
  <c r="Y470" i="9"/>
  <c r="Z470" i="9"/>
  <c r="X471" i="9"/>
  <c r="Y471" i="9"/>
  <c r="Z471" i="9"/>
  <c r="X472" i="9"/>
  <c r="Y472" i="9"/>
  <c r="Z472" i="9"/>
  <c r="Z504" i="9"/>
  <c r="Y504" i="9"/>
  <c r="X504" i="9"/>
  <c r="I69" i="5"/>
  <c r="J100" i="3"/>
  <c r="J101" i="3"/>
  <c r="J102" i="3"/>
  <c r="J103" i="3"/>
  <c r="J104" i="3"/>
  <c r="J105" i="3"/>
  <c r="J106" i="3"/>
  <c r="J107" i="3"/>
  <c r="J108" i="3"/>
  <c r="J99" i="3"/>
  <c r="J98" i="3"/>
  <c r="J97" i="3"/>
  <c r="J96" i="3"/>
  <c r="J95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57" i="3"/>
  <c r="J56" i="3"/>
  <c r="J55" i="3"/>
  <c r="J54" i="3"/>
  <c r="J53" i="3"/>
  <c r="J52" i="3"/>
  <c r="J51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27" i="3"/>
  <c r="J24" i="3"/>
  <c r="J25" i="3"/>
  <c r="J26" i="3"/>
  <c r="J23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" i="3"/>
  <c r="E81" i="2"/>
  <c r="E164" i="2"/>
  <c r="E121" i="2"/>
  <c r="E49" i="2"/>
  <c r="E27" i="2"/>
  <c r="E50" i="2"/>
  <c r="E28" i="2"/>
  <c r="E29" i="2"/>
  <c r="E82" i="2"/>
  <c r="E154" i="2"/>
  <c r="E51" i="2"/>
  <c r="E30" i="2"/>
  <c r="E52" i="2"/>
  <c r="E165" i="2"/>
  <c r="E53" i="2"/>
  <c r="E31" i="2"/>
  <c r="E155" i="2"/>
  <c r="E83" i="2"/>
  <c r="E152" i="2"/>
  <c r="E42" i="2"/>
  <c r="E122" i="2"/>
  <c r="E84" i="2"/>
  <c r="E85" i="2"/>
  <c r="E86" i="2"/>
  <c r="E87" i="2"/>
  <c r="E88" i="2"/>
  <c r="E89" i="2"/>
  <c r="E90" i="2"/>
  <c r="E91" i="2"/>
  <c r="E1" i="2"/>
  <c r="E20" i="2"/>
  <c r="E2" i="2"/>
  <c r="E3" i="2"/>
  <c r="E92" i="2"/>
  <c r="E93" i="2"/>
  <c r="E160" i="2"/>
  <c r="E54" i="2"/>
  <c r="E94" i="2"/>
  <c r="E95" i="2"/>
  <c r="E96" i="2"/>
  <c r="E97" i="2"/>
  <c r="E98" i="2"/>
  <c r="E4" i="2"/>
  <c r="E21" i="2"/>
  <c r="E32" i="2"/>
  <c r="E33" i="2"/>
  <c r="E123" i="2"/>
  <c r="E5" i="2"/>
  <c r="E41" i="2"/>
  <c r="E124" i="2"/>
  <c r="E125" i="2"/>
  <c r="E146" i="2"/>
  <c r="E147" i="2"/>
  <c r="E17" i="2"/>
  <c r="E126" i="2"/>
  <c r="E6" i="2"/>
  <c r="E7" i="2"/>
  <c r="E55" i="2"/>
  <c r="E45" i="2"/>
  <c r="E56" i="2"/>
  <c r="E34" i="2"/>
  <c r="E8" i="2"/>
  <c r="E9" i="2"/>
  <c r="E23" i="2"/>
  <c r="E18" i="2"/>
  <c r="E19" i="2"/>
  <c r="E148" i="2"/>
  <c r="E127" i="2"/>
  <c r="E128" i="2"/>
  <c r="E99" i="2"/>
  <c r="E100" i="2"/>
  <c r="E101" i="2"/>
  <c r="E156" i="2"/>
  <c r="E57" i="2"/>
  <c r="E145" i="2"/>
  <c r="E10" i="2"/>
  <c r="E58" i="2"/>
  <c r="E129" i="2"/>
  <c r="E170" i="2"/>
  <c r="E59" i="2"/>
  <c r="E166" i="2"/>
  <c r="E161" i="2"/>
  <c r="E169" i="2"/>
  <c r="E102" i="2"/>
  <c r="E103" i="2"/>
  <c r="E171" i="2"/>
  <c r="E104" i="2"/>
  <c r="E60" i="2"/>
  <c r="E35" i="2"/>
  <c r="E105" i="2"/>
  <c r="E106" i="2"/>
  <c r="E172" i="2"/>
  <c r="E61" i="2"/>
  <c r="E62" i="2"/>
  <c r="E130" i="2"/>
  <c r="E11" i="2"/>
  <c r="E22" i="2"/>
  <c r="E173" i="2"/>
  <c r="E174" i="2"/>
  <c r="E36" i="2"/>
  <c r="E131" i="2"/>
  <c r="E63" i="2"/>
  <c r="E149" i="2"/>
  <c r="E150" i="2"/>
  <c r="E151" i="2"/>
  <c r="E132" i="2"/>
  <c r="E37" i="2"/>
  <c r="E38" i="2"/>
  <c r="E133" i="2"/>
  <c r="E134" i="2"/>
  <c r="E12" i="2"/>
  <c r="E64" i="2"/>
  <c r="E107" i="2"/>
  <c r="E175" i="2"/>
  <c r="E135" i="2"/>
  <c r="E178" i="2"/>
  <c r="E136" i="2"/>
  <c r="E108" i="2"/>
  <c r="E179" i="2"/>
  <c r="E109" i="2"/>
  <c r="E110" i="2"/>
  <c r="E24" i="2"/>
  <c r="E111" i="2"/>
  <c r="E180" i="2"/>
  <c r="E137" i="2"/>
  <c r="E13" i="2"/>
  <c r="E25" i="2"/>
  <c r="E176" i="2"/>
  <c r="E65" i="2"/>
  <c r="E138" i="2"/>
  <c r="E181" i="2"/>
  <c r="E14" i="2"/>
  <c r="E112" i="2"/>
  <c r="E113" i="2"/>
  <c r="E66" i="2"/>
  <c r="E157" i="2"/>
  <c r="E39" i="2"/>
  <c r="E139" i="2"/>
  <c r="E140" i="2"/>
  <c r="E15" i="2"/>
  <c r="E16" i="2"/>
  <c r="E67" i="2"/>
  <c r="E141" i="2"/>
  <c r="E114" i="2"/>
  <c r="E115" i="2"/>
  <c r="E162" i="2"/>
  <c r="E177" i="2"/>
  <c r="E116" i="2"/>
  <c r="E158" i="2"/>
  <c r="E117" i="2"/>
  <c r="E76" i="2"/>
  <c r="E167" i="2"/>
  <c r="E153" i="2"/>
  <c r="E40" i="2"/>
  <c r="E77" i="2"/>
  <c r="E142" i="2"/>
  <c r="E143" i="2"/>
  <c r="E43" i="2"/>
  <c r="E159" i="2"/>
  <c r="E68" i="2"/>
  <c r="E69" i="2"/>
  <c r="E182" i="2"/>
  <c r="E183" i="2"/>
  <c r="E44" i="2"/>
  <c r="E163" i="2"/>
  <c r="E119" i="2"/>
  <c r="E71" i="2"/>
  <c r="E70" i="2"/>
  <c r="E72" i="2"/>
  <c r="E46" i="2"/>
  <c r="E73" i="2"/>
  <c r="E47" i="2"/>
  <c r="E74" i="2"/>
  <c r="E48" i="2"/>
  <c r="E75" i="2"/>
  <c r="E168" i="2"/>
  <c r="E78" i="2"/>
  <c r="E79" i="2"/>
  <c r="E80" i="2"/>
  <c r="E26" i="2"/>
  <c r="E120" i="2"/>
  <c r="E118" i="2"/>
  <c r="J408" i="11" l="1"/>
  <c r="E81" i="15"/>
  <c r="J122" i="15"/>
  <c r="C50" i="15"/>
  <c r="H39" i="15"/>
  <c r="J31" i="15"/>
  <c r="E352" i="15"/>
  <c r="J262" i="15"/>
  <c r="F14" i="15"/>
  <c r="F216" i="15"/>
  <c r="C318" i="15"/>
  <c r="G52" i="15"/>
  <c r="E331" i="15"/>
  <c r="E67" i="15"/>
  <c r="D25" i="15"/>
  <c r="G286" i="15"/>
  <c r="J232" i="15"/>
  <c r="I354" i="15"/>
  <c r="F270" i="15"/>
  <c r="E27" i="15"/>
  <c r="E333" i="15"/>
  <c r="E42" i="15"/>
  <c r="G348" i="15"/>
  <c r="J342" i="15"/>
  <c r="J43" i="15"/>
  <c r="B102" i="15"/>
  <c r="H42" i="15"/>
  <c r="D217" i="15"/>
  <c r="F349" i="15"/>
  <c r="J192" i="15"/>
  <c r="J84" i="15"/>
  <c r="B133" i="15"/>
  <c r="C121" i="15"/>
  <c r="I221" i="15"/>
  <c r="D304" i="15"/>
  <c r="H355" i="15"/>
  <c r="C301" i="15"/>
  <c r="D105" i="15"/>
  <c r="D218" i="15"/>
  <c r="C211" i="15"/>
  <c r="J204" i="15"/>
  <c r="I103" i="15"/>
  <c r="G350" i="15"/>
  <c r="D101" i="15"/>
  <c r="C198" i="15"/>
  <c r="J193" i="15"/>
  <c r="H343" i="15"/>
  <c r="F125" i="15"/>
  <c r="D302" i="15"/>
  <c r="F86" i="15"/>
  <c r="B72" i="15"/>
  <c r="F168" i="15"/>
  <c r="B159" i="15"/>
  <c r="F338" i="15"/>
  <c r="B126" i="15"/>
  <c r="G18" i="15"/>
  <c r="C55" i="15"/>
  <c r="D221" i="15"/>
  <c r="E291" i="15"/>
  <c r="I102" i="15"/>
  <c r="C324" i="15"/>
  <c r="F297" i="15"/>
  <c r="G129" i="15"/>
  <c r="F301" i="15"/>
  <c r="J211" i="15"/>
  <c r="E41" i="15"/>
  <c r="H98" i="15"/>
  <c r="B180" i="15"/>
  <c r="G162" i="15"/>
  <c r="G142" i="15"/>
  <c r="C347" i="15"/>
  <c r="G356" i="15"/>
  <c r="B54" i="15"/>
  <c r="H53" i="15"/>
  <c r="B220" i="15"/>
  <c r="J212" i="15"/>
  <c r="H206" i="15"/>
  <c r="G237" i="15"/>
  <c r="F351" i="15"/>
  <c r="B201" i="15"/>
  <c r="J241" i="15"/>
  <c r="F195" i="15"/>
  <c r="D96" i="15"/>
  <c r="B269" i="15"/>
  <c r="I181" i="15"/>
  <c r="G177" i="15"/>
  <c r="C110" i="15"/>
  <c r="H295" i="15"/>
  <c r="C245" i="15"/>
  <c r="G23" i="15"/>
  <c r="C321" i="15"/>
  <c r="H106" i="15"/>
  <c r="D6" i="15"/>
  <c r="C355" i="15"/>
  <c r="C210" i="15"/>
  <c r="D100" i="15"/>
  <c r="H185" i="15"/>
  <c r="F234" i="15"/>
  <c r="J239" i="15"/>
  <c r="G304" i="15"/>
  <c r="I105" i="15"/>
  <c r="H205" i="15"/>
  <c r="B40" i="15"/>
  <c r="D94" i="15"/>
  <c r="G276" i="15"/>
  <c r="B254" i="15"/>
  <c r="H4" i="15"/>
  <c r="F347" i="15"/>
  <c r="E54" i="15"/>
  <c r="I220" i="15"/>
  <c r="F207" i="15"/>
  <c r="D228" i="15"/>
  <c r="H287" i="15"/>
  <c r="B325" i="15"/>
  <c r="G303" i="15"/>
  <c r="H74" i="15"/>
  <c r="H247" i="15"/>
  <c r="H225" i="15"/>
  <c r="D136" i="15"/>
  <c r="B43" i="15"/>
  <c r="F357" i="15"/>
  <c r="J54" i="15"/>
  <c r="B238" i="15"/>
  <c r="I51" i="15"/>
  <c r="H214" i="15"/>
  <c r="F208" i="15"/>
  <c r="E24" i="15"/>
  <c r="D236" i="15"/>
  <c r="I202" i="15"/>
  <c r="H199" i="15"/>
  <c r="B344" i="15"/>
  <c r="I326" i="15"/>
  <c r="G189" i="15"/>
  <c r="E314" i="15"/>
  <c r="H226" i="15"/>
  <c r="D78" i="15"/>
  <c r="I124" i="15"/>
  <c r="D164" i="15"/>
  <c r="H154" i="15"/>
  <c r="D146" i="15"/>
  <c r="I113" i="15"/>
  <c r="I56" i="15"/>
  <c r="E268" i="15"/>
  <c r="B9" i="15"/>
  <c r="H116" i="15"/>
  <c r="E134" i="15"/>
  <c r="B121" i="15"/>
  <c r="H252" i="15"/>
  <c r="E144" i="15"/>
  <c r="B69" i="15"/>
  <c r="H255" i="15"/>
  <c r="E284" i="15"/>
  <c r="C158" i="15"/>
  <c r="E251" i="15"/>
  <c r="F265" i="15"/>
  <c r="C240" i="15"/>
  <c r="F285" i="15"/>
  <c r="C298" i="15"/>
  <c r="I174" i="15"/>
  <c r="F79" i="15"/>
  <c r="C300" i="15"/>
  <c r="I312" i="15"/>
  <c r="F91" i="15"/>
  <c r="I180" i="15"/>
  <c r="C182" i="15"/>
  <c r="F186" i="15"/>
  <c r="I269" i="15"/>
  <c r="E190" i="15"/>
  <c r="H330" i="15"/>
  <c r="B97" i="15"/>
  <c r="E328" i="15"/>
  <c r="F99" i="15"/>
  <c r="I344" i="15"/>
  <c r="C197" i="15"/>
  <c r="H127" i="15"/>
  <c r="F60" i="15"/>
  <c r="C15" i="15"/>
  <c r="D61" i="15"/>
  <c r="J117" i="15"/>
  <c r="G137" i="15"/>
  <c r="D66" i="15"/>
  <c r="J147" i="15"/>
  <c r="G336" i="15"/>
  <c r="D70" i="15"/>
  <c r="B229" i="15"/>
  <c r="H160" i="15"/>
  <c r="I246" i="15"/>
  <c r="B266" i="15"/>
  <c r="I293" i="15"/>
  <c r="J171" i="15"/>
  <c r="G260" i="15"/>
  <c r="D278" i="15"/>
  <c r="J34" i="15"/>
  <c r="G175" i="15"/>
  <c r="D306" i="15"/>
  <c r="J89" i="15"/>
  <c r="B261" i="15"/>
  <c r="E227" i="15"/>
  <c r="H184" i="15"/>
  <c r="B95" i="15"/>
  <c r="C317" i="15"/>
  <c r="F319" i="15"/>
  <c r="I325" i="15"/>
  <c r="C329" i="15"/>
  <c r="H194" i="15"/>
  <c r="B112" i="15"/>
  <c r="E345" i="15"/>
  <c r="D130" i="15"/>
  <c r="J131" i="15"/>
  <c r="G323" i="15"/>
  <c r="I63" i="15"/>
  <c r="F115" i="15"/>
  <c r="C141" i="15"/>
  <c r="I143" i="15"/>
  <c r="F150" i="15"/>
  <c r="C10" i="15"/>
  <c r="I108" i="15"/>
  <c r="G233" i="15"/>
  <c r="D7" i="15"/>
  <c r="J339" i="15"/>
  <c r="G30" i="15"/>
  <c r="E296" i="15"/>
  <c r="B258" i="15"/>
  <c r="H299" i="15"/>
  <c r="E76" i="15"/>
  <c r="B83" i="15"/>
  <c r="H310" i="15"/>
  <c r="E179" i="15"/>
  <c r="D93" i="15"/>
  <c r="G313" i="15"/>
  <c r="J183" i="15"/>
  <c r="D315" i="15"/>
  <c r="G188" i="15"/>
  <c r="J318" i="15"/>
  <c r="D346" i="15"/>
  <c r="G327" i="15"/>
  <c r="J324" i="15"/>
  <c r="D196" i="15"/>
  <c r="G340" i="15"/>
  <c r="G25" i="15"/>
  <c r="J50" i="15"/>
  <c r="E341" i="15"/>
  <c r="F92" i="15"/>
  <c r="J267" i="15"/>
  <c r="F139" i="15"/>
  <c r="B356" i="15"/>
  <c r="B219" i="15"/>
  <c r="G48" i="15"/>
  <c r="J198" i="15"/>
  <c r="F320" i="15"/>
  <c r="B305" i="15"/>
  <c r="B31" i="15"/>
  <c r="C45" i="15"/>
  <c r="J356" i="15"/>
  <c r="C44" i="15"/>
  <c r="H213" i="15"/>
  <c r="E49" i="15"/>
  <c r="I201" i="15"/>
  <c r="D111" i="15"/>
  <c r="I187" i="15"/>
  <c r="C311" i="15"/>
  <c r="D170" i="15"/>
  <c r="C107" i="15"/>
  <c r="I13" i="15"/>
  <c r="E43" i="15"/>
  <c r="I357" i="15"/>
  <c r="D354" i="15"/>
  <c r="H238" i="15"/>
  <c r="G104" i="15"/>
  <c r="F215" i="15"/>
  <c r="D209" i="15"/>
  <c r="C290" i="15"/>
  <c r="B47" i="15"/>
  <c r="G203" i="15"/>
  <c r="F200" i="15"/>
  <c r="I264" i="15"/>
  <c r="G263" i="15"/>
  <c r="E191" i="15"/>
  <c r="C183" i="15"/>
  <c r="D38" i="15"/>
  <c r="I35" i="15"/>
  <c r="E273" i="15"/>
  <c r="I166" i="15"/>
  <c r="D156" i="15"/>
  <c r="I149" i="15"/>
  <c r="E119" i="15"/>
  <c r="J11" i="15"/>
  <c r="H280" i="15"/>
  <c r="G127" i="15"/>
  <c r="F128" i="15"/>
  <c r="E129" i="15"/>
  <c r="D3" i="15"/>
  <c r="C130" i="15"/>
  <c r="B281" i="15"/>
  <c r="J281" i="15"/>
  <c r="I55" i="15"/>
  <c r="H56" i="15"/>
  <c r="G57" i="15"/>
  <c r="F4" i="15"/>
  <c r="E58" i="15"/>
  <c r="D268" i="15"/>
  <c r="C5" i="15"/>
  <c r="B6" i="15"/>
  <c r="J6" i="15"/>
  <c r="I131" i="15"/>
  <c r="H332" i="15"/>
  <c r="G13" i="15"/>
  <c r="F59" i="15"/>
  <c r="E60" i="15"/>
  <c r="D288" i="15"/>
  <c r="C333" i="15"/>
  <c r="B334" i="15"/>
  <c r="J334" i="15"/>
  <c r="I9" i="15"/>
  <c r="H11" i="15"/>
  <c r="G12" i="15"/>
  <c r="F323" i="15"/>
  <c r="E132" i="15"/>
  <c r="D14" i="15"/>
  <c r="C289" i="15"/>
  <c r="B15" i="15"/>
  <c r="J15" i="15"/>
  <c r="I16" i="15"/>
  <c r="H133" i="15"/>
  <c r="G116" i="15"/>
  <c r="F17" i="15"/>
  <c r="E18" i="15"/>
  <c r="D282" i="15"/>
  <c r="C61" i="15"/>
  <c r="B62" i="15"/>
  <c r="J62" i="15"/>
  <c r="I45" i="15"/>
  <c r="H63" i="15"/>
  <c r="G46" i="15"/>
  <c r="F106" i="15"/>
  <c r="E316" i="15"/>
  <c r="D134" i="15"/>
  <c r="C135" i="15"/>
  <c r="B136" i="15"/>
  <c r="J136" i="15"/>
  <c r="I117" i="15"/>
  <c r="H20" i="15"/>
  <c r="G113" i="15"/>
  <c r="F114" i="15"/>
  <c r="E115" i="15"/>
  <c r="D118" i="15"/>
  <c r="C119" i="15"/>
  <c r="B120" i="15"/>
  <c r="J120" i="15"/>
  <c r="I121" i="15"/>
  <c r="H122" i="15"/>
  <c r="G123" i="15"/>
  <c r="F137" i="15"/>
  <c r="E138" i="15"/>
  <c r="D139" i="15"/>
  <c r="C140" i="15"/>
  <c r="B141" i="15"/>
  <c r="J141" i="15"/>
  <c r="I64" i="15"/>
  <c r="H126" i="15"/>
  <c r="G252" i="15"/>
  <c r="F253" i="15"/>
  <c r="E142" i="15"/>
  <c r="D65" i="15"/>
  <c r="C66" i="15"/>
  <c r="B249" i="15"/>
  <c r="J249" i="15"/>
  <c r="I321" i="15"/>
  <c r="H143" i="15"/>
  <c r="G222" i="15"/>
  <c r="F225" i="15"/>
  <c r="E223" i="15"/>
  <c r="D144" i="15"/>
  <c r="C145" i="15"/>
  <c r="B146" i="15"/>
  <c r="J146" i="15"/>
  <c r="I147" i="15"/>
  <c r="H148" i="15"/>
  <c r="G149" i="15"/>
  <c r="F335" i="15"/>
  <c r="E150" i="15"/>
  <c r="D21" i="15"/>
  <c r="C67" i="15"/>
  <c r="B68" i="15"/>
  <c r="J68" i="15"/>
  <c r="I69" i="15"/>
  <c r="H239" i="15"/>
  <c r="G22" i="15"/>
  <c r="F336" i="15"/>
  <c r="E337" i="15"/>
  <c r="D338" i="15"/>
  <c r="C151" i="15"/>
  <c r="B10" i="15"/>
  <c r="J10" i="15"/>
  <c r="I152" i="15"/>
  <c r="H254" i="15"/>
  <c r="G255" i="15"/>
  <c r="F353" i="15"/>
  <c r="E23" i="15"/>
  <c r="D242" i="15"/>
  <c r="C70" i="15"/>
  <c r="B243" i="15"/>
  <c r="J243" i="15"/>
  <c r="I107" i="15"/>
  <c r="H108" i="15"/>
  <c r="G153" i="15"/>
  <c r="F154" i="15"/>
  <c r="E283" i="15"/>
  <c r="D284" i="15"/>
  <c r="C155" i="15"/>
  <c r="B156" i="15"/>
  <c r="J156" i="15"/>
  <c r="J244" i="15"/>
  <c r="I229" i="15"/>
  <c r="H232" i="15"/>
  <c r="G230" i="15"/>
  <c r="F233" i="15"/>
  <c r="E231" i="15"/>
  <c r="D234" i="15"/>
  <c r="C157" i="15"/>
  <c r="B158" i="15"/>
  <c r="J158" i="15"/>
  <c r="I292" i="15"/>
  <c r="H159" i="15"/>
  <c r="G160" i="15"/>
  <c r="F161" i="15"/>
  <c r="E162" i="15"/>
  <c r="D163" i="15"/>
  <c r="C7" i="15"/>
  <c r="B8" i="15"/>
  <c r="J8" i="15"/>
  <c r="I245" i="15"/>
  <c r="H246" i="15"/>
  <c r="G248" i="15"/>
  <c r="F247" i="15"/>
  <c r="E250" i="15"/>
  <c r="D251" i="15"/>
  <c r="C19" i="15"/>
  <c r="B164" i="15"/>
  <c r="J164" i="15"/>
  <c r="I339" i="15"/>
  <c r="H165" i="15"/>
  <c r="G166" i="15"/>
  <c r="F167" i="15"/>
  <c r="E265" i="15"/>
  <c r="D26" i="15"/>
  <c r="C27" i="15"/>
  <c r="B28" i="15"/>
  <c r="J28" i="15"/>
  <c r="I266" i="15"/>
  <c r="H267" i="15"/>
  <c r="G29" i="15"/>
  <c r="F30" i="15"/>
  <c r="E256" i="15"/>
  <c r="D168" i="15"/>
  <c r="C322" i="15"/>
  <c r="B240" i="15"/>
  <c r="J240" i="15"/>
  <c r="I271" i="15"/>
  <c r="H31" i="15"/>
  <c r="H293" i="15"/>
  <c r="G294" i="15"/>
  <c r="F295" i="15"/>
  <c r="E32" i="15"/>
  <c r="D296" i="15"/>
  <c r="C169" i="15"/>
  <c r="B170" i="15"/>
  <c r="J170" i="15"/>
  <c r="I171" i="15"/>
  <c r="H172" i="15"/>
  <c r="G124" i="15"/>
  <c r="F272" i="15"/>
  <c r="E285" i="15"/>
  <c r="D257" i="15"/>
  <c r="C273" i="15"/>
  <c r="B173" i="15"/>
  <c r="J173" i="15"/>
  <c r="I258" i="15"/>
  <c r="H342" i="15"/>
  <c r="G259" i="15"/>
  <c r="F260" i="15"/>
  <c r="E274" i="15"/>
  <c r="D297" i="15"/>
  <c r="C275" i="15"/>
  <c r="B298" i="15"/>
  <c r="J298" i="15"/>
  <c r="I71" i="15"/>
  <c r="H72" i="15"/>
  <c r="G299" i="15"/>
  <c r="F33" i="15"/>
  <c r="E276" i="15"/>
  <c r="D277" i="15"/>
  <c r="C278" i="15"/>
  <c r="B109" i="15"/>
  <c r="J109" i="15"/>
  <c r="I110" i="15"/>
  <c r="H174" i="15"/>
  <c r="G73" i="15"/>
  <c r="F74" i="15"/>
  <c r="E75" i="15"/>
  <c r="D76" i="15"/>
  <c r="C77" i="15"/>
  <c r="B78" i="15"/>
  <c r="J78" i="15"/>
  <c r="I34" i="15"/>
  <c r="H224" i="15"/>
  <c r="G35" i="15"/>
  <c r="F36" i="15"/>
  <c r="E79" i="15"/>
  <c r="D80" i="15"/>
  <c r="C81" i="15"/>
  <c r="B82" i="15"/>
  <c r="J82" i="15"/>
  <c r="I83" i="15"/>
  <c r="H84" i="15"/>
  <c r="G85" i="15"/>
  <c r="F175" i="15"/>
  <c r="E37" i="15"/>
  <c r="D86" i="15"/>
  <c r="C87" i="15"/>
  <c r="B300" i="15"/>
  <c r="J300" i="15"/>
  <c r="I88" i="15"/>
  <c r="H305" i="15"/>
  <c r="G310" i="15"/>
  <c r="F176" i="15"/>
  <c r="E177" i="15"/>
  <c r="D178" i="15"/>
  <c r="C306" i="15"/>
  <c r="B307" i="15"/>
  <c r="J307" i="15"/>
  <c r="I311" i="15"/>
  <c r="H312" i="15"/>
  <c r="G309" i="15"/>
  <c r="F226" i="15"/>
  <c r="E308" i="15"/>
  <c r="D179" i="15"/>
  <c r="C235" i="15"/>
  <c r="B38" i="15"/>
  <c r="J38" i="15"/>
  <c r="I89" i="15"/>
  <c r="H90" i="15"/>
  <c r="G39" i="15"/>
  <c r="G280" i="15"/>
  <c r="F127" i="15"/>
  <c r="E128" i="15"/>
  <c r="D129" i="15"/>
  <c r="C3" i="15"/>
  <c r="B130" i="15"/>
  <c r="J130" i="15"/>
  <c r="I281" i="15"/>
  <c r="H55" i="15"/>
  <c r="G56" i="15"/>
  <c r="F57" i="15"/>
  <c r="E4" i="15"/>
  <c r="D58" i="15"/>
  <c r="C268" i="15"/>
  <c r="B5" i="15"/>
  <c r="J5" i="15"/>
  <c r="I6" i="15"/>
  <c r="H131" i="15"/>
  <c r="G332" i="15"/>
  <c r="F13" i="15"/>
  <c r="E59" i="15"/>
  <c r="D60" i="15"/>
  <c r="C288" i="15"/>
  <c r="B333" i="15"/>
  <c r="J333" i="15"/>
  <c r="I334" i="15"/>
  <c r="H9" i="15"/>
  <c r="G11" i="15"/>
  <c r="F12" i="15"/>
  <c r="E323" i="15"/>
  <c r="D132" i="15"/>
  <c r="C14" i="15"/>
  <c r="B289" i="15"/>
  <c r="J289" i="15"/>
  <c r="I15" i="15"/>
  <c r="H16" i="15"/>
  <c r="G133" i="15"/>
  <c r="F116" i="15"/>
  <c r="E17" i="15"/>
  <c r="D18" i="15"/>
  <c r="C282" i="15"/>
  <c r="B61" i="15"/>
  <c r="J61" i="15"/>
  <c r="I62" i="15"/>
  <c r="H45" i="15"/>
  <c r="G63" i="15"/>
  <c r="F46" i="15"/>
  <c r="E106" i="15"/>
  <c r="D316" i="15"/>
  <c r="C134" i="15"/>
  <c r="B135" i="15"/>
  <c r="J135" i="15"/>
  <c r="I136" i="15"/>
  <c r="H117" i="15"/>
  <c r="G20" i="15"/>
  <c r="F113" i="15"/>
  <c r="E114" i="15"/>
  <c r="D115" i="15"/>
  <c r="C118" i="15"/>
  <c r="B119" i="15"/>
  <c r="J119" i="15"/>
  <c r="I120" i="15"/>
  <c r="H121" i="15"/>
  <c r="G122" i="15"/>
  <c r="F123" i="15"/>
  <c r="E137" i="15"/>
  <c r="D138" i="15"/>
  <c r="C139" i="15"/>
  <c r="B140" i="15"/>
  <c r="J140" i="15"/>
  <c r="I141" i="15"/>
  <c r="H64" i="15"/>
  <c r="G126" i="15"/>
  <c r="F252" i="15"/>
  <c r="E253" i="15"/>
  <c r="D142" i="15"/>
  <c r="C65" i="15"/>
  <c r="B66" i="15"/>
  <c r="J66" i="15"/>
  <c r="I249" i="15"/>
  <c r="H321" i="15"/>
  <c r="G143" i="15"/>
  <c r="F222" i="15"/>
  <c r="E225" i="15"/>
  <c r="D223" i="15"/>
  <c r="C144" i="15"/>
  <c r="B145" i="15"/>
  <c r="J145" i="15"/>
  <c r="I146" i="15"/>
  <c r="H147" i="15"/>
  <c r="G148" i="15"/>
  <c r="F149" i="15"/>
  <c r="E335" i="15"/>
  <c r="D150" i="15"/>
  <c r="C21" i="15"/>
  <c r="B67" i="15"/>
  <c r="J67" i="15"/>
  <c r="I68" i="15"/>
  <c r="H69" i="15"/>
  <c r="G239" i="15"/>
  <c r="F22" i="15"/>
  <c r="E336" i="15"/>
  <c r="D337" i="15"/>
  <c r="C338" i="15"/>
  <c r="B151" i="15"/>
  <c r="J151" i="15"/>
  <c r="I10" i="15"/>
  <c r="H152" i="15"/>
  <c r="G254" i="15"/>
  <c r="F255" i="15"/>
  <c r="E353" i="15"/>
  <c r="D23" i="15"/>
  <c r="C242" i="15"/>
  <c r="B70" i="15"/>
  <c r="J70" i="15"/>
  <c r="I243" i="15"/>
  <c r="H107" i="15"/>
  <c r="G108" i="15"/>
  <c r="F153" i="15"/>
  <c r="E154" i="15"/>
  <c r="D283" i="15"/>
  <c r="C284" i="15"/>
  <c r="B155" i="15"/>
  <c r="J155" i="15"/>
  <c r="I156" i="15"/>
  <c r="I244" i="15"/>
  <c r="H229" i="15"/>
  <c r="G232" i="15"/>
  <c r="F230" i="15"/>
  <c r="E233" i="15"/>
  <c r="D231" i="15"/>
  <c r="C234" i="15"/>
  <c r="B157" i="15"/>
  <c r="J157" i="15"/>
  <c r="I158" i="15"/>
  <c r="H292" i="15"/>
  <c r="G159" i="15"/>
  <c r="F160" i="15"/>
  <c r="E161" i="15"/>
  <c r="D162" i="15"/>
  <c r="C163" i="15"/>
  <c r="B7" i="15"/>
  <c r="J7" i="15"/>
  <c r="I8" i="15"/>
  <c r="H245" i="15"/>
  <c r="G246" i="15"/>
  <c r="F248" i="15"/>
  <c r="E247" i="15"/>
  <c r="D250" i="15"/>
  <c r="C251" i="15"/>
  <c r="B19" i="15"/>
  <c r="J19" i="15"/>
  <c r="I164" i="15"/>
  <c r="H339" i="15"/>
  <c r="G165" i="15"/>
  <c r="F166" i="15"/>
  <c r="E167" i="15"/>
  <c r="D265" i="15"/>
  <c r="C26" i="15"/>
  <c r="B27" i="15"/>
  <c r="J27" i="15"/>
  <c r="I28" i="15"/>
  <c r="H266" i="15"/>
  <c r="G267" i="15"/>
  <c r="F29" i="15"/>
  <c r="E30" i="15"/>
  <c r="D256" i="15"/>
  <c r="C168" i="15"/>
  <c r="B322" i="15"/>
  <c r="J322" i="15"/>
  <c r="I240" i="15"/>
  <c r="H271" i="15"/>
  <c r="G31" i="15"/>
  <c r="G293" i="15"/>
  <c r="F294" i="15"/>
  <c r="E295" i="15"/>
  <c r="D32" i="15"/>
  <c r="C296" i="15"/>
  <c r="B169" i="15"/>
  <c r="J169" i="15"/>
  <c r="I170" i="15"/>
  <c r="H171" i="15"/>
  <c r="G172" i="15"/>
  <c r="F124" i="15"/>
  <c r="E272" i="15"/>
  <c r="D285" i="15"/>
  <c r="C257" i="15"/>
  <c r="B273" i="15"/>
  <c r="J273" i="15"/>
  <c r="I173" i="15"/>
  <c r="H258" i="15"/>
  <c r="G342" i="15"/>
  <c r="F259" i="15"/>
  <c r="E260" i="15"/>
  <c r="D274" i="15"/>
  <c r="C297" i="15"/>
  <c r="B275" i="15"/>
  <c r="J275" i="15"/>
  <c r="I298" i="15"/>
  <c r="H71" i="15"/>
  <c r="G72" i="15"/>
  <c r="F299" i="15"/>
  <c r="E33" i="15"/>
  <c r="D276" i="15"/>
  <c r="C277" i="15"/>
  <c r="B278" i="15"/>
  <c r="J278" i="15"/>
  <c r="I109" i="15"/>
  <c r="H110" i="15"/>
  <c r="G174" i="15"/>
  <c r="F73" i="15"/>
  <c r="E74" i="15"/>
  <c r="D75" i="15"/>
  <c r="C76" i="15"/>
  <c r="B77" i="15"/>
  <c r="J77" i="15"/>
  <c r="I78" i="15"/>
  <c r="H34" i="15"/>
  <c r="G224" i="15"/>
  <c r="F35" i="15"/>
  <c r="E36" i="15"/>
  <c r="D79" i="15"/>
  <c r="C80" i="15"/>
  <c r="B81" i="15"/>
  <c r="J81" i="15"/>
  <c r="I82" i="15"/>
  <c r="H83" i="15"/>
  <c r="G84" i="15"/>
  <c r="F85" i="15"/>
  <c r="E175" i="15"/>
  <c r="D37" i="15"/>
  <c r="C86" i="15"/>
  <c r="B87" i="15"/>
  <c r="J87" i="15"/>
  <c r="I300" i="15"/>
  <c r="H88" i="15"/>
  <c r="G305" i="15"/>
  <c r="F310" i="15"/>
  <c r="E176" i="15"/>
  <c r="D177" i="15"/>
  <c r="C178" i="15"/>
  <c r="B306" i="15"/>
  <c r="J306" i="15"/>
  <c r="I307" i="15"/>
  <c r="H311" i="15"/>
  <c r="G312" i="15"/>
  <c r="F309" i="15"/>
  <c r="E226" i="15"/>
  <c r="D308" i="15"/>
  <c r="C179" i="15"/>
  <c r="B235" i="15"/>
  <c r="J235" i="15"/>
  <c r="I38" i="15"/>
  <c r="H89" i="15"/>
  <c r="G90" i="15"/>
  <c r="F39" i="15"/>
  <c r="F280" i="15"/>
  <c r="E127" i="15"/>
  <c r="D128" i="15"/>
  <c r="C129" i="15"/>
  <c r="B3" i="15"/>
  <c r="J3" i="15"/>
  <c r="I130" i="15"/>
  <c r="H281" i="15"/>
  <c r="G55" i="15"/>
  <c r="F56" i="15"/>
  <c r="E57" i="15"/>
  <c r="D4" i="15"/>
  <c r="C58" i="15"/>
  <c r="B268" i="15"/>
  <c r="J268" i="15"/>
  <c r="I5" i="15"/>
  <c r="H6" i="15"/>
  <c r="G131" i="15"/>
  <c r="F332" i="15"/>
  <c r="E13" i="15"/>
  <c r="D59" i="15"/>
  <c r="C60" i="15"/>
  <c r="B288" i="15"/>
  <c r="J288" i="15"/>
  <c r="I333" i="15"/>
  <c r="H334" i="15"/>
  <c r="G9" i="15"/>
  <c r="F11" i="15"/>
  <c r="E12" i="15"/>
  <c r="D323" i="15"/>
  <c r="C132" i="15"/>
  <c r="B14" i="15"/>
  <c r="J14" i="15"/>
  <c r="I289" i="15"/>
  <c r="H15" i="15"/>
  <c r="G16" i="15"/>
  <c r="F133" i="15"/>
  <c r="E116" i="15"/>
  <c r="D17" i="15"/>
  <c r="C18" i="15"/>
  <c r="B282" i="15"/>
  <c r="J282" i="15"/>
  <c r="I61" i="15"/>
  <c r="H62" i="15"/>
  <c r="G45" i="15"/>
  <c r="F63" i="15"/>
  <c r="E46" i="15"/>
  <c r="D106" i="15"/>
  <c r="C316" i="15"/>
  <c r="B134" i="15"/>
  <c r="J134" i="15"/>
  <c r="I135" i="15"/>
  <c r="H136" i="15"/>
  <c r="G117" i="15"/>
  <c r="F20" i="15"/>
  <c r="E113" i="15"/>
  <c r="D114" i="15"/>
  <c r="C115" i="15"/>
  <c r="B118" i="15"/>
  <c r="J118" i="15"/>
  <c r="I119" i="15"/>
  <c r="H120" i="15"/>
  <c r="G121" i="15"/>
  <c r="F122" i="15"/>
  <c r="E123" i="15"/>
  <c r="D137" i="15"/>
  <c r="C138" i="15"/>
  <c r="B139" i="15"/>
  <c r="J139" i="15"/>
  <c r="I140" i="15"/>
  <c r="H141" i="15"/>
  <c r="G64" i="15"/>
  <c r="F126" i="15"/>
  <c r="E252" i="15"/>
  <c r="D253" i="15"/>
  <c r="C142" i="15"/>
  <c r="B65" i="15"/>
  <c r="J65" i="15"/>
  <c r="I66" i="15"/>
  <c r="H249" i="15"/>
  <c r="G321" i="15"/>
  <c r="F143" i="15"/>
  <c r="E222" i="15"/>
  <c r="D225" i="15"/>
  <c r="C223" i="15"/>
  <c r="B144" i="15"/>
  <c r="J144" i="15"/>
  <c r="I145" i="15"/>
  <c r="H146" i="15"/>
  <c r="G147" i="15"/>
  <c r="F148" i="15"/>
  <c r="E149" i="15"/>
  <c r="D335" i="15"/>
  <c r="C150" i="15"/>
  <c r="B21" i="15"/>
  <c r="J21" i="15"/>
  <c r="I67" i="15"/>
  <c r="H68" i="15"/>
  <c r="G69" i="15"/>
  <c r="F239" i="15"/>
  <c r="E22" i="15"/>
  <c r="D336" i="15"/>
  <c r="C337" i="15"/>
  <c r="B338" i="15"/>
  <c r="J338" i="15"/>
  <c r="I151" i="15"/>
  <c r="H10" i="15"/>
  <c r="G152" i="15"/>
  <c r="F254" i="15"/>
  <c r="E255" i="15"/>
  <c r="D353" i="15"/>
  <c r="C23" i="15"/>
  <c r="B242" i="15"/>
  <c r="J242" i="15"/>
  <c r="I70" i="15"/>
  <c r="H243" i="15"/>
  <c r="G107" i="15"/>
  <c r="F108" i="15"/>
  <c r="E153" i="15"/>
  <c r="D154" i="15"/>
  <c r="C283" i="15"/>
  <c r="B284" i="15"/>
  <c r="J284" i="15"/>
  <c r="I155" i="15"/>
  <c r="H156" i="15"/>
  <c r="H244" i="15"/>
  <c r="G229" i="15"/>
  <c r="F232" i="15"/>
  <c r="E230" i="15"/>
  <c r="D233" i="15"/>
  <c r="C231" i="15"/>
  <c r="B234" i="15"/>
  <c r="J234" i="15"/>
  <c r="I157" i="15"/>
  <c r="H158" i="15"/>
  <c r="G292" i="15"/>
  <c r="F159" i="15"/>
  <c r="E160" i="15"/>
  <c r="D161" i="15"/>
  <c r="C162" i="15"/>
  <c r="B163" i="15"/>
  <c r="J163" i="15"/>
  <c r="I7" i="15"/>
  <c r="H8" i="15"/>
  <c r="G245" i="15"/>
  <c r="F246" i="15"/>
  <c r="E248" i="15"/>
  <c r="D247" i="15"/>
  <c r="C250" i="15"/>
  <c r="B251" i="15"/>
  <c r="J251" i="15"/>
  <c r="I19" i="15"/>
  <c r="H164" i="15"/>
  <c r="G339" i="15"/>
  <c r="F165" i="15"/>
  <c r="E166" i="15"/>
  <c r="D167" i="15"/>
  <c r="C265" i="15"/>
  <c r="B26" i="15"/>
  <c r="J26" i="15"/>
  <c r="I27" i="15"/>
  <c r="H28" i="15"/>
  <c r="G266" i="15"/>
  <c r="F267" i="15"/>
  <c r="E29" i="15"/>
  <c r="D30" i="15"/>
  <c r="C256" i="15"/>
  <c r="B168" i="15"/>
  <c r="J168" i="15"/>
  <c r="I322" i="15"/>
  <c r="H240" i="15"/>
  <c r="G271" i="15"/>
  <c r="F31" i="15"/>
  <c r="F293" i="15"/>
  <c r="E294" i="15"/>
  <c r="D295" i="15"/>
  <c r="C32" i="15"/>
  <c r="B296" i="15"/>
  <c r="J296" i="15"/>
  <c r="I169" i="15"/>
  <c r="H170" i="15"/>
  <c r="G171" i="15"/>
  <c r="F172" i="15"/>
  <c r="E124" i="15"/>
  <c r="D272" i="15"/>
  <c r="C285" i="15"/>
  <c r="B257" i="15"/>
  <c r="J257" i="15"/>
  <c r="I273" i="15"/>
  <c r="H173" i="15"/>
  <c r="G258" i="15"/>
  <c r="F342" i="15"/>
  <c r="E259" i="15"/>
  <c r="D260" i="15"/>
  <c r="C274" i="15"/>
  <c r="B297" i="15"/>
  <c r="J297" i="15"/>
  <c r="I275" i="15"/>
  <c r="H298" i="15"/>
  <c r="G71" i="15"/>
  <c r="F72" i="15"/>
  <c r="E299" i="15"/>
  <c r="D33" i="15"/>
  <c r="C276" i="15"/>
  <c r="B277" i="15"/>
  <c r="J277" i="15"/>
  <c r="I278" i="15"/>
  <c r="H109" i="15"/>
  <c r="G110" i="15"/>
  <c r="F174" i="15"/>
  <c r="E73" i="15"/>
  <c r="D74" i="15"/>
  <c r="C75" i="15"/>
  <c r="B76" i="15"/>
  <c r="J76" i="15"/>
  <c r="I77" i="15"/>
  <c r="H78" i="15"/>
  <c r="G34" i="15"/>
  <c r="F224" i="15"/>
  <c r="E35" i="15"/>
  <c r="D36" i="15"/>
  <c r="C79" i="15"/>
  <c r="B80" i="15"/>
  <c r="J80" i="15"/>
  <c r="I81" i="15"/>
  <c r="H82" i="15"/>
  <c r="G83" i="15"/>
  <c r="F84" i="15"/>
  <c r="E85" i="15"/>
  <c r="D175" i="15"/>
  <c r="C37" i="15"/>
  <c r="B86" i="15"/>
  <c r="J86" i="15"/>
  <c r="I87" i="15"/>
  <c r="H300" i="15"/>
  <c r="G88" i="15"/>
  <c r="F305" i="15"/>
  <c r="E310" i="15"/>
  <c r="D176" i="15"/>
  <c r="C177" i="15"/>
  <c r="B178" i="15"/>
  <c r="J178" i="15"/>
  <c r="I306" i="15"/>
  <c r="H307" i="15"/>
  <c r="G311" i="15"/>
  <c r="F312" i="15"/>
  <c r="E309" i="15"/>
  <c r="D226" i="15"/>
  <c r="C308" i="15"/>
  <c r="B179" i="15"/>
  <c r="J179" i="15"/>
  <c r="I235" i="15"/>
  <c r="H38" i="15"/>
  <c r="G89" i="15"/>
  <c r="F90" i="15"/>
  <c r="C280" i="15"/>
  <c r="B127" i="15"/>
  <c r="J127" i="15"/>
  <c r="I128" i="15"/>
  <c r="H129" i="15"/>
  <c r="G3" i="15"/>
  <c r="F130" i="15"/>
  <c r="E281" i="15"/>
  <c r="D55" i="15"/>
  <c r="C56" i="15"/>
  <c r="B57" i="15"/>
  <c r="J57" i="15"/>
  <c r="I4" i="15"/>
  <c r="H58" i="15"/>
  <c r="G268" i="15"/>
  <c r="F5" i="15"/>
  <c r="E6" i="15"/>
  <c r="D131" i="15"/>
  <c r="C332" i="15"/>
  <c r="B13" i="15"/>
  <c r="J13" i="15"/>
  <c r="I59" i="15"/>
  <c r="H60" i="15"/>
  <c r="G288" i="15"/>
  <c r="F333" i="15"/>
  <c r="E334" i="15"/>
  <c r="D9" i="15"/>
  <c r="C11" i="15"/>
  <c r="B12" i="15"/>
  <c r="J12" i="15"/>
  <c r="I323" i="15"/>
  <c r="H132" i="15"/>
  <c r="G14" i="15"/>
  <c r="F289" i="15"/>
  <c r="E15" i="15"/>
  <c r="D16" i="15"/>
  <c r="C133" i="15"/>
  <c r="B116" i="15"/>
  <c r="J116" i="15"/>
  <c r="I17" i="15"/>
  <c r="H18" i="15"/>
  <c r="G282" i="15"/>
  <c r="F61" i="15"/>
  <c r="E62" i="15"/>
  <c r="D45" i="15"/>
  <c r="C63" i="15"/>
  <c r="B46" i="15"/>
  <c r="J46" i="15"/>
  <c r="I106" i="15"/>
  <c r="H316" i="15"/>
  <c r="G134" i="15"/>
  <c r="F135" i="15"/>
  <c r="E136" i="15"/>
  <c r="D117" i="15"/>
  <c r="C20" i="15"/>
  <c r="B113" i="15"/>
  <c r="J113" i="15"/>
  <c r="I114" i="15"/>
  <c r="H115" i="15"/>
  <c r="G118" i="15"/>
  <c r="F119" i="15"/>
  <c r="E120" i="15"/>
  <c r="D121" i="15"/>
  <c r="C122" i="15"/>
  <c r="B123" i="15"/>
  <c r="J123" i="15"/>
  <c r="I137" i="15"/>
  <c r="H138" i="15"/>
  <c r="G139" i="15"/>
  <c r="F140" i="15"/>
  <c r="E141" i="15"/>
  <c r="D64" i="15"/>
  <c r="C126" i="15"/>
  <c r="B252" i="15"/>
  <c r="J252" i="15"/>
  <c r="I253" i="15"/>
  <c r="H142" i="15"/>
  <c r="G65" i="15"/>
  <c r="F66" i="15"/>
  <c r="E249" i="15"/>
  <c r="D321" i="15"/>
  <c r="C143" i="15"/>
  <c r="B222" i="15"/>
  <c r="J222" i="15"/>
  <c r="I225" i="15"/>
  <c r="H223" i="15"/>
  <c r="G144" i="15"/>
  <c r="F145" i="15"/>
  <c r="E146" i="15"/>
  <c r="D147" i="15"/>
  <c r="C148" i="15"/>
  <c r="B149" i="15"/>
  <c r="J149" i="15"/>
  <c r="I335" i="15"/>
  <c r="H150" i="15"/>
  <c r="G21" i="15"/>
  <c r="F67" i="15"/>
  <c r="E68" i="15"/>
  <c r="D69" i="15"/>
  <c r="C239" i="15"/>
  <c r="B22" i="15"/>
  <c r="J22" i="15"/>
  <c r="I336" i="15"/>
  <c r="H337" i="15"/>
  <c r="G338" i="15"/>
  <c r="F151" i="15"/>
  <c r="E10" i="15"/>
  <c r="D152" i="15"/>
  <c r="C254" i="15"/>
  <c r="B255" i="15"/>
  <c r="J255" i="15"/>
  <c r="I353" i="15"/>
  <c r="H23" i="15"/>
  <c r="G242" i="15"/>
  <c r="F70" i="15"/>
  <c r="E243" i="15"/>
  <c r="D107" i="15"/>
  <c r="C108" i="15"/>
  <c r="B153" i="15"/>
  <c r="J153" i="15"/>
  <c r="I154" i="15"/>
  <c r="H283" i="15"/>
  <c r="G284" i="15"/>
  <c r="F155" i="15"/>
  <c r="E156" i="15"/>
  <c r="E244" i="15"/>
  <c r="D229" i="15"/>
  <c r="C232" i="15"/>
  <c r="B230" i="15"/>
  <c r="J230" i="15"/>
  <c r="I233" i="15"/>
  <c r="H231" i="15"/>
  <c r="G234" i="15"/>
  <c r="F157" i="15"/>
  <c r="E158" i="15"/>
  <c r="D292" i="15"/>
  <c r="C159" i="15"/>
  <c r="B160" i="15"/>
  <c r="J160" i="15"/>
  <c r="I161" i="15"/>
  <c r="H162" i="15"/>
  <c r="G163" i="15"/>
  <c r="F7" i="15"/>
  <c r="E8" i="15"/>
  <c r="D245" i="15"/>
  <c r="C246" i="15"/>
  <c r="B248" i="15"/>
  <c r="J248" i="15"/>
  <c r="I247" i="15"/>
  <c r="H250" i="15"/>
  <c r="G251" i="15"/>
  <c r="F19" i="15"/>
  <c r="E164" i="15"/>
  <c r="D339" i="15"/>
  <c r="C165" i="15"/>
  <c r="B166" i="15"/>
  <c r="J166" i="15"/>
  <c r="I167" i="15"/>
  <c r="H265" i="15"/>
  <c r="G26" i="15"/>
  <c r="F27" i="15"/>
  <c r="E28" i="15"/>
  <c r="D266" i="15"/>
  <c r="C267" i="15"/>
  <c r="B29" i="15"/>
  <c r="J29" i="15"/>
  <c r="I30" i="15"/>
  <c r="H256" i="15"/>
  <c r="G168" i="15"/>
  <c r="F322" i="15"/>
  <c r="E240" i="15"/>
  <c r="D271" i="15"/>
  <c r="C31" i="15"/>
  <c r="C293" i="15"/>
  <c r="B294" i="15"/>
  <c r="J294" i="15"/>
  <c r="I295" i="15"/>
  <c r="H32" i="15"/>
  <c r="G296" i="15"/>
  <c r="F169" i="15"/>
  <c r="E170" i="15"/>
  <c r="D171" i="15"/>
  <c r="C172" i="15"/>
  <c r="B124" i="15"/>
  <c r="J124" i="15"/>
  <c r="I272" i="15"/>
  <c r="H285" i="15"/>
  <c r="G257" i="15"/>
  <c r="F273" i="15"/>
  <c r="E173" i="15"/>
  <c r="D258" i="15"/>
  <c r="C342" i="15"/>
  <c r="B259" i="15"/>
  <c r="J259" i="15"/>
  <c r="I260" i="15"/>
  <c r="H274" i="15"/>
  <c r="G297" i="15"/>
  <c r="F275" i="15"/>
  <c r="E298" i="15"/>
  <c r="D71" i="15"/>
  <c r="C72" i="15"/>
  <c r="B299" i="15"/>
  <c r="J299" i="15"/>
  <c r="I33" i="15"/>
  <c r="H276" i="15"/>
  <c r="G277" i="15"/>
  <c r="F278" i="15"/>
  <c r="E109" i="15"/>
  <c r="D110" i="15"/>
  <c r="C174" i="15"/>
  <c r="B73" i="15"/>
  <c r="J73" i="15"/>
  <c r="I74" i="15"/>
  <c r="H75" i="15"/>
  <c r="G76" i="15"/>
  <c r="F77" i="15"/>
  <c r="E78" i="15"/>
  <c r="D34" i="15"/>
  <c r="C224" i="15"/>
  <c r="B35" i="15"/>
  <c r="J35" i="15"/>
  <c r="I36" i="15"/>
  <c r="H79" i="15"/>
  <c r="G80" i="15"/>
  <c r="F81" i="15"/>
  <c r="E82" i="15"/>
  <c r="D83" i="15"/>
  <c r="C84" i="15"/>
  <c r="B85" i="15"/>
  <c r="J85" i="15"/>
  <c r="I175" i="15"/>
  <c r="H37" i="15"/>
  <c r="G86" i="15"/>
  <c r="F87" i="15"/>
  <c r="E300" i="15"/>
  <c r="D88" i="15"/>
  <c r="C305" i="15"/>
  <c r="B310" i="15"/>
  <c r="J310" i="15"/>
  <c r="I176" i="15"/>
  <c r="H177" i="15"/>
  <c r="G178" i="15"/>
  <c r="F306" i="15"/>
  <c r="E307" i="15"/>
  <c r="D311" i="15"/>
  <c r="C312" i="15"/>
  <c r="B309" i="15"/>
  <c r="J309" i="15"/>
  <c r="I226" i="15"/>
  <c r="H308" i="15"/>
  <c r="G179" i="15"/>
  <c r="F235" i="15"/>
  <c r="E38" i="15"/>
  <c r="D89" i="15"/>
  <c r="C90" i="15"/>
  <c r="B39" i="15"/>
  <c r="D127" i="15"/>
  <c r="C127" i="15"/>
  <c r="J128" i="15"/>
  <c r="H3" i="15"/>
  <c r="F281" i="15"/>
  <c r="D56" i="15"/>
  <c r="B4" i="15"/>
  <c r="I58" i="15"/>
  <c r="G5" i="15"/>
  <c r="E131" i="15"/>
  <c r="C13" i="15"/>
  <c r="J59" i="15"/>
  <c r="H288" i="15"/>
  <c r="F334" i="15"/>
  <c r="D11" i="15"/>
  <c r="B323" i="15"/>
  <c r="I132" i="15"/>
  <c r="G289" i="15"/>
  <c r="E16" i="15"/>
  <c r="C116" i="15"/>
  <c r="J17" i="15"/>
  <c r="H282" i="15"/>
  <c r="F62" i="15"/>
  <c r="D63" i="15"/>
  <c r="B106" i="15"/>
  <c r="I316" i="15"/>
  <c r="G135" i="15"/>
  <c r="E117" i="15"/>
  <c r="C113" i="15"/>
  <c r="J114" i="15"/>
  <c r="H118" i="15"/>
  <c r="F120" i="15"/>
  <c r="D122" i="15"/>
  <c r="B137" i="15"/>
  <c r="I138" i="15"/>
  <c r="G140" i="15"/>
  <c r="E64" i="15"/>
  <c r="C252" i="15"/>
  <c r="J253" i="15"/>
  <c r="H65" i="15"/>
  <c r="F249" i="15"/>
  <c r="D143" i="15"/>
  <c r="B225" i="15"/>
  <c r="I223" i="15"/>
  <c r="G145" i="15"/>
  <c r="E147" i="15"/>
  <c r="C149" i="15"/>
  <c r="J335" i="15"/>
  <c r="H21" i="15"/>
  <c r="F68" i="15"/>
  <c r="D239" i="15"/>
  <c r="B336" i="15"/>
  <c r="I337" i="15"/>
  <c r="G151" i="15"/>
  <c r="E152" i="15"/>
  <c r="C255" i="15"/>
  <c r="J353" i="15"/>
  <c r="H242" i="15"/>
  <c r="F243" i="15"/>
  <c r="D108" i="15"/>
  <c r="B154" i="15"/>
  <c r="I283" i="15"/>
  <c r="G155" i="15"/>
  <c r="F244" i="15"/>
  <c r="D232" i="15"/>
  <c r="B233" i="15"/>
  <c r="I231" i="15"/>
  <c r="G157" i="15"/>
  <c r="E292" i="15"/>
  <c r="C160" i="15"/>
  <c r="J161" i="15"/>
  <c r="H163" i="15"/>
  <c r="F8" i="15"/>
  <c r="D246" i="15"/>
  <c r="B247" i="15"/>
  <c r="I250" i="15"/>
  <c r="G19" i="15"/>
  <c r="E339" i="15"/>
  <c r="C166" i="15"/>
  <c r="J167" i="15"/>
  <c r="H26" i="15"/>
  <c r="F28" i="15"/>
  <c r="D267" i="15"/>
  <c r="B30" i="15"/>
  <c r="I256" i="15"/>
  <c r="G322" i="15"/>
  <c r="E271" i="15"/>
  <c r="D293" i="15"/>
  <c r="B295" i="15"/>
  <c r="I32" i="15"/>
  <c r="G169" i="15"/>
  <c r="E171" i="15"/>
  <c r="C124" i="15"/>
  <c r="J272" i="15"/>
  <c r="H257" i="15"/>
  <c r="F173" i="15"/>
  <c r="D342" i="15"/>
  <c r="B260" i="15"/>
  <c r="I274" i="15"/>
  <c r="G275" i="15"/>
  <c r="E71" i="15"/>
  <c r="C299" i="15"/>
  <c r="J33" i="15"/>
  <c r="H277" i="15"/>
  <c r="F109" i="15"/>
  <c r="D174" i="15"/>
  <c r="B74" i="15"/>
  <c r="I75" i="15"/>
  <c r="G77" i="15"/>
  <c r="E34" i="15"/>
  <c r="C35" i="15"/>
  <c r="J36" i="15"/>
  <c r="H80" i="15"/>
  <c r="F82" i="15"/>
  <c r="D84" i="15"/>
  <c r="B175" i="15"/>
  <c r="I37" i="15"/>
  <c r="G87" i="15"/>
  <c r="E88" i="15"/>
  <c r="C310" i="15"/>
  <c r="J176" i="15"/>
  <c r="H178" i="15"/>
  <c r="F307" i="15"/>
  <c r="D312" i="15"/>
  <c r="B226" i="15"/>
  <c r="I308" i="15"/>
  <c r="G235" i="15"/>
  <c r="E89" i="15"/>
  <c r="C39" i="15"/>
  <c r="D91" i="15"/>
  <c r="C92" i="15"/>
  <c r="B93" i="15"/>
  <c r="J93" i="15"/>
  <c r="I302" i="15"/>
  <c r="H261" i="15"/>
  <c r="G180" i="15"/>
  <c r="F181" i="15"/>
  <c r="E313" i="15"/>
  <c r="D303" i="15"/>
  <c r="C227" i="15"/>
  <c r="B314" i="15"/>
  <c r="J314" i="15"/>
  <c r="I182" i="15"/>
  <c r="H183" i="15"/>
  <c r="G262" i="15"/>
  <c r="F184" i="15"/>
  <c r="E185" i="15"/>
  <c r="D186" i="15"/>
  <c r="C125" i="15"/>
  <c r="B315" i="15"/>
  <c r="J315" i="15"/>
  <c r="I94" i="15"/>
  <c r="H95" i="15"/>
  <c r="G269" i="15"/>
  <c r="F187" i="15"/>
  <c r="E188" i="15"/>
  <c r="D189" i="15"/>
  <c r="C190" i="15"/>
  <c r="B191" i="15"/>
  <c r="J191" i="15"/>
  <c r="I317" i="15"/>
  <c r="H318" i="15"/>
  <c r="G192" i="15"/>
  <c r="F330" i="15"/>
  <c r="E343" i="15"/>
  <c r="D319" i="15"/>
  <c r="C320" i="15"/>
  <c r="B346" i="15"/>
  <c r="J346" i="15"/>
  <c r="I96" i="15"/>
  <c r="H97" i="15"/>
  <c r="G325" i="15"/>
  <c r="F326" i="15"/>
  <c r="E327" i="15"/>
  <c r="D263" i="15"/>
  <c r="C328" i="15"/>
  <c r="B331" i="15"/>
  <c r="J331" i="15"/>
  <c r="I329" i="15"/>
  <c r="H324" i="15"/>
  <c r="G193" i="15"/>
  <c r="F194" i="15"/>
  <c r="E98" i="15"/>
  <c r="D99" i="15"/>
  <c r="C195" i="15"/>
  <c r="B196" i="15"/>
  <c r="J196" i="15"/>
  <c r="I111" i="15"/>
  <c r="H112" i="15"/>
  <c r="G344" i="15"/>
  <c r="F264" i="15"/>
  <c r="E340" i="15"/>
  <c r="D286" i="15"/>
  <c r="C345" i="15"/>
  <c r="B341" i="15"/>
  <c r="J341" i="15"/>
  <c r="I197" i="15"/>
  <c r="H198" i="15"/>
  <c r="G241" i="15"/>
  <c r="F287" i="15"/>
  <c r="E199" i="15"/>
  <c r="D200" i="15"/>
  <c r="C270" i="15"/>
  <c r="B100" i="15"/>
  <c r="J100" i="15"/>
  <c r="I101" i="15"/>
  <c r="H40" i="15"/>
  <c r="G201" i="15"/>
  <c r="F202" i="15"/>
  <c r="E203" i="15"/>
  <c r="D348" i="15"/>
  <c r="D349" i="15"/>
  <c r="D350" i="15"/>
  <c r="C41" i="15"/>
  <c r="C351" i="15"/>
  <c r="B228" i="15"/>
  <c r="J228" i="15"/>
  <c r="I236" i="15"/>
  <c r="H47" i="15"/>
  <c r="G102" i="15"/>
  <c r="F103" i="15"/>
  <c r="E48" i="15"/>
  <c r="D237" i="15"/>
  <c r="C49" i="15"/>
  <c r="B24" i="15"/>
  <c r="J24" i="15"/>
  <c r="I290" i="15"/>
  <c r="H50" i="15"/>
  <c r="G204" i="15"/>
  <c r="F205" i="15"/>
  <c r="E206" i="15"/>
  <c r="D207" i="15"/>
  <c r="C208" i="15"/>
  <c r="B209" i="15"/>
  <c r="J209" i="15"/>
  <c r="J352" i="15"/>
  <c r="I210" i="15"/>
  <c r="H211" i="15"/>
  <c r="G212" i="15"/>
  <c r="F213" i="15"/>
  <c r="E214" i="15"/>
  <c r="D215" i="15"/>
  <c r="C216" i="15"/>
  <c r="B217" i="15"/>
  <c r="J217" i="15"/>
  <c r="I218" i="15"/>
  <c r="H219" i="15"/>
  <c r="G220" i="15"/>
  <c r="F51" i="15"/>
  <c r="E104" i="15"/>
  <c r="D52" i="15"/>
  <c r="C291" i="15"/>
  <c r="B105" i="15"/>
  <c r="J105" i="15"/>
  <c r="I53" i="15"/>
  <c r="H44" i="15"/>
  <c r="G238" i="15"/>
  <c r="J280" i="15"/>
  <c r="H128" i="15"/>
  <c r="F3" i="15"/>
  <c r="D281" i="15"/>
  <c r="B56" i="15"/>
  <c r="I57" i="15"/>
  <c r="G58" i="15"/>
  <c r="E5" i="15"/>
  <c r="C131" i="15"/>
  <c r="J332" i="15"/>
  <c r="H59" i="15"/>
  <c r="F288" i="15"/>
  <c r="D334" i="15"/>
  <c r="B11" i="15"/>
  <c r="I12" i="15"/>
  <c r="G132" i="15"/>
  <c r="E289" i="15"/>
  <c r="C16" i="15"/>
  <c r="J133" i="15"/>
  <c r="H17" i="15"/>
  <c r="F282" i="15"/>
  <c r="D62" i="15"/>
  <c r="B63" i="15"/>
  <c r="I46" i="15"/>
  <c r="G316" i="15"/>
  <c r="E135" i="15"/>
  <c r="C117" i="15"/>
  <c r="J20" i="15"/>
  <c r="H114" i="15"/>
  <c r="F118" i="15"/>
  <c r="D120" i="15"/>
  <c r="B122" i="15"/>
  <c r="I123" i="15"/>
  <c r="G138" i="15"/>
  <c r="E140" i="15"/>
  <c r="C64" i="15"/>
  <c r="J126" i="15"/>
  <c r="H253" i="15"/>
  <c r="F65" i="15"/>
  <c r="D249" i="15"/>
  <c r="B143" i="15"/>
  <c r="I222" i="15"/>
  <c r="G223" i="15"/>
  <c r="E145" i="15"/>
  <c r="C147" i="15"/>
  <c r="J148" i="15"/>
  <c r="H335" i="15"/>
  <c r="F21" i="15"/>
  <c r="D68" i="15"/>
  <c r="B239" i="15"/>
  <c r="I22" i="15"/>
  <c r="G337" i="15"/>
  <c r="E151" i="15"/>
  <c r="C152" i="15"/>
  <c r="J254" i="15"/>
  <c r="H353" i="15"/>
  <c r="F242" i="15"/>
  <c r="D243" i="15"/>
  <c r="B108" i="15"/>
  <c r="I153" i="15"/>
  <c r="G283" i="15"/>
  <c r="E155" i="15"/>
  <c r="D244" i="15"/>
  <c r="B232" i="15"/>
  <c r="I230" i="15"/>
  <c r="G231" i="15"/>
  <c r="E157" i="15"/>
  <c r="C292" i="15"/>
  <c r="J159" i="15"/>
  <c r="H161" i="15"/>
  <c r="F163" i="15"/>
  <c r="D8" i="15"/>
  <c r="B246" i="15"/>
  <c r="I248" i="15"/>
  <c r="G250" i="15"/>
  <c r="E19" i="15"/>
  <c r="C339" i="15"/>
  <c r="J165" i="15"/>
  <c r="H167" i="15"/>
  <c r="F26" i="15"/>
  <c r="D28" i="15"/>
  <c r="B267" i="15"/>
  <c r="I29" i="15"/>
  <c r="G256" i="15"/>
  <c r="E322" i="15"/>
  <c r="C271" i="15"/>
  <c r="B293" i="15"/>
  <c r="I294" i="15"/>
  <c r="G32" i="15"/>
  <c r="E169" i="15"/>
  <c r="C171" i="15"/>
  <c r="J172" i="15"/>
  <c r="H272" i="15"/>
  <c r="F257" i="15"/>
  <c r="D173" i="15"/>
  <c r="B342" i="15"/>
  <c r="I259" i="15"/>
  <c r="G274" i="15"/>
  <c r="E275" i="15"/>
  <c r="C71" i="15"/>
  <c r="J72" i="15"/>
  <c r="H33" i="15"/>
  <c r="F277" i="15"/>
  <c r="D109" i="15"/>
  <c r="B174" i="15"/>
  <c r="I73" i="15"/>
  <c r="G75" i="15"/>
  <c r="E77" i="15"/>
  <c r="C34" i="15"/>
  <c r="J224" i="15"/>
  <c r="H36" i="15"/>
  <c r="F80" i="15"/>
  <c r="D82" i="15"/>
  <c r="B84" i="15"/>
  <c r="I85" i="15"/>
  <c r="G37" i="15"/>
  <c r="E87" i="15"/>
  <c r="C88" i="15"/>
  <c r="J305" i="15"/>
  <c r="H176" i="15"/>
  <c r="F178" i="15"/>
  <c r="D307" i="15"/>
  <c r="B312" i="15"/>
  <c r="I309" i="15"/>
  <c r="G308" i="15"/>
  <c r="E235" i="15"/>
  <c r="C89" i="15"/>
  <c r="J90" i="15"/>
  <c r="C91" i="15"/>
  <c r="B92" i="15"/>
  <c r="J92" i="15"/>
  <c r="I93" i="15"/>
  <c r="H302" i="15"/>
  <c r="G261" i="15"/>
  <c r="F180" i="15"/>
  <c r="E181" i="15"/>
  <c r="D313" i="15"/>
  <c r="C303" i="15"/>
  <c r="B227" i="15"/>
  <c r="J227" i="15"/>
  <c r="I314" i="15"/>
  <c r="H182" i="15"/>
  <c r="G183" i="15"/>
  <c r="F262" i="15"/>
  <c r="E184" i="15"/>
  <c r="D185" i="15"/>
  <c r="C186" i="15"/>
  <c r="B125" i="15"/>
  <c r="J125" i="15"/>
  <c r="I315" i="15"/>
  <c r="H94" i="15"/>
  <c r="G95" i="15"/>
  <c r="F269" i="15"/>
  <c r="E187" i="15"/>
  <c r="D188" i="15"/>
  <c r="C189" i="15"/>
  <c r="B190" i="15"/>
  <c r="J190" i="15"/>
  <c r="I191" i="15"/>
  <c r="H317" i="15"/>
  <c r="G318" i="15"/>
  <c r="F192" i="15"/>
  <c r="E330" i="15"/>
  <c r="D343" i="15"/>
  <c r="C319" i="15"/>
  <c r="B320" i="15"/>
  <c r="J320" i="15"/>
  <c r="I346" i="15"/>
  <c r="H96" i="15"/>
  <c r="G97" i="15"/>
  <c r="F325" i="15"/>
  <c r="E326" i="15"/>
  <c r="D327" i="15"/>
  <c r="C263" i="15"/>
  <c r="B328" i="15"/>
  <c r="J328" i="15"/>
  <c r="I331" i="15"/>
  <c r="H329" i="15"/>
  <c r="G324" i="15"/>
  <c r="F193" i="15"/>
  <c r="E194" i="15"/>
  <c r="D98" i="15"/>
  <c r="C99" i="15"/>
  <c r="B195" i="15"/>
  <c r="J195" i="15"/>
  <c r="I196" i="15"/>
  <c r="H111" i="15"/>
  <c r="G112" i="15"/>
  <c r="F344" i="15"/>
  <c r="E264" i="15"/>
  <c r="D340" i="15"/>
  <c r="C286" i="15"/>
  <c r="B345" i="15"/>
  <c r="J345" i="15"/>
  <c r="I341" i="15"/>
  <c r="H197" i="15"/>
  <c r="G198" i="15"/>
  <c r="F241" i="15"/>
  <c r="E287" i="15"/>
  <c r="D199" i="15"/>
  <c r="C200" i="15"/>
  <c r="B270" i="15"/>
  <c r="J270" i="15"/>
  <c r="I100" i="15"/>
  <c r="H101" i="15"/>
  <c r="G40" i="15"/>
  <c r="F201" i="15"/>
  <c r="E202" i="15"/>
  <c r="D203" i="15"/>
  <c r="C348" i="15"/>
  <c r="C349" i="15"/>
  <c r="C350" i="15"/>
  <c r="B41" i="15"/>
  <c r="J41" i="15"/>
  <c r="J351" i="15"/>
  <c r="I228" i="15"/>
  <c r="H236" i="15"/>
  <c r="G47" i="15"/>
  <c r="F102" i="15"/>
  <c r="E103" i="15"/>
  <c r="D48" i="15"/>
  <c r="C237" i="15"/>
  <c r="B49" i="15"/>
  <c r="J49" i="15"/>
  <c r="I24" i="15"/>
  <c r="H290" i="15"/>
  <c r="G50" i="15"/>
  <c r="F204" i="15"/>
  <c r="E205" i="15"/>
  <c r="D206" i="15"/>
  <c r="C207" i="15"/>
  <c r="B208" i="15"/>
  <c r="J208" i="15"/>
  <c r="I209" i="15"/>
  <c r="I352" i="15"/>
  <c r="H210" i="15"/>
  <c r="G211" i="15"/>
  <c r="F212" i="15"/>
  <c r="E213" i="15"/>
  <c r="D214" i="15"/>
  <c r="C215" i="15"/>
  <c r="B216" i="15"/>
  <c r="J216" i="15"/>
  <c r="I217" i="15"/>
  <c r="H218" i="15"/>
  <c r="G219" i="15"/>
  <c r="F220" i="15"/>
  <c r="E51" i="15"/>
  <c r="D104" i="15"/>
  <c r="C52" i="15"/>
  <c r="B291" i="15"/>
  <c r="I280" i="15"/>
  <c r="G128" i="15"/>
  <c r="E3" i="15"/>
  <c r="C281" i="15"/>
  <c r="J55" i="15"/>
  <c r="H57" i="15"/>
  <c r="F58" i="15"/>
  <c r="D5" i="15"/>
  <c r="B131" i="15"/>
  <c r="I332" i="15"/>
  <c r="G59" i="15"/>
  <c r="E288" i="15"/>
  <c r="C334" i="15"/>
  <c r="J9" i="15"/>
  <c r="H12" i="15"/>
  <c r="F132" i="15"/>
  <c r="D289" i="15"/>
  <c r="B16" i="15"/>
  <c r="I133" i="15"/>
  <c r="G17" i="15"/>
  <c r="E282" i="15"/>
  <c r="C62" i="15"/>
  <c r="J45" i="15"/>
  <c r="H46" i="15"/>
  <c r="F316" i="15"/>
  <c r="D135" i="15"/>
  <c r="B117" i="15"/>
  <c r="I20" i="15"/>
  <c r="G114" i="15"/>
  <c r="E118" i="15"/>
  <c r="C120" i="15"/>
  <c r="J121" i="15"/>
  <c r="H123" i="15"/>
  <c r="F138" i="15"/>
  <c r="D140" i="15"/>
  <c r="B64" i="15"/>
  <c r="I126" i="15"/>
  <c r="G253" i="15"/>
  <c r="E65" i="15"/>
  <c r="C249" i="15"/>
  <c r="J321" i="15"/>
  <c r="H222" i="15"/>
  <c r="F223" i="15"/>
  <c r="D145" i="15"/>
  <c r="B147" i="15"/>
  <c r="I148" i="15"/>
  <c r="G335" i="15"/>
  <c r="E21" i="15"/>
  <c r="C68" i="15"/>
  <c r="J69" i="15"/>
  <c r="H22" i="15"/>
  <c r="F337" i="15"/>
  <c r="D151" i="15"/>
  <c r="B152" i="15"/>
  <c r="I254" i="15"/>
  <c r="G353" i="15"/>
  <c r="E242" i="15"/>
  <c r="C243" i="15"/>
  <c r="J107" i="15"/>
  <c r="H153" i="15"/>
  <c r="F283" i="15"/>
  <c r="D155" i="15"/>
  <c r="C244" i="15"/>
  <c r="J229" i="15"/>
  <c r="H230" i="15"/>
  <c r="F231" i="15"/>
  <c r="D157" i="15"/>
  <c r="B292" i="15"/>
  <c r="I159" i="15"/>
  <c r="G161" i="15"/>
  <c r="E163" i="15"/>
  <c r="C8" i="15"/>
  <c r="J245" i="15"/>
  <c r="H248" i="15"/>
  <c r="F250" i="15"/>
  <c r="D19" i="15"/>
  <c r="B339" i="15"/>
  <c r="I165" i="15"/>
  <c r="G167" i="15"/>
  <c r="E26" i="15"/>
  <c r="C28" i="15"/>
  <c r="J266" i="15"/>
  <c r="H29" i="15"/>
  <c r="F256" i="15"/>
  <c r="D322" i="15"/>
  <c r="B271" i="15"/>
  <c r="I31" i="15"/>
  <c r="H294" i="15"/>
  <c r="F32" i="15"/>
  <c r="D169" i="15"/>
  <c r="B171" i="15"/>
  <c r="I172" i="15"/>
  <c r="G272" i="15"/>
  <c r="E257" i="15"/>
  <c r="C173" i="15"/>
  <c r="J258" i="15"/>
  <c r="H259" i="15"/>
  <c r="F274" i="15"/>
  <c r="D275" i="15"/>
  <c r="B71" i="15"/>
  <c r="I72" i="15"/>
  <c r="G33" i="15"/>
  <c r="E277" i="15"/>
  <c r="C109" i="15"/>
  <c r="J110" i="15"/>
  <c r="H73" i="15"/>
  <c r="F75" i="15"/>
  <c r="D77" i="15"/>
  <c r="B34" i="15"/>
  <c r="I224" i="15"/>
  <c r="G36" i="15"/>
  <c r="E80" i="15"/>
  <c r="C82" i="15"/>
  <c r="J83" i="15"/>
  <c r="H85" i="15"/>
  <c r="F37" i="15"/>
  <c r="D87" i="15"/>
  <c r="B88" i="15"/>
  <c r="I305" i="15"/>
  <c r="G176" i="15"/>
  <c r="E178" i="15"/>
  <c r="C307" i="15"/>
  <c r="J311" i="15"/>
  <c r="H309" i="15"/>
  <c r="F308" i="15"/>
  <c r="D235" i="15"/>
  <c r="B89" i="15"/>
  <c r="I90" i="15"/>
  <c r="B91" i="15"/>
  <c r="J91" i="15"/>
  <c r="I92" i="15"/>
  <c r="H93" i="15"/>
  <c r="G302" i="15"/>
  <c r="F261" i="15"/>
  <c r="E180" i="15"/>
  <c r="D181" i="15"/>
  <c r="C313" i="15"/>
  <c r="B303" i="15"/>
  <c r="J303" i="15"/>
  <c r="I227" i="15"/>
  <c r="H314" i="15"/>
  <c r="G182" i="15"/>
  <c r="F183" i="15"/>
  <c r="E262" i="15"/>
  <c r="D184" i="15"/>
  <c r="C185" i="15"/>
  <c r="B186" i="15"/>
  <c r="J186" i="15"/>
  <c r="I125" i="15"/>
  <c r="H315" i="15"/>
  <c r="G94" i="15"/>
  <c r="F95" i="15"/>
  <c r="E269" i="15"/>
  <c r="D187" i="15"/>
  <c r="C188" i="15"/>
  <c r="B189" i="15"/>
  <c r="J189" i="15"/>
  <c r="I190" i="15"/>
  <c r="H191" i="15"/>
  <c r="G317" i="15"/>
  <c r="F318" i="15"/>
  <c r="E192" i="15"/>
  <c r="D330" i="15"/>
  <c r="C343" i="15"/>
  <c r="B319" i="15"/>
  <c r="J319" i="15"/>
  <c r="I320" i="15"/>
  <c r="H346" i="15"/>
  <c r="G96" i="15"/>
  <c r="F97" i="15"/>
  <c r="E325" i="15"/>
  <c r="D326" i="15"/>
  <c r="C327" i="15"/>
  <c r="B263" i="15"/>
  <c r="J263" i="15"/>
  <c r="I328" i="15"/>
  <c r="H331" i="15"/>
  <c r="G329" i="15"/>
  <c r="F324" i="15"/>
  <c r="E193" i="15"/>
  <c r="D194" i="15"/>
  <c r="C98" i="15"/>
  <c r="B99" i="15"/>
  <c r="J99" i="15"/>
  <c r="I195" i="15"/>
  <c r="H196" i="15"/>
  <c r="G111" i="15"/>
  <c r="F112" i="15"/>
  <c r="E344" i="15"/>
  <c r="D264" i="15"/>
  <c r="C340" i="15"/>
  <c r="B286" i="15"/>
  <c r="J286" i="15"/>
  <c r="I345" i="15"/>
  <c r="H341" i="15"/>
  <c r="G197" i="15"/>
  <c r="F198" i="15"/>
  <c r="E241" i="15"/>
  <c r="D287" i="15"/>
  <c r="C199" i="15"/>
  <c r="B200" i="15"/>
  <c r="J200" i="15"/>
  <c r="I270" i="15"/>
  <c r="H100" i="15"/>
  <c r="G101" i="15"/>
  <c r="F40" i="15"/>
  <c r="E201" i="15"/>
  <c r="D202" i="15"/>
  <c r="C203" i="15"/>
  <c r="B348" i="15"/>
  <c r="J348" i="15"/>
  <c r="J349" i="15"/>
  <c r="J350" i="15"/>
  <c r="I41" i="15"/>
  <c r="I351" i="15"/>
  <c r="H228" i="15"/>
  <c r="G236" i="15"/>
  <c r="F47" i="15"/>
  <c r="E102" i="15"/>
  <c r="D103" i="15"/>
  <c r="C48" i="15"/>
  <c r="B237" i="15"/>
  <c r="J237" i="15"/>
  <c r="I49" i="15"/>
  <c r="H24" i="15"/>
  <c r="G290" i="15"/>
  <c r="F50" i="15"/>
  <c r="E204" i="15"/>
  <c r="D205" i="15"/>
  <c r="C206" i="15"/>
  <c r="B207" i="15"/>
  <c r="J207" i="15"/>
  <c r="I208" i="15"/>
  <c r="H209" i="15"/>
  <c r="H352" i="15"/>
  <c r="G210" i="15"/>
  <c r="F211" i="15"/>
  <c r="E212" i="15"/>
  <c r="D213" i="15"/>
  <c r="C214" i="15"/>
  <c r="B215" i="15"/>
  <c r="J215" i="15"/>
  <c r="I216" i="15"/>
  <c r="H217" i="15"/>
  <c r="G218" i="15"/>
  <c r="F219" i="15"/>
  <c r="E220" i="15"/>
  <c r="D51" i="15"/>
  <c r="C104" i="15"/>
  <c r="B52" i="15"/>
  <c r="J52" i="15"/>
  <c r="I291" i="15"/>
  <c r="H105" i="15"/>
  <c r="G53" i="15"/>
  <c r="F44" i="15"/>
  <c r="E238" i="15"/>
  <c r="D280" i="15"/>
  <c r="B128" i="15"/>
  <c r="I129" i="15"/>
  <c r="G130" i="15"/>
  <c r="E55" i="15"/>
  <c r="C57" i="15"/>
  <c r="J4" i="15"/>
  <c r="H268" i="15"/>
  <c r="F6" i="15"/>
  <c r="D332" i="15"/>
  <c r="B59" i="15"/>
  <c r="I60" i="15"/>
  <c r="G333" i="15"/>
  <c r="E9" i="15"/>
  <c r="C12" i="15"/>
  <c r="J323" i="15"/>
  <c r="H14" i="15"/>
  <c r="F15" i="15"/>
  <c r="D133" i="15"/>
  <c r="B17" i="15"/>
  <c r="I18" i="15"/>
  <c r="G61" i="15"/>
  <c r="E45" i="15"/>
  <c r="C46" i="15"/>
  <c r="J106" i="15"/>
  <c r="H134" i="15"/>
  <c r="F136" i="15"/>
  <c r="D20" i="15"/>
  <c r="B114" i="15"/>
  <c r="I115" i="15"/>
  <c r="G119" i="15"/>
  <c r="E121" i="15"/>
  <c r="C123" i="15"/>
  <c r="J137" i="15"/>
  <c r="H139" i="15"/>
  <c r="F141" i="15"/>
  <c r="D126" i="15"/>
  <c r="B253" i="15"/>
  <c r="I142" i="15"/>
  <c r="G66" i="15"/>
  <c r="E321" i="15"/>
  <c r="C222" i="15"/>
  <c r="J225" i="15"/>
  <c r="H144" i="15"/>
  <c r="F146" i="15"/>
  <c r="D148" i="15"/>
  <c r="B335" i="15"/>
  <c r="I150" i="15"/>
  <c r="G67" i="15"/>
  <c r="E69" i="15"/>
  <c r="C22" i="15"/>
  <c r="J336" i="15"/>
  <c r="H338" i="15"/>
  <c r="F10" i="15"/>
  <c r="D254" i="15"/>
  <c r="B353" i="15"/>
  <c r="I23" i="15"/>
  <c r="G70" i="15"/>
  <c r="E107" i="15"/>
  <c r="C153" i="15"/>
  <c r="J154" i="15"/>
  <c r="H284" i="15"/>
  <c r="F156" i="15"/>
  <c r="E229" i="15"/>
  <c r="C230" i="15"/>
  <c r="J233" i="15"/>
  <c r="H234" i="15"/>
  <c r="F158" i="15"/>
  <c r="D159" i="15"/>
  <c r="B161" i="15"/>
  <c r="I162" i="15"/>
  <c r="G7" i="15"/>
  <c r="E245" i="15"/>
  <c r="C248" i="15"/>
  <c r="J247" i="15"/>
  <c r="H251" i="15"/>
  <c r="F164" i="15"/>
  <c r="D165" i="15"/>
  <c r="B167" i="15"/>
  <c r="I265" i="15"/>
  <c r="G27" i="15"/>
  <c r="E266" i="15"/>
  <c r="C29" i="15"/>
  <c r="J30" i="15"/>
  <c r="H168" i="15"/>
  <c r="F240" i="15"/>
  <c r="D31" i="15"/>
  <c r="C294" i="15"/>
  <c r="J295" i="15"/>
  <c r="H296" i="15"/>
  <c r="F170" i="15"/>
  <c r="D172" i="15"/>
  <c r="B272" i="15"/>
  <c r="I285" i="15"/>
  <c r="G273" i="15"/>
  <c r="E258" i="15"/>
  <c r="C259" i="15"/>
  <c r="J260" i="15"/>
  <c r="H297" i="15"/>
  <c r="F298" i="15"/>
  <c r="D72" i="15"/>
  <c r="B33" i="15"/>
  <c r="I276" i="15"/>
  <c r="G278" i="15"/>
  <c r="E110" i="15"/>
  <c r="C73" i="15"/>
  <c r="J74" i="15"/>
  <c r="H76" i="15"/>
  <c r="F78" i="15"/>
  <c r="D224" i="15"/>
  <c r="B36" i="15"/>
  <c r="I79" i="15"/>
  <c r="G81" i="15"/>
  <c r="E83" i="15"/>
  <c r="C85" i="15"/>
  <c r="J175" i="15"/>
  <c r="H86" i="15"/>
  <c r="F300" i="15"/>
  <c r="D305" i="15"/>
  <c r="B176" i="15"/>
  <c r="I177" i="15"/>
  <c r="G306" i="15"/>
  <c r="E311" i="15"/>
  <c r="C309" i="15"/>
  <c r="J226" i="15"/>
  <c r="H179" i="15"/>
  <c r="F38" i="15"/>
  <c r="D90" i="15"/>
  <c r="I39" i="15"/>
  <c r="H91" i="15"/>
  <c r="G92" i="15"/>
  <c r="F93" i="15"/>
  <c r="E302" i="15"/>
  <c r="D261" i="15"/>
  <c r="C180" i="15"/>
  <c r="B181" i="15"/>
  <c r="J181" i="15"/>
  <c r="I313" i="15"/>
  <c r="H303" i="15"/>
  <c r="G227" i="15"/>
  <c r="F314" i="15"/>
  <c r="E182" i="15"/>
  <c r="D183" i="15"/>
  <c r="C262" i="15"/>
  <c r="B184" i="15"/>
  <c r="J184" i="15"/>
  <c r="I185" i="15"/>
  <c r="H186" i="15"/>
  <c r="G125" i="15"/>
  <c r="F315" i="15"/>
  <c r="E94" i="15"/>
  <c r="D95" i="15"/>
  <c r="C269" i="15"/>
  <c r="B187" i="15"/>
  <c r="J187" i="15"/>
  <c r="I188" i="15"/>
  <c r="H189" i="15"/>
  <c r="G190" i="15"/>
  <c r="F191" i="15"/>
  <c r="E317" i="15"/>
  <c r="D318" i="15"/>
  <c r="C192" i="15"/>
  <c r="B330" i="15"/>
  <c r="J330" i="15"/>
  <c r="I343" i="15"/>
  <c r="H319" i="15"/>
  <c r="G320" i="15"/>
  <c r="F346" i="15"/>
  <c r="E96" i="15"/>
  <c r="D97" i="15"/>
  <c r="C325" i="15"/>
  <c r="B326" i="15"/>
  <c r="J326" i="15"/>
  <c r="I327" i="15"/>
  <c r="H263" i="15"/>
  <c r="G328" i="15"/>
  <c r="F331" i="15"/>
  <c r="E329" i="15"/>
  <c r="D324" i="15"/>
  <c r="C193" i="15"/>
  <c r="B194" i="15"/>
  <c r="J194" i="15"/>
  <c r="I98" i="15"/>
  <c r="H99" i="15"/>
  <c r="G195" i="15"/>
  <c r="F196" i="15"/>
  <c r="E111" i="15"/>
  <c r="D112" i="15"/>
  <c r="C344" i="15"/>
  <c r="B264" i="15"/>
  <c r="J264" i="15"/>
  <c r="I340" i="15"/>
  <c r="H286" i="15"/>
  <c r="G345" i="15"/>
  <c r="F341" i="15"/>
  <c r="E197" i="15"/>
  <c r="D198" i="15"/>
  <c r="C241" i="15"/>
  <c r="B287" i="15"/>
  <c r="J287" i="15"/>
  <c r="I199" i="15"/>
  <c r="H200" i="15"/>
  <c r="G270" i="15"/>
  <c r="F100" i="15"/>
  <c r="E101" i="15"/>
  <c r="D40" i="15"/>
  <c r="C201" i="15"/>
  <c r="B202" i="15"/>
  <c r="J202" i="15"/>
  <c r="I203" i="15"/>
  <c r="H348" i="15"/>
  <c r="H349" i="15"/>
  <c r="H350" i="15"/>
  <c r="G41" i="15"/>
  <c r="G351" i="15"/>
  <c r="F228" i="15"/>
  <c r="E236" i="15"/>
  <c r="D47" i="15"/>
  <c r="C102" i="15"/>
  <c r="B103" i="15"/>
  <c r="J103" i="15"/>
  <c r="I48" i="15"/>
  <c r="H237" i="15"/>
  <c r="G49" i="15"/>
  <c r="F24" i="15"/>
  <c r="E290" i="15"/>
  <c r="D50" i="15"/>
  <c r="C204" i="15"/>
  <c r="B205" i="15"/>
  <c r="J205" i="15"/>
  <c r="I206" i="15"/>
  <c r="H207" i="15"/>
  <c r="G208" i="15"/>
  <c r="F209" i="15"/>
  <c r="F352" i="15"/>
  <c r="E210" i="15"/>
  <c r="D211" i="15"/>
  <c r="C212" i="15"/>
  <c r="B213" i="15"/>
  <c r="J213" i="15"/>
  <c r="I214" i="15"/>
  <c r="H215" i="15"/>
  <c r="G216" i="15"/>
  <c r="F217" i="15"/>
  <c r="E218" i="15"/>
  <c r="D219" i="15"/>
  <c r="C220" i="15"/>
  <c r="B51" i="15"/>
  <c r="J51" i="15"/>
  <c r="I104" i="15"/>
  <c r="H52" i="15"/>
  <c r="G291" i="15"/>
  <c r="F105" i="15"/>
  <c r="E53" i="15"/>
  <c r="D44" i="15"/>
  <c r="C238" i="15"/>
  <c r="J221" i="15"/>
  <c r="B221" i="15"/>
  <c r="C43" i="15"/>
  <c r="D347" i="15"/>
  <c r="E304" i="15"/>
  <c r="F42" i="15"/>
  <c r="G357" i="15"/>
  <c r="H356" i="15"/>
  <c r="I355" i="15"/>
  <c r="J354" i="15"/>
  <c r="B354" i="15"/>
  <c r="C54" i="15"/>
  <c r="D301" i="15"/>
  <c r="E25" i="15"/>
  <c r="D238" i="15"/>
  <c r="J53" i="15"/>
  <c r="E105" i="15"/>
  <c r="I52" i="15"/>
  <c r="B104" i="15"/>
  <c r="D220" i="15"/>
  <c r="F218" i="15"/>
  <c r="H216" i="15"/>
  <c r="J214" i="15"/>
  <c r="C213" i="15"/>
  <c r="E211" i="15"/>
  <c r="G352" i="15"/>
  <c r="H208" i="15"/>
  <c r="J206" i="15"/>
  <c r="C205" i="15"/>
  <c r="E50" i="15"/>
  <c r="G24" i="15"/>
  <c r="I237" i="15"/>
  <c r="B48" i="15"/>
  <c r="D102" i="15"/>
  <c r="F236" i="15"/>
  <c r="H351" i="15"/>
  <c r="I350" i="15"/>
  <c r="I348" i="15"/>
  <c r="B203" i="15"/>
  <c r="D201" i="15"/>
  <c r="F101" i="15"/>
  <c r="H270" i="15"/>
  <c r="J199" i="15"/>
  <c r="C287" i="15"/>
  <c r="E198" i="15"/>
  <c r="G341" i="15"/>
  <c r="I286" i="15"/>
  <c r="B340" i="15"/>
  <c r="D344" i="15"/>
  <c r="F111" i="15"/>
  <c r="H195" i="15"/>
  <c r="J98" i="15"/>
  <c r="C194" i="15"/>
  <c r="E324" i="15"/>
  <c r="G331" i="15"/>
  <c r="I263" i="15"/>
  <c r="B327" i="15"/>
  <c r="D325" i="15"/>
  <c r="F96" i="15"/>
  <c r="H320" i="15"/>
  <c r="J343" i="15"/>
  <c r="C330" i="15"/>
  <c r="E318" i="15"/>
  <c r="G191" i="15"/>
  <c r="I189" i="15"/>
  <c r="B188" i="15"/>
  <c r="D269" i="15"/>
  <c r="F94" i="15"/>
  <c r="H125" i="15"/>
  <c r="J185" i="15"/>
  <c r="C184" i="15"/>
  <c r="E183" i="15"/>
  <c r="G314" i="15"/>
  <c r="I303" i="15"/>
  <c r="B313" i="15"/>
  <c r="D180" i="15"/>
  <c r="F302" i="15"/>
  <c r="H92" i="15"/>
  <c r="J39" i="15"/>
  <c r="G38" i="15"/>
  <c r="B308" i="15"/>
  <c r="F311" i="15"/>
  <c r="J177" i="15"/>
  <c r="E305" i="15"/>
  <c r="I86" i="15"/>
  <c r="D85" i="15"/>
  <c r="H81" i="15"/>
  <c r="C36" i="15"/>
  <c r="G78" i="15"/>
  <c r="B75" i="15"/>
  <c r="F110" i="15"/>
  <c r="J276" i="15"/>
  <c r="E72" i="15"/>
  <c r="I297" i="15"/>
  <c r="D259" i="15"/>
  <c r="H273" i="15"/>
  <c r="C272" i="15"/>
  <c r="G170" i="15"/>
  <c r="B32" i="15"/>
  <c r="E31" i="15"/>
  <c r="I168" i="15"/>
  <c r="D29" i="15"/>
  <c r="H27" i="15"/>
  <c r="C167" i="15"/>
  <c r="G164" i="15"/>
  <c r="B250" i="15"/>
  <c r="F245" i="15"/>
  <c r="J162" i="15"/>
  <c r="E159" i="15"/>
  <c r="I234" i="15"/>
  <c r="D230" i="15"/>
  <c r="G156" i="15"/>
  <c r="B283" i="15"/>
  <c r="F107" i="15"/>
  <c r="J23" i="15"/>
  <c r="E254" i="15"/>
  <c r="I338" i="15"/>
  <c r="D22" i="15"/>
  <c r="H67" i="15"/>
  <c r="C335" i="15"/>
  <c r="G146" i="15"/>
  <c r="B223" i="15"/>
  <c r="F321" i="15"/>
  <c r="J142" i="15"/>
  <c r="E126" i="15"/>
  <c r="I139" i="15"/>
  <c r="D123" i="15"/>
  <c r="H119" i="15"/>
  <c r="C114" i="15"/>
  <c r="G136" i="15"/>
  <c r="B316" i="15"/>
  <c r="F45" i="15"/>
  <c r="J18" i="15"/>
  <c r="E133" i="15"/>
  <c r="I14" i="15"/>
  <c r="D12" i="15"/>
  <c r="H333" i="15"/>
  <c r="C59" i="15"/>
  <c r="G6" i="15"/>
  <c r="B58" i="15"/>
  <c r="F55" i="15"/>
  <c r="J129" i="15"/>
  <c r="B280" i="15"/>
  <c r="C221" i="15"/>
  <c r="D43" i="15"/>
  <c r="E347" i="15"/>
  <c r="F304" i="15"/>
  <c r="G42" i="15"/>
  <c r="H357" i="15"/>
  <c r="I356" i="15"/>
  <c r="J355" i="15"/>
  <c r="B355" i="15"/>
  <c r="C354" i="15"/>
  <c r="D54" i="15"/>
  <c r="E301" i="15"/>
  <c r="F25" i="15"/>
  <c r="F238" i="15"/>
  <c r="B44" i="15"/>
  <c r="G105" i="15"/>
  <c r="D291" i="15"/>
  <c r="F104" i="15"/>
  <c r="H220" i="15"/>
  <c r="J218" i="15"/>
  <c r="C217" i="15"/>
  <c r="E215" i="15"/>
  <c r="G213" i="15"/>
  <c r="I211" i="15"/>
  <c r="B210" i="15"/>
  <c r="C209" i="15"/>
  <c r="E207" i="15"/>
  <c r="G205" i="15"/>
  <c r="I50" i="15"/>
  <c r="B290" i="15"/>
  <c r="D49" i="15"/>
  <c r="F48" i="15"/>
  <c r="H102" i="15"/>
  <c r="J236" i="15"/>
  <c r="C228" i="15"/>
  <c r="D41" i="15"/>
  <c r="E349" i="15"/>
  <c r="F203" i="15"/>
  <c r="H201" i="15"/>
  <c r="J101" i="15"/>
  <c r="C100" i="15"/>
  <c r="E200" i="15"/>
  <c r="G287" i="15"/>
  <c r="I198" i="15"/>
  <c r="B197" i="15"/>
  <c r="D345" i="15"/>
  <c r="F340" i="15"/>
  <c r="H344" i="15"/>
  <c r="J111" i="15"/>
  <c r="C196" i="15"/>
  <c r="E99" i="15"/>
  <c r="G194" i="15"/>
  <c r="I324" i="15"/>
  <c r="B329" i="15"/>
  <c r="D328" i="15"/>
  <c r="F327" i="15"/>
  <c r="H325" i="15"/>
  <c r="J96" i="15"/>
  <c r="C346" i="15"/>
  <c r="E319" i="15"/>
  <c r="G330" i="15"/>
  <c r="I318" i="15"/>
  <c r="B317" i="15"/>
  <c r="D190" i="15"/>
  <c r="F188" i="15"/>
  <c r="H269" i="15"/>
  <c r="J94" i="15"/>
  <c r="C315" i="15"/>
  <c r="E186" i="15"/>
  <c r="G184" i="15"/>
  <c r="I183" i="15"/>
  <c r="B182" i="15"/>
  <c r="D227" i="15"/>
  <c r="F313" i="15"/>
  <c r="H180" i="15"/>
  <c r="J302" i="15"/>
  <c r="C93" i="15"/>
  <c r="E91" i="15"/>
  <c r="F89" i="15"/>
  <c r="J308" i="15"/>
  <c r="E312" i="15"/>
  <c r="I178" i="15"/>
  <c r="D310" i="15"/>
  <c r="H87" i="15"/>
  <c r="C175" i="15"/>
  <c r="G82" i="15"/>
  <c r="B79" i="15"/>
  <c r="F34" i="15"/>
  <c r="J75" i="15"/>
  <c r="E174" i="15"/>
  <c r="I277" i="15"/>
  <c r="D299" i="15"/>
  <c r="H275" i="15"/>
  <c r="C260" i="15"/>
  <c r="G173" i="15"/>
  <c r="B285" i="15"/>
  <c r="F171" i="15"/>
  <c r="J32" i="15"/>
  <c r="E293" i="15"/>
  <c r="H322" i="15"/>
  <c r="C30" i="15"/>
  <c r="G28" i="15"/>
  <c r="B265" i="15"/>
  <c r="F339" i="15"/>
  <c r="J250" i="15"/>
  <c r="E246" i="15"/>
  <c r="I163" i="15"/>
  <c r="D160" i="15"/>
  <c r="H157" i="15"/>
  <c r="C233" i="15"/>
  <c r="G244" i="15"/>
  <c r="J283" i="15"/>
  <c r="E108" i="15"/>
  <c r="I242" i="15"/>
  <c r="D255" i="15"/>
  <c r="H151" i="15"/>
  <c r="C336" i="15"/>
  <c r="G68" i="15"/>
  <c r="B150" i="15"/>
  <c r="F147" i="15"/>
  <c r="J223" i="15"/>
  <c r="E143" i="15"/>
  <c r="I65" i="15"/>
  <c r="D252" i="15"/>
  <c r="H140" i="15"/>
  <c r="C137" i="15"/>
  <c r="G120" i="15"/>
  <c r="B115" i="15"/>
  <c r="F117" i="15"/>
  <c r="J316" i="15"/>
  <c r="E63" i="15"/>
  <c r="I282" i="15"/>
  <c r="D116" i="15"/>
  <c r="H289" i="15"/>
  <c r="C323" i="15"/>
  <c r="G334" i="15"/>
  <c r="B60" i="15"/>
  <c r="F131" i="15"/>
  <c r="J58" i="15"/>
  <c r="E56" i="15"/>
  <c r="I3" i="15"/>
  <c r="E280" i="15"/>
  <c r="E221" i="15"/>
  <c r="H304" i="15"/>
  <c r="J357" i="15"/>
  <c r="B357" i="15"/>
  <c r="D355" i="15"/>
  <c r="F54" i="15"/>
  <c r="I238" i="15"/>
  <c r="B53" i="15"/>
  <c r="H104" i="15"/>
  <c r="C219" i="15"/>
  <c r="G215" i="15"/>
  <c r="B212" i="15"/>
  <c r="E209" i="15"/>
  <c r="I205" i="15"/>
  <c r="D290" i="15"/>
  <c r="H48" i="15"/>
  <c r="C47" i="15"/>
  <c r="F41" i="15"/>
  <c r="H203" i="15"/>
  <c r="C40" i="15"/>
  <c r="G200" i="15"/>
  <c r="B241" i="15"/>
  <c r="F345" i="15"/>
  <c r="J344" i="15"/>
  <c r="E196" i="15"/>
  <c r="I194" i="15"/>
  <c r="D329" i="15"/>
  <c r="H327" i="15"/>
  <c r="C97" i="15"/>
  <c r="G319" i="15"/>
  <c r="B192" i="15"/>
  <c r="F190" i="15"/>
  <c r="J269" i="15"/>
  <c r="E315" i="15"/>
  <c r="I184" i="15"/>
  <c r="D182" i="15"/>
  <c r="H313" i="15"/>
  <c r="C261" i="15"/>
  <c r="G91" i="15"/>
  <c r="F179" i="15"/>
  <c r="E306" i="15"/>
  <c r="D300" i="15"/>
  <c r="C83" i="15"/>
  <c r="B224" i="15"/>
  <c r="J174" i="15"/>
  <c r="I299" i="15"/>
  <c r="H260" i="15"/>
  <c r="G285" i="15"/>
  <c r="F296" i="15"/>
  <c r="D240" i="15"/>
  <c r="C266" i="15"/>
  <c r="B165" i="15"/>
  <c r="J246" i="15"/>
  <c r="I160" i="15"/>
  <c r="H233" i="15"/>
  <c r="F284" i="15"/>
  <c r="E70" i="15"/>
  <c r="D10" i="15"/>
  <c r="C69" i="15"/>
  <c r="G150" i="15"/>
  <c r="B148" i="15"/>
  <c r="F144" i="15"/>
  <c r="J143" i="15"/>
  <c r="E66" i="15"/>
  <c r="I252" i="15"/>
  <c r="D141" i="15"/>
  <c r="H137" i="15"/>
  <c r="G115" i="15"/>
  <c r="B20" i="15"/>
  <c r="F134" i="15"/>
  <c r="J63" i="15"/>
  <c r="E61" i="15"/>
  <c r="I116" i="15"/>
  <c r="D15" i="15"/>
  <c r="H323" i="15"/>
  <c r="C9" i="15"/>
  <c r="G60" i="15"/>
  <c r="B332" i="15"/>
  <c r="F268" i="15"/>
  <c r="J56" i="15"/>
  <c r="E130" i="15"/>
  <c r="I127" i="15"/>
  <c r="F221" i="15"/>
  <c r="G43" i="15"/>
  <c r="H347" i="15"/>
  <c r="I304" i="15"/>
  <c r="J42" i="15"/>
  <c r="B42" i="15"/>
  <c r="C357" i="15"/>
  <c r="D356" i="15"/>
  <c r="E355" i="15"/>
  <c r="F354" i="15"/>
  <c r="G54" i="15"/>
  <c r="H301" i="15"/>
  <c r="I25" i="15"/>
  <c r="J238" i="15"/>
  <c r="G44" i="15"/>
  <c r="C53" i="15"/>
  <c r="H291" i="15"/>
  <c r="J104" i="15"/>
  <c r="C51" i="15"/>
  <c r="E219" i="15"/>
  <c r="G217" i="15"/>
  <c r="I215" i="15"/>
  <c r="B214" i="15"/>
  <c r="D212" i="15"/>
  <c r="F210" i="15"/>
  <c r="G209" i="15"/>
  <c r="I207" i="15"/>
  <c r="B206" i="15"/>
  <c r="D204" i="15"/>
  <c r="F290" i="15"/>
  <c r="H49" i="15"/>
  <c r="J48" i="15"/>
  <c r="C103" i="15"/>
  <c r="E47" i="15"/>
  <c r="G228" i="15"/>
  <c r="H41" i="15"/>
  <c r="I349" i="15"/>
  <c r="J203" i="15"/>
  <c r="C202" i="15"/>
  <c r="E40" i="15"/>
  <c r="G100" i="15"/>
  <c r="I200" i="15"/>
  <c r="B199" i="15"/>
  <c r="D241" i="15"/>
  <c r="F197" i="15"/>
  <c r="H345" i="15"/>
  <c r="J340" i="15"/>
  <c r="C264" i="15"/>
  <c r="E112" i="15"/>
  <c r="G196" i="15"/>
  <c r="I99" i="15"/>
  <c r="B98" i="15"/>
  <c r="D193" i="15"/>
  <c r="F329" i="15"/>
  <c r="H328" i="15"/>
  <c r="J327" i="15"/>
  <c r="C326" i="15"/>
  <c r="E97" i="15"/>
  <c r="G346" i="15"/>
  <c r="I319" i="15"/>
  <c r="B343" i="15"/>
  <c r="D192" i="15"/>
  <c r="F317" i="15"/>
  <c r="H190" i="15"/>
  <c r="J188" i="15"/>
  <c r="C187" i="15"/>
  <c r="E95" i="15"/>
  <c r="G315" i="15"/>
  <c r="I186" i="15"/>
  <c r="B185" i="15"/>
  <c r="D262" i="15"/>
  <c r="F182" i="15"/>
  <c r="H227" i="15"/>
  <c r="J313" i="15"/>
  <c r="C181" i="15"/>
  <c r="E261" i="15"/>
  <c r="G93" i="15"/>
  <c r="I91" i="15"/>
  <c r="E90" i="15"/>
  <c r="I179" i="15"/>
  <c r="D309" i="15"/>
  <c r="H306" i="15"/>
  <c r="C176" i="15"/>
  <c r="G300" i="15"/>
  <c r="B37" i="15"/>
  <c r="F83" i="15"/>
  <c r="J79" i="15"/>
  <c r="E224" i="15"/>
  <c r="I76" i="15"/>
  <c r="D73" i="15"/>
  <c r="H278" i="15"/>
  <c r="C33" i="15"/>
  <c r="G298" i="15"/>
  <c r="B274" i="15"/>
  <c r="F258" i="15"/>
  <c r="J285" i="15"/>
  <c r="E172" i="15"/>
  <c r="I296" i="15"/>
  <c r="D294" i="15"/>
  <c r="G240" i="15"/>
  <c r="B256" i="15"/>
  <c r="F266" i="15"/>
  <c r="J265" i="15"/>
  <c r="E165" i="15"/>
  <c r="I251" i="15"/>
  <c r="D248" i="15"/>
  <c r="H7" i="15"/>
  <c r="C161" i="15"/>
  <c r="G158" i="15"/>
  <c r="B231" i="15"/>
  <c r="F229" i="15"/>
  <c r="I284" i="15"/>
  <c r="D153" i="15"/>
  <c r="H70" i="15"/>
  <c r="C353" i="15"/>
  <c r="G10" i="15"/>
  <c r="B337" i="15"/>
  <c r="F69" i="15"/>
  <c r="J150" i="15"/>
  <c r="E148" i="15"/>
  <c r="I144" i="15"/>
  <c r="D222" i="15"/>
  <c r="H66" i="15"/>
  <c r="C253" i="15"/>
  <c r="G141" i="15"/>
  <c r="B138" i="15"/>
  <c r="F121" i="15"/>
  <c r="J115" i="15"/>
  <c r="E20" i="15"/>
  <c r="I134" i="15"/>
  <c r="D46" i="15"/>
  <c r="H61" i="15"/>
  <c r="C17" i="15"/>
  <c r="G15" i="15"/>
  <c r="B132" i="15"/>
  <c r="F9" i="15"/>
  <c r="J60" i="15"/>
  <c r="E332" i="15"/>
  <c r="I268" i="15"/>
  <c r="D57" i="15"/>
  <c r="H130" i="15"/>
  <c r="C128" i="15"/>
  <c r="F43" i="15"/>
  <c r="G347" i="15"/>
  <c r="I42" i="15"/>
  <c r="C356" i="15"/>
  <c r="E354" i="15"/>
  <c r="G301" i="15"/>
  <c r="H25" i="15"/>
  <c r="E44" i="15"/>
  <c r="F291" i="15"/>
  <c r="J220" i="15"/>
  <c r="E217" i="15"/>
  <c r="I213" i="15"/>
  <c r="D210" i="15"/>
  <c r="G207" i="15"/>
  <c r="B204" i="15"/>
  <c r="F49" i="15"/>
  <c r="J102" i="15"/>
  <c r="E228" i="15"/>
  <c r="G349" i="15"/>
  <c r="J201" i="15"/>
  <c r="E100" i="15"/>
  <c r="I287" i="15"/>
  <c r="D197" i="15"/>
  <c r="H340" i="15"/>
  <c r="C112" i="15"/>
  <c r="G99" i="15"/>
  <c r="B193" i="15"/>
  <c r="F328" i="15"/>
  <c r="J325" i="15"/>
  <c r="E346" i="15"/>
  <c r="I330" i="15"/>
  <c r="D317" i="15"/>
  <c r="H188" i="15"/>
  <c r="C95" i="15"/>
  <c r="G186" i="15"/>
  <c r="B262" i="15"/>
  <c r="F227" i="15"/>
  <c r="J180" i="15"/>
  <c r="E93" i="15"/>
  <c r="B90" i="15"/>
  <c r="J312" i="15"/>
  <c r="I310" i="15"/>
  <c r="H175" i="15"/>
  <c r="G79" i="15"/>
  <c r="F76" i="15"/>
  <c r="E278" i="15"/>
  <c r="D298" i="15"/>
  <c r="C258" i="15"/>
  <c r="B172" i="15"/>
  <c r="J293" i="15"/>
  <c r="H30" i="15"/>
  <c r="G265" i="15"/>
  <c r="F251" i="15"/>
  <c r="E7" i="15"/>
  <c r="D158" i="15"/>
  <c r="C229" i="15"/>
  <c r="J108" i="15"/>
  <c r="I255" i="15"/>
  <c r="H336" i="15"/>
  <c r="G221" i="15"/>
  <c r="H43" i="15"/>
  <c r="I347" i="15"/>
  <c r="J304" i="15"/>
  <c r="B304" i="15"/>
  <c r="C42" i="15"/>
  <c r="D357" i="15"/>
  <c r="E356" i="15"/>
  <c r="F355" i="15"/>
  <c r="G354" i="15"/>
  <c r="H54" i="15"/>
  <c r="I301" i="15"/>
  <c r="J25" i="15"/>
  <c r="B25" i="15"/>
  <c r="I44" i="15"/>
  <c r="D53" i="15"/>
  <c r="J291" i="15"/>
  <c r="E52" i="15"/>
  <c r="G51" i="15"/>
  <c r="I219" i="15"/>
  <c r="B218" i="15"/>
  <c r="D216" i="15"/>
  <c r="F214" i="15"/>
  <c r="H212" i="15"/>
  <c r="J210" i="15"/>
  <c r="C352" i="15"/>
  <c r="D208" i="15"/>
  <c r="F206" i="15"/>
  <c r="H204" i="15"/>
  <c r="J290" i="15"/>
  <c r="C24" i="15"/>
  <c r="E237" i="15"/>
  <c r="G103" i="15"/>
  <c r="I47" i="15"/>
  <c r="B236" i="15"/>
  <c r="D351" i="15"/>
  <c r="E350" i="15"/>
  <c r="E348" i="15"/>
  <c r="G202" i="15"/>
  <c r="I40" i="15"/>
  <c r="B101" i="15"/>
  <c r="D270" i="15"/>
  <c r="F199" i="15"/>
  <c r="H241" i="15"/>
  <c r="J197" i="15"/>
  <c r="C341" i="15"/>
  <c r="E286" i="15"/>
  <c r="G264" i="15"/>
  <c r="I112" i="15"/>
  <c r="B111" i="15"/>
  <c r="D195" i="15"/>
  <c r="F98" i="15"/>
  <c r="H193" i="15"/>
  <c r="J329" i="15"/>
  <c r="C331" i="15"/>
  <c r="E263" i="15"/>
  <c r="G326" i="15"/>
  <c r="I97" i="15"/>
  <c r="B96" i="15"/>
  <c r="D320" i="15"/>
  <c r="F343" i="15"/>
  <c r="H192" i="15"/>
  <c r="J317" i="15"/>
  <c r="C191" i="15"/>
  <c r="E189" i="15"/>
  <c r="G187" i="15"/>
  <c r="I95" i="15"/>
  <c r="B94" i="15"/>
  <c r="D125" i="15"/>
  <c r="F185" i="15"/>
  <c r="H262" i="15"/>
  <c r="J182" i="15"/>
  <c r="C314" i="15"/>
  <c r="E303" i="15"/>
  <c r="G181" i="15"/>
  <c r="I261" i="15"/>
  <c r="B302" i="15"/>
  <c r="D92" i="15"/>
  <c r="D39" i="15"/>
  <c r="H235" i="15"/>
  <c r="C226" i="15"/>
  <c r="G307" i="15"/>
  <c r="B177" i="15"/>
  <c r="F88" i="15"/>
  <c r="J37" i="15"/>
  <c r="E84" i="15"/>
  <c r="I80" i="15"/>
  <c r="D35" i="15"/>
  <c r="H77" i="15"/>
  <c r="C74" i="15"/>
  <c r="G109" i="15"/>
  <c r="B276" i="15"/>
  <c r="F71" i="15"/>
  <c r="J274" i="15"/>
  <c r="E342" i="15"/>
  <c r="I257" i="15"/>
  <c r="D124" i="15"/>
  <c r="H169" i="15"/>
  <c r="C295" i="15"/>
  <c r="F271" i="15"/>
  <c r="J256" i="15"/>
  <c r="E267" i="15"/>
  <c r="I26" i="15"/>
  <c r="D166" i="15"/>
  <c r="H19" i="15"/>
  <c r="C247" i="15"/>
  <c r="G8" i="15"/>
  <c r="B162" i="15"/>
  <c r="F292" i="15"/>
  <c r="J231" i="15"/>
  <c r="E232" i="15"/>
  <c r="H155" i="15"/>
  <c r="C154" i="15"/>
  <c r="G243" i="15"/>
  <c r="B23" i="15"/>
  <c r="F152" i="15"/>
  <c r="J337" i="15"/>
  <c r="E239" i="15"/>
  <c r="I21" i="15"/>
  <c r="D149" i="15"/>
  <c r="H145" i="15"/>
  <c r="C225" i="15"/>
  <c r="G249" i="15"/>
  <c r="B142" i="15"/>
  <c r="F64" i="15"/>
  <c r="J138" i="15"/>
  <c r="E122" i="15"/>
  <c r="I118" i="15"/>
  <c r="D113" i="15"/>
  <c r="H135" i="15"/>
  <c r="C106" i="15"/>
  <c r="G62" i="15"/>
  <c r="B18" i="15"/>
  <c r="F16" i="15"/>
  <c r="J132" i="15"/>
  <c r="E11" i="15"/>
  <c r="I288" i="15"/>
  <c r="D13" i="15"/>
  <c r="H5" i="15"/>
  <c r="C4" i="15"/>
  <c r="G281" i="15"/>
  <c r="B129" i="15"/>
  <c r="H221" i="15"/>
  <c r="I43" i="15"/>
  <c r="J347" i="15"/>
  <c r="B347" i="15"/>
  <c r="C304" i="15"/>
  <c r="D42" i="15"/>
  <c r="E357" i="15"/>
  <c r="F356" i="15"/>
  <c r="G355" i="15"/>
  <c r="H354" i="15"/>
  <c r="I54" i="15"/>
  <c r="J301" i="15"/>
  <c r="B301" i="15"/>
  <c r="C25" i="15"/>
  <c r="J44" i="15"/>
  <c r="F53" i="15"/>
  <c r="C105" i="15"/>
  <c r="F52" i="15"/>
  <c r="H51" i="15"/>
  <c r="J219" i="15"/>
  <c r="C218" i="15"/>
  <c r="E216" i="15"/>
  <c r="G214" i="15"/>
  <c r="I212" i="15"/>
  <c r="B211" i="15"/>
  <c r="D352" i="15"/>
  <c r="E208" i="15"/>
  <c r="G206" i="15"/>
  <c r="I204" i="15"/>
  <c r="B50" i="15"/>
  <c r="D24" i="15"/>
  <c r="F237" i="15"/>
  <c r="H103" i="15"/>
  <c r="J47" i="15"/>
  <c r="C236" i="15"/>
  <c r="E351" i="15"/>
  <c r="F350" i="15"/>
  <c r="F348" i="15"/>
  <c r="H202" i="15"/>
  <c r="J40" i="15"/>
  <c r="C101" i="15"/>
  <c r="E270" i="15"/>
  <c r="G199" i="15"/>
  <c r="I241" i="15"/>
  <c r="B198" i="15"/>
  <c r="D341" i="15"/>
  <c r="F286" i="15"/>
  <c r="H264" i="15"/>
  <c r="J112" i="15"/>
  <c r="C111" i="15"/>
  <c r="E195" i="15"/>
  <c r="G98" i="15"/>
  <c r="I193" i="15"/>
  <c r="B324" i="15"/>
  <c r="D331" i="15"/>
  <c r="F263" i="15"/>
  <c r="H326" i="15"/>
  <c r="J97" i="15"/>
  <c r="C96" i="15"/>
  <c r="E320" i="15"/>
  <c r="G343" i="15"/>
  <c r="I192" i="15"/>
  <c r="B318" i="15"/>
  <c r="D191" i="15"/>
  <c r="F189" i="15"/>
  <c r="H187" i="15"/>
  <c r="J95" i="15"/>
  <c r="C94" i="15"/>
  <c r="E125" i="15"/>
  <c r="G185" i="15"/>
  <c r="I262" i="15"/>
  <c r="B183" i="15"/>
  <c r="D314" i="15"/>
  <c r="F303" i="15"/>
  <c r="H181" i="15"/>
  <c r="J261" i="15"/>
  <c r="C302" i="15"/>
  <c r="E92" i="15"/>
  <c r="E39" i="15"/>
  <c r="C38" i="15"/>
  <c r="G226" i="15"/>
  <c r="B311" i="15"/>
  <c r="F177" i="15"/>
  <c r="J88" i="15"/>
  <c r="E86" i="15"/>
  <c r="I84" i="15"/>
  <c r="D81" i="15"/>
  <c r="H35" i="15"/>
  <c r="C78" i="15"/>
  <c r="G74" i="15"/>
  <c r="B110" i="15"/>
  <c r="F276" i="15"/>
  <c r="J71" i="15"/>
  <c r="E297" i="15"/>
  <c r="I342" i="15"/>
  <c r="D273" i="15"/>
  <c r="H124" i="15"/>
  <c r="C170" i="15"/>
  <c r="G295" i="15"/>
  <c r="J271" i="15"/>
  <c r="E168" i="15"/>
  <c r="I267" i="15"/>
  <c r="D27" i="15"/>
  <c r="H166" i="15"/>
  <c r="C164" i="15"/>
  <c r="G247" i="15"/>
  <c r="B245" i="15"/>
  <c r="F162" i="15"/>
  <c r="J292" i="15"/>
  <c r="E234" i="15"/>
  <c r="I232" i="15"/>
  <c r="C156" i="15"/>
  <c r="G154" i="15"/>
  <c r="B107" i="15"/>
  <c r="F23" i="15"/>
  <c r="J152" i="15"/>
  <c r="E338" i="15"/>
  <c r="I239" i="15"/>
  <c r="D67" i="15"/>
  <c r="H149" i="15"/>
  <c r="C146" i="15"/>
  <c r="G225" i="15"/>
  <c r="B321" i="15"/>
  <c r="F142" i="15"/>
  <c r="J64" i="15"/>
  <c r="E139" i="15"/>
  <c r="I122" i="15"/>
  <c r="D119" i="15"/>
  <c r="H113" i="15"/>
  <c r="C136" i="15"/>
  <c r="G106" i="15"/>
  <c r="B45" i="15"/>
  <c r="F18" i="15"/>
  <c r="J16" i="15"/>
  <c r="E14" i="15"/>
  <c r="I11" i="15"/>
  <c r="D333" i="15"/>
  <c r="H13" i="15"/>
  <c r="C6" i="15"/>
  <c r="G4" i="15"/>
  <c r="B55" i="15"/>
  <c r="F129" i="15"/>
  <c r="B279" i="15"/>
  <c r="G279" i="15"/>
  <c r="F279" i="15"/>
  <c r="H279" i="15"/>
  <c r="I279" i="15"/>
  <c r="J279" i="15"/>
  <c r="D279" i="15"/>
  <c r="C279" i="15"/>
  <c r="E279" i="15"/>
  <c r="J37" i="11"/>
  <c r="J340" i="11"/>
  <c r="J252" i="11"/>
  <c r="J204" i="11"/>
  <c r="J140" i="11"/>
  <c r="J28" i="11"/>
  <c r="J238" i="11"/>
  <c r="I228" i="11"/>
  <c r="J222" i="11"/>
  <c r="I212" i="11"/>
  <c r="J206" i="11"/>
  <c r="I28" i="11"/>
  <c r="I231" i="11"/>
  <c r="J88" i="11"/>
  <c r="J64" i="11"/>
  <c r="J56" i="11"/>
  <c r="J375" i="11"/>
  <c r="J351" i="11"/>
  <c r="J207" i="11"/>
  <c r="J38" i="11"/>
  <c r="J10" i="11"/>
  <c r="J399" i="11"/>
  <c r="J335" i="11"/>
  <c r="J327" i="11"/>
  <c r="J319" i="11"/>
  <c r="J271" i="11"/>
  <c r="J151" i="11"/>
  <c r="J63" i="11"/>
  <c r="J391" i="11"/>
  <c r="J359" i="11"/>
  <c r="J279" i="11"/>
  <c r="J255" i="11"/>
  <c r="J2" i="11"/>
  <c r="J363" i="11"/>
  <c r="J147" i="11"/>
  <c r="J139" i="11"/>
  <c r="J131" i="11"/>
  <c r="J390" i="11"/>
  <c r="J334" i="11"/>
  <c r="J326" i="11"/>
  <c r="J318" i="11"/>
  <c r="J310" i="11"/>
  <c r="J302" i="11"/>
  <c r="J270" i="11"/>
  <c r="J254" i="11"/>
  <c r="J214" i="11"/>
  <c r="J150" i="11"/>
  <c r="J134" i="11"/>
  <c r="J126" i="11"/>
  <c r="J78" i="11"/>
  <c r="J52" i="11"/>
  <c r="J11" i="11"/>
  <c r="I403" i="11"/>
  <c r="J388" i="11"/>
  <c r="J372" i="11"/>
  <c r="I354" i="11"/>
  <c r="I346" i="11"/>
  <c r="J301" i="11"/>
  <c r="J269" i="11"/>
  <c r="J213" i="11"/>
  <c r="J205" i="11"/>
  <c r="J189" i="11"/>
  <c r="J165" i="11"/>
  <c r="J77" i="11"/>
  <c r="J61" i="11"/>
  <c r="J234" i="11"/>
  <c r="J114" i="11"/>
  <c r="J9" i="11"/>
  <c r="J337" i="11"/>
  <c r="J313" i="11"/>
  <c r="I223" i="11"/>
  <c r="J153" i="11"/>
  <c r="J251" i="11"/>
  <c r="J115" i="11"/>
  <c r="J274" i="11"/>
  <c r="J250" i="11"/>
  <c r="J154" i="11"/>
  <c r="J146" i="11"/>
  <c r="I389" i="11"/>
  <c r="J368" i="11"/>
  <c r="J336" i="11"/>
  <c r="J264" i="11"/>
  <c r="J256" i="11"/>
  <c r="J192" i="11"/>
  <c r="J152" i="11"/>
  <c r="I50" i="11"/>
  <c r="I401" i="11"/>
  <c r="I141" i="11"/>
  <c r="J70" i="11"/>
  <c r="J43" i="11"/>
  <c r="J248" i="11"/>
  <c r="J108" i="11"/>
  <c r="J31" i="11"/>
  <c r="I121" i="11"/>
  <c r="I96" i="11"/>
  <c r="J47" i="11"/>
  <c r="I44" i="11"/>
  <c r="J3" i="11"/>
  <c r="J20" i="11"/>
  <c r="J4" i="11"/>
  <c r="J398" i="11"/>
  <c r="J282" i="11"/>
  <c r="I272" i="11"/>
  <c r="J262" i="11"/>
  <c r="I253" i="11"/>
  <c r="J236" i="11"/>
  <c r="J136" i="11"/>
  <c r="I102" i="11"/>
  <c r="J97" i="11"/>
  <c r="I95" i="11"/>
  <c r="I94" i="11"/>
  <c r="J89" i="11"/>
  <c r="J53" i="11"/>
  <c r="I30" i="11"/>
  <c r="J448" i="11"/>
  <c r="J440" i="11"/>
  <c r="J432" i="11"/>
  <c r="I430" i="11"/>
  <c r="I422" i="11"/>
  <c r="I225" i="11"/>
  <c r="I150" i="11"/>
  <c r="J226" i="11"/>
  <c r="I188" i="11"/>
  <c r="J142" i="11"/>
  <c r="J444" i="11"/>
  <c r="J436" i="11"/>
  <c r="J370" i="11"/>
  <c r="J362" i="11"/>
  <c r="J354" i="11"/>
  <c r="J346" i="11"/>
  <c r="J220" i="11"/>
  <c r="I202" i="11"/>
  <c r="J196" i="11"/>
  <c r="I162" i="11"/>
  <c r="J156" i="11"/>
  <c r="I64" i="11"/>
  <c r="J57" i="11"/>
  <c r="J35" i="11"/>
  <c r="I33" i="11"/>
  <c r="I405" i="11"/>
  <c r="J400" i="11"/>
  <c r="I383" i="11"/>
  <c r="J352" i="11"/>
  <c r="I338" i="11"/>
  <c r="J284" i="11"/>
  <c r="J276" i="11"/>
  <c r="J246" i="11"/>
  <c r="I233" i="11"/>
  <c r="J138" i="11"/>
  <c r="I32" i="11"/>
  <c r="J244" i="11"/>
  <c r="J224" i="11"/>
  <c r="J172" i="11"/>
  <c r="I135" i="11"/>
  <c r="J128" i="11"/>
  <c r="J33" i="11"/>
  <c r="I31" i="11"/>
  <c r="J447" i="11"/>
  <c r="I445" i="11"/>
  <c r="J439" i="11"/>
  <c r="I437" i="11"/>
  <c r="J431" i="11"/>
  <c r="J410" i="11"/>
  <c r="J382" i="11"/>
  <c r="J374" i="11"/>
  <c r="J358" i="11"/>
  <c r="J338" i="11"/>
  <c r="I311" i="11"/>
  <c r="J232" i="11"/>
  <c r="I230" i="11"/>
  <c r="I208" i="11"/>
  <c r="J202" i="11"/>
  <c r="I201" i="11"/>
  <c r="J194" i="11"/>
  <c r="J187" i="11"/>
  <c r="I185" i="11"/>
  <c r="I184" i="11"/>
  <c r="J163" i="11"/>
  <c r="I161" i="11"/>
  <c r="I160" i="11"/>
  <c r="J144" i="11"/>
  <c r="I5" i="11"/>
  <c r="J386" i="11"/>
  <c r="J378" i="11"/>
  <c r="J286" i="11"/>
  <c r="J208" i="11"/>
  <c r="J200" i="11"/>
  <c r="J66" i="11"/>
  <c r="I13" i="11"/>
  <c r="J80" i="11"/>
  <c r="J62" i="11"/>
  <c r="J8" i="11"/>
  <c r="J288" i="11"/>
  <c r="J280" i="11"/>
  <c r="J230" i="11"/>
  <c r="J170" i="11"/>
  <c r="I10" i="11"/>
  <c r="I393" i="11"/>
  <c r="I330" i="11"/>
  <c r="J324" i="11"/>
  <c r="J316" i="11"/>
  <c r="I298" i="11"/>
  <c r="J292" i="11"/>
  <c r="J212" i="11"/>
  <c r="J188" i="11"/>
  <c r="J159" i="11"/>
  <c r="J158" i="11"/>
  <c r="I157" i="11"/>
  <c r="I148" i="11"/>
  <c r="I143" i="11"/>
  <c r="I142" i="11"/>
  <c r="I138" i="11"/>
  <c r="I136" i="11"/>
  <c r="J118" i="11"/>
  <c r="J110" i="11"/>
  <c r="I107" i="11"/>
  <c r="J101" i="11"/>
  <c r="I99" i="11"/>
  <c r="I98" i="11"/>
  <c r="J93" i="11"/>
  <c r="I91" i="11"/>
  <c r="I90" i="11"/>
  <c r="J51" i="11"/>
  <c r="I48" i="11"/>
  <c r="J42" i="11"/>
  <c r="I34" i="11"/>
  <c r="J27" i="11"/>
  <c r="I24" i="11"/>
  <c r="J420" i="11"/>
  <c r="I329" i="11"/>
  <c r="I305" i="11"/>
  <c r="J242" i="11"/>
  <c r="J233" i="11"/>
  <c r="J218" i="11"/>
  <c r="I125" i="11"/>
  <c r="J418" i="11"/>
  <c r="J392" i="11"/>
  <c r="J366" i="11"/>
  <c r="I364" i="11"/>
  <c r="I357" i="11"/>
  <c r="J348" i="11"/>
  <c r="J347" i="11"/>
  <c r="I342" i="11"/>
  <c r="J314" i="11"/>
  <c r="J260" i="11"/>
  <c r="J249" i="11"/>
  <c r="J240" i="11"/>
  <c r="I229" i="11"/>
  <c r="J209" i="11"/>
  <c r="I182" i="11"/>
  <c r="J174" i="11"/>
  <c r="J148" i="11"/>
  <c r="J82" i="11"/>
  <c r="J73" i="11"/>
  <c r="J72" i="11"/>
  <c r="I71" i="11"/>
  <c r="J34" i="11"/>
  <c r="I399" i="11"/>
  <c r="I366" i="11"/>
  <c r="J16" i="11"/>
  <c r="J373" i="11"/>
  <c r="J328" i="11"/>
  <c r="J312" i="11"/>
  <c r="J60" i="11"/>
  <c r="J32" i="11"/>
  <c r="J30" i="11"/>
  <c r="I17" i="11"/>
  <c r="I9" i="11"/>
  <c r="J21" i="11"/>
  <c r="J17" i="11"/>
  <c r="J13" i="11"/>
  <c r="J416" i="11"/>
  <c r="J414" i="11"/>
  <c r="J396" i="11"/>
  <c r="J342" i="11"/>
  <c r="J341" i="11"/>
  <c r="I332" i="11"/>
  <c r="I325" i="11"/>
  <c r="I309" i="11"/>
  <c r="I300" i="11"/>
  <c r="J295" i="11"/>
  <c r="J287" i="11"/>
  <c r="I276" i="11"/>
  <c r="J268" i="11"/>
  <c r="J198" i="11"/>
  <c r="J120" i="11"/>
  <c r="I119" i="11"/>
  <c r="J112" i="11"/>
  <c r="J86" i="11"/>
  <c r="I67" i="11"/>
  <c r="J12" i="11"/>
  <c r="J389" i="11"/>
  <c r="I379" i="11"/>
  <c r="J343" i="11"/>
  <c r="J304" i="11"/>
  <c r="J296" i="11"/>
  <c r="J183" i="11"/>
  <c r="I18" i="11"/>
  <c r="J228" i="11"/>
  <c r="I203" i="11"/>
  <c r="I195" i="11"/>
  <c r="J160" i="11"/>
  <c r="J102" i="11"/>
  <c r="J94" i="11"/>
  <c r="J437" i="11"/>
  <c r="J321" i="11"/>
  <c r="J239" i="11"/>
  <c r="J176" i="11"/>
  <c r="J428" i="11"/>
  <c r="J419" i="11"/>
  <c r="J379" i="11"/>
  <c r="J356" i="11"/>
  <c r="I331" i="11"/>
  <c r="J320" i="11"/>
  <c r="J317" i="11"/>
  <c r="J315" i="11"/>
  <c r="I307" i="11"/>
  <c r="J293" i="11"/>
  <c r="J273" i="11"/>
  <c r="J185" i="11"/>
  <c r="I183" i="11"/>
  <c r="J166" i="11"/>
  <c r="I129" i="11"/>
  <c r="J99" i="11"/>
  <c r="I97" i="11"/>
  <c r="J91" i="11"/>
  <c r="J68" i="11"/>
  <c r="I42" i="11"/>
  <c r="J25" i="11"/>
  <c r="I20" i="11"/>
  <c r="I12" i="11"/>
  <c r="I4" i="11"/>
  <c r="J22" i="11"/>
  <c r="J18" i="11"/>
  <c r="J14" i="11"/>
  <c r="J6" i="11"/>
  <c r="I449" i="11"/>
  <c r="J443" i="11"/>
  <c r="J435" i="11"/>
  <c r="I433" i="11"/>
  <c r="J426" i="11"/>
  <c r="I425" i="11"/>
  <c r="I415" i="11"/>
  <c r="J394" i="11"/>
  <c r="J376" i="11"/>
  <c r="J371" i="11"/>
  <c r="J355" i="11"/>
  <c r="J332" i="11"/>
  <c r="J308" i="11"/>
  <c r="J300" i="11"/>
  <c r="J290" i="11"/>
  <c r="J285" i="11"/>
  <c r="I278" i="11"/>
  <c r="J272" i="11"/>
  <c r="I257" i="11"/>
  <c r="I227" i="11"/>
  <c r="I226" i="11"/>
  <c r="I222" i="11"/>
  <c r="I211" i="11"/>
  <c r="I210" i="11"/>
  <c r="J184" i="11"/>
  <c r="J164" i="11"/>
  <c r="I144" i="11"/>
  <c r="J130" i="11"/>
  <c r="J116" i="11"/>
  <c r="J106" i="11"/>
  <c r="J98" i="11"/>
  <c r="J90" i="11"/>
  <c r="J67" i="11"/>
  <c r="J65" i="11"/>
  <c r="I59" i="11"/>
  <c r="I35" i="11"/>
  <c r="J24" i="11"/>
  <c r="J5" i="11"/>
  <c r="J380" i="11"/>
  <c r="J345" i="11"/>
  <c r="J322" i="11"/>
  <c r="J294" i="11"/>
  <c r="J186" i="11"/>
  <c r="J168" i="11"/>
  <c r="J19" i="11"/>
  <c r="J15" i="11"/>
  <c r="J449" i="11"/>
  <c r="J441" i="11"/>
  <c r="J433" i="11"/>
  <c r="J412" i="11"/>
  <c r="J384" i="11"/>
  <c r="J306" i="11"/>
  <c r="J298" i="11"/>
  <c r="J190" i="11"/>
  <c r="J162" i="11"/>
  <c r="J104" i="11"/>
  <c r="J96" i="11"/>
  <c r="J84" i="11"/>
  <c r="J83" i="11"/>
  <c r="J59" i="11"/>
  <c r="I38" i="11"/>
  <c r="I429" i="11"/>
  <c r="J424" i="11"/>
  <c r="I421" i="11"/>
  <c r="I420" i="11"/>
  <c r="J406" i="11"/>
  <c r="I381" i="11"/>
  <c r="J360" i="11"/>
  <c r="I358" i="11"/>
  <c r="J350" i="11"/>
  <c r="I345" i="11"/>
  <c r="I312" i="11"/>
  <c r="I303" i="11"/>
  <c r="I294" i="11"/>
  <c r="J278" i="11"/>
  <c r="J210" i="11"/>
  <c r="I187" i="11"/>
  <c r="I186" i="11"/>
  <c r="J181" i="11"/>
  <c r="J180" i="11"/>
  <c r="I173" i="11"/>
  <c r="J161" i="11"/>
  <c r="I159" i="11"/>
  <c r="J149" i="11"/>
  <c r="I133" i="11"/>
  <c r="J125" i="11"/>
  <c r="J124" i="11"/>
  <c r="J103" i="11"/>
  <c r="I101" i="11"/>
  <c r="I100" i="11"/>
  <c r="J95" i="11"/>
  <c r="I93" i="11"/>
  <c r="I92" i="11"/>
  <c r="J58" i="11"/>
  <c r="J50" i="11"/>
  <c r="I47" i="11"/>
  <c r="J40" i="11"/>
  <c r="J36" i="11"/>
  <c r="I29" i="11"/>
  <c r="J445" i="11"/>
  <c r="J421" i="11"/>
  <c r="I281" i="11"/>
  <c r="J216" i="11"/>
  <c r="J175" i="11"/>
  <c r="J132" i="11"/>
  <c r="J100" i="11"/>
  <c r="J92" i="11"/>
  <c r="J46" i="11"/>
  <c r="I43" i="11"/>
  <c r="J29" i="11"/>
  <c r="J23" i="11"/>
  <c r="J7" i="11"/>
  <c r="J411" i="11"/>
  <c r="J353" i="11"/>
  <c r="J330" i="11"/>
  <c r="J266" i="11"/>
  <c r="J265" i="11"/>
  <c r="J258" i="11"/>
  <c r="J211" i="11"/>
  <c r="I209" i="11"/>
  <c r="J199" i="11"/>
  <c r="J182" i="11"/>
  <c r="J76" i="11"/>
  <c r="J430" i="11"/>
  <c r="J404" i="11"/>
  <c r="J402" i="11"/>
  <c r="I320" i="11"/>
  <c r="I317" i="11"/>
  <c r="I316" i="11"/>
  <c r="J178" i="11"/>
  <c r="I166" i="11"/>
  <c r="J122" i="11"/>
  <c r="I118" i="11"/>
  <c r="I112" i="11"/>
  <c r="J74" i="11"/>
  <c r="J55" i="11"/>
  <c r="J54" i="11"/>
  <c r="I46" i="11"/>
  <c r="J39" i="11"/>
  <c r="I431" i="11"/>
  <c r="J417" i="11"/>
  <c r="J415" i="11"/>
  <c r="J413" i="11"/>
  <c r="J409" i="11"/>
  <c r="J407" i="11"/>
  <c r="J405" i="11"/>
  <c r="J403" i="11"/>
  <c r="J401" i="11"/>
  <c r="J397" i="11"/>
  <c r="J395" i="11"/>
  <c r="J393" i="11"/>
  <c r="J349" i="11"/>
  <c r="J323" i="11"/>
  <c r="J289" i="11"/>
  <c r="J267" i="11"/>
  <c r="J235" i="11"/>
  <c r="J203" i="11"/>
  <c r="J201" i="11"/>
  <c r="J177" i="11"/>
  <c r="J121" i="11"/>
  <c r="J119" i="11"/>
  <c r="J117" i="11"/>
  <c r="J85" i="11"/>
  <c r="J69" i="11"/>
  <c r="I19" i="11"/>
  <c r="I11" i="11"/>
  <c r="I3" i="11"/>
  <c r="J446" i="11"/>
  <c r="J442" i="11"/>
  <c r="J438" i="11"/>
  <c r="J434" i="11"/>
  <c r="I427" i="11"/>
  <c r="I426" i="11"/>
  <c r="I424" i="11"/>
  <c r="I384" i="11"/>
  <c r="J377" i="11"/>
  <c r="I360" i="11"/>
  <c r="J325" i="11"/>
  <c r="I308" i="11"/>
  <c r="I306" i="11"/>
  <c r="I304" i="11"/>
  <c r="J291" i="11"/>
  <c r="J253" i="11"/>
  <c r="J237" i="11"/>
  <c r="I218" i="11"/>
  <c r="J179" i="11"/>
  <c r="J157" i="11"/>
  <c r="J155" i="11"/>
  <c r="I132" i="11"/>
  <c r="I130" i="11"/>
  <c r="J123" i="11"/>
  <c r="J87" i="11"/>
  <c r="J71" i="11"/>
  <c r="I60" i="11"/>
  <c r="I49" i="11"/>
  <c r="I45" i="11"/>
  <c r="I41" i="11"/>
  <c r="J429" i="11"/>
  <c r="J381" i="11"/>
  <c r="J357" i="11"/>
  <c r="J333" i="11"/>
  <c r="J331" i="11"/>
  <c r="J299" i="11"/>
  <c r="J297" i="11"/>
  <c r="J277" i="11"/>
  <c r="J275" i="11"/>
  <c r="J257" i="11"/>
  <c r="J215" i="11"/>
  <c r="J191" i="11"/>
  <c r="J167" i="11"/>
  <c r="J127" i="11"/>
  <c r="J75" i="11"/>
  <c r="I14" i="11"/>
  <c r="J365" i="11"/>
  <c r="J361" i="11"/>
  <c r="J309" i="11"/>
  <c r="J307" i="11"/>
  <c r="J305" i="11"/>
  <c r="J281" i="11"/>
  <c r="J259" i="11"/>
  <c r="J219" i="11"/>
  <c r="J107" i="11"/>
  <c r="J49" i="11"/>
  <c r="J45" i="11"/>
  <c r="J41" i="11"/>
  <c r="J26" i="11"/>
  <c r="I23" i="11"/>
  <c r="I15" i="11"/>
  <c r="I7" i="11"/>
  <c r="J423" i="11"/>
  <c r="J422" i="11"/>
  <c r="I418" i="11"/>
  <c r="I410" i="11"/>
  <c r="I404" i="11"/>
  <c r="I400" i="11"/>
  <c r="I398" i="11"/>
  <c r="I396" i="11"/>
  <c r="I394" i="11"/>
  <c r="J387" i="11"/>
  <c r="J369" i="11"/>
  <c r="J367" i="11"/>
  <c r="J364" i="11"/>
  <c r="J339" i="11"/>
  <c r="J311" i="11"/>
  <c r="J283" i="11"/>
  <c r="J261" i="11"/>
  <c r="J245" i="11"/>
  <c r="J223" i="11"/>
  <c r="J221" i="11"/>
  <c r="J195" i="11"/>
  <c r="J171" i="11"/>
  <c r="J137" i="11"/>
  <c r="J135" i="11"/>
  <c r="I120" i="11"/>
  <c r="J109" i="11"/>
  <c r="J79" i="11"/>
  <c r="J48" i="11"/>
  <c r="J44" i="11"/>
  <c r="J427" i="11"/>
  <c r="I423" i="11"/>
  <c r="J329" i="11"/>
  <c r="J241" i="11"/>
  <c r="J105" i="11"/>
  <c r="I22" i="11"/>
  <c r="I6" i="11"/>
  <c r="J425" i="11"/>
  <c r="J385" i="11"/>
  <c r="J383" i="11"/>
  <c r="J303" i="11"/>
  <c r="J243" i="11"/>
  <c r="J217" i="11"/>
  <c r="J193" i="11"/>
  <c r="J169" i="11"/>
  <c r="J133" i="11"/>
  <c r="J129" i="11"/>
  <c r="I16" i="11"/>
  <c r="I8" i="11"/>
  <c r="J263" i="11"/>
  <c r="J247" i="11"/>
  <c r="J231" i="11"/>
  <c r="J229" i="11"/>
  <c r="J227" i="11"/>
  <c r="J225" i="11"/>
  <c r="J197" i="11"/>
  <c r="J173" i="11"/>
  <c r="I156" i="11"/>
  <c r="J145" i="11"/>
  <c r="J143" i="11"/>
  <c r="J141" i="11"/>
  <c r="J113" i="11"/>
  <c r="J111" i="11"/>
  <c r="J81" i="11"/>
  <c r="I21" i="11"/>
  <c r="I2" i="11"/>
</calcChain>
</file>

<file path=xl/sharedStrings.xml><?xml version="1.0" encoding="utf-8"?>
<sst xmlns="http://schemas.openxmlformats.org/spreadsheetml/2006/main" count="19426" uniqueCount="2643">
  <si>
    <t>(can be skipped for disk recording, but might be important for backward comp.)</t>
  </si>
  <si>
    <t>ss infor</t>
  </si>
  <si>
    <t>on in all 3 tables (at least from</t>
  </si>
  <si>
    <t>the point of view from the correlator):</t>
  </si>
  <si>
    <t>Hobiger</t>
  </si>
  <si>
    <t>========</t>
  </si>
  <si>
    <t>=====</t>
  </si>
  <si>
    <t>===</t>
  </si>
  <si>
    <t>toc 1</t>
  </si>
  <si>
    <t>=====================================</t>
  </si>
  <si>
    <t>Experiment description</t>
  </si>
  <si>
    <t>BAROCALS</t>
  </si>
  <si>
    <t>Baro offset (mbar) and Ht. (m)</t>
  </si>
  <si>
    <t>BARONAME</t>
  </si>
  <si>
    <t>Names for barometer calibrations</t>
  </si>
  <si>
    <t>BRK_SITE</t>
  </si>
  <si>
    <t>Sites with real clock breaks</t>
  </si>
  <si>
    <t>WVR STAT</t>
  </si>
  <si>
    <t>Stations with WVR calib</t>
  </si>
  <si>
    <t>FRFIX!!!</t>
  </si>
  <si>
    <t>FLAG = 1 IF RATE HAS BEEN FIXED</t>
  </si>
  <si>
    <t>======</t>
  </si>
  <si>
    <t>toc 2</t>
  </si>
  <si>
    <t>======================================</t>
  </si>
  <si>
    <t>Rate derivatives mHz per asec</t>
  </si>
  <si>
    <t>Phase cal offset (-18000/18000)</t>
  </si>
  <si>
    <t>Phase cal status: 0/1/2</t>
  </si>
  <si>
    <t>Apriori clock offset microsec</t>
  </si>
  <si>
    <t>Delay type, 1=group, 2=phase</t>
  </si>
  <si>
    <t>SAMP rate(KHz),FRAMES/PP,PP/AP</t>
  </si>
  <si>
    <t>Correlator file name</t>
  </si>
  <si>
    <t>Obs delay at central epoch us</t>
  </si>
  <si>
    <t>VLB1XTNT</t>
  </si>
  <si>
    <t>corr. ext by sideb, channel</t>
  </si>
  <si>
    <t>VLB2XTNT</t>
  </si>
  <si>
    <t>FRNGE extent number</t>
  </si>
  <si>
    <t>IONRMSPH</t>
  </si>
  <si>
    <t>Ion corr(phase) to sigma. sec</t>
  </si>
  <si>
    <t>Phase unweight flag</t>
  </si>
  <si>
    <t>D</t>
  </si>
  <si>
    <t>Ion corr(phase) Add to theo. sec</t>
  </si>
  <si>
    <t># phase ambiguities</t>
  </si>
  <si>
    <t>RATTFLAG</t>
  </si>
  <si>
    <t>Delay rate type flag (GR,PH)</t>
  </si>
  <si>
    <t>Ref sta clock error microsec</t>
  </si>
  <si>
    <t>WVR line of sight &amp; ZENITH(sec</t>
  </si>
  <si>
    <t>BRT TEMP</t>
  </si>
  <si>
    <t>BRT TEMP (K) OF WVR ,F1,F2</t>
  </si>
  <si>
    <t>F12 VOLT</t>
  </si>
  <si>
    <t>F1, F2 VOLT</t>
  </si>
  <si>
    <t>WVR TEMP</t>
  </si>
  <si>
    <t>REFERENCE1,2 WVR TEMP (K)</t>
  </si>
  <si>
    <t>WVR DELAY DATA QUALITY CODE</t>
  </si>
  <si>
    <t>Phase cal delay (sec)</t>
  </si>
  <si>
    <t>UNCALFLG</t>
  </si>
  <si>
    <t>Delay+rate uncal if flag=1</t>
  </si>
  <si>
    <t>WVR LINE OF SIGHT &amp; ZENITH(NSEC)</t>
  </si>
  <si>
    <t>CORBASNO</t>
  </si>
  <si>
    <t>Correlator baseline number</t>
  </si>
  <si>
    <t>UTC of FRNGE proc YMDHMS</t>
  </si>
  <si>
    <t>RECTRACK</t>
  </si>
  <si>
    <t>Trk table by sta,sideb,channel</t>
  </si>
  <si>
    <t>PROC UTC</t>
  </si>
  <si>
    <t>YDDD of COREL by sta,channel</t>
  </si>
  <si>
    <t>VLB2PRG</t>
  </si>
  <si>
    <t>FRNGE program version YYMMDD</t>
  </si>
  <si>
    <t>Run,code, e.g., "329-1300".</t>
  </si>
  <si>
    <t>IONFACTR</t>
  </si>
  <si>
    <t>S/X DIFFERENCE ION SCALING FACTO</t>
  </si>
  <si>
    <t>WVR.DELY</t>
  </si>
  <si>
    <t>WVR PATH DELAYWVR PATH DELAY AND</t>
  </si>
  <si>
    <t>FIXUFLAG</t>
  </si>
  <si>
    <t>Fixup flag 1=fixed up 0=not</t>
  </si>
  <si>
    <t>FREQ SEQ</t>
  </si>
  <si>
    <t>FREQ SEQUENCE MHZ</t>
  </si>
  <si>
    <t>PHCALRAT</t>
  </si>
  <si>
    <t>DELAY RATE OF PHASE CALIBRATOR</t>
  </si>
  <si>
    <t>RCOR</t>
  </si>
  <si>
    <t>FR AMP CORR'N FOR RES DELAY.</t>
  </si>
  <si>
    <t>PCALFREQ</t>
  </si>
  <si>
    <t>PH CAL FREQUENCY IN VIDEO BAND</t>
  </si>
  <si>
    <t>A/PHI F</t>
  </si>
  <si>
    <t>AMP,PHS BY FREQ CHANNEL.</t>
  </si>
  <si>
    <t>BASECODE</t>
  </si>
  <si>
    <t>BASELINE NUMBER  1 --&gt; 3</t>
  </si>
  <si>
    <t>CALPHASE</t>
  </si>
  <si>
    <t>PHASE CAL PHASE BY FREQ CHANNEL</t>
  </si>
  <si>
    <t>PCALAMP</t>
  </si>
  <si>
    <t>PH CAL AMP BY CHAN, SITE</t>
  </si>
  <si>
    <t>PHASE CALIBRATOR GROUP DLY (SEC)</t>
  </si>
  <si>
    <t>PHASFREQ</t>
  </si>
  <si>
    <t>RF FREQ TO WH. PHASE IS REF MHZ</t>
  </si>
  <si>
    <t>A/PHI(F)</t>
  </si>
  <si>
    <t>AMP,PHS BY FREQ CHANNEL</t>
  </si>
  <si>
    <t>3 ===================================</t>
  </si>
  <si>
    <t>Phase delay at epoch+1 usec</t>
  </si>
  <si>
    <t>Phase delay at epoch   usec</t>
  </si>
  <si>
    <t>Phase delay at epoch-1 usec</t>
  </si>
  <si>
    <t>Epoch UTC YMDHM</t>
  </si>
  <si>
    <t>UTC of frnge PROC YMDHMS</t>
  </si>
  <si>
    <t>AUTOEDIT</t>
  </si>
  <si>
    <t>1=Run resulted from AUTOEDIT</t>
  </si>
  <si>
    <t>Correlator baseline number.</t>
  </si>
  <si>
    <t>ORIGFILE</t>
  </si>
  <si>
    <t>Original COREL file name</t>
  </si>
  <si>
    <t>Run,code, e.g., "329-1300"</t>
  </si>
  <si>
    <t>FRNGE(YYMMDD), Fourfit(x.x) ver.</t>
  </si>
  <si>
    <t>Start time in sec past hour.</t>
  </si>
  <si>
    <t>RESPHASE</t>
  </si>
  <si>
    <t>RESIDUAL PHASE VLBI2</t>
  </si>
  <si>
    <t>VLBI2SCO</t>
  </si>
  <si>
    <t>SOURCE COORDS USED FOR CORR</t>
  </si>
  <si>
    <t>#RC CORR</t>
  </si>
  <si>
    <t>NUMBER OF RECORDS CORRELATED</t>
  </si>
  <si>
    <t>PARITY E</t>
  </si>
  <si>
    <t>File</t>
  </si>
  <si>
    <t>Head</t>
  </si>
  <si>
    <t>AzEl</t>
  </si>
  <si>
    <t>NUMBER PARITY ERRORS SITES 1,2</t>
  </si>
  <si>
    <t>SHORTREC</t>
  </si>
  <si>
    <t>NUMBER SHORT REC SITES 1,2</t>
  </si>
  <si>
    <t>IRECCORR</t>
  </si>
  <si>
    <t>FIRST AND LAST REC CORR</t>
  </si>
  <si>
    <t>IDELETE</t>
  </si>
  <si>
    <t>#RECS DELETED FROM VLBI2 PROC</t>
  </si>
  <si>
    <t>IPARFL</t>
  </si>
  <si>
    <t>0-NORMAL, GT.0 PARITY ERRORS DEL</t>
  </si>
  <si>
    <t>RESDELSL</t>
  </si>
  <si>
    <t>RES DELAY FROM SINGLE FREQ</t>
  </si>
  <si>
    <t>TINDEG.C</t>
  </si>
  <si>
    <t>TEMP DEG.C SITES 1,2.</t>
  </si>
  <si>
    <t>PINMMHG</t>
  </si>
  <si>
    <t>PRESS MM.HG. SITES 1,2</t>
  </si>
  <si>
    <t>DPINDEGC</t>
  </si>
  <si>
    <t>DEW PT IN DEG.C SITES 1,2</t>
  </si>
  <si>
    <t>WTRVAPOR</t>
  </si>
  <si>
    <t>WV RADIOMETER PATH LEN SITES 1,2</t>
  </si>
  <si>
    <t>1 ======</t>
  </si>
  <si>
    <t>====================================</t>
  </si>
  <si>
    <t>Earth flattening con (unitless)</t>
  </si>
  <si>
    <t>Vert ocean loading</t>
  </si>
  <si>
    <t>CLCKEP 1</t>
  </si>
  <si>
    <t>Clock epochs (JD,fraction)</t>
  </si>
  <si>
    <t>CLCKEP 2</t>
  </si>
  <si>
    <t>ATMEPO 1</t>
  </si>
  <si>
    <t>Atmosphere epochs -  J.D.s</t>
  </si>
  <si>
    <t>ATMEPO 2</t>
  </si>
  <si>
    <t>Axis type (1-eq,2-xy,3-azel,4,5</t>
  </si>
  <si>
    <t>CLCKFL 1</t>
  </si>
  <si>
    <t>List of clock flags</t>
  </si>
  <si>
    <t>CLCKFL 2</t>
  </si>
  <si>
    <t>ATM FL 1</t>
  </si>
  <si>
    <t>List of atmosphere flags</t>
  </si>
  <si>
    <t>ATM FL 2</t>
  </si>
  <si>
    <t>4-char tectonic plate names</t>
  </si>
  <si>
    <t>Ocean loading station status</t>
  </si>
  <si>
    <t>Final Value TAI-UT1 origin text</t>
  </si>
  <si>
    <t>Time scale of EOP table epochs</t>
  </si>
  <si>
    <t>PEP TAPE</t>
  </si>
  <si>
    <t>Pep utility tape title.</t>
  </si>
  <si>
    <t>MARISTAT</t>
  </si>
  <si>
    <t>Stations with Marini calib</t>
  </si>
  <si>
    <t>Site names for clock-atm epochs</t>
  </si>
  <si>
    <t>AC_SITES</t>
  </si>
  <si>
    <t>Site list for atmos constraints</t>
  </si>
  <si>
    <t>CC_SITES</t>
  </si>
  <si>
    <t>Site list for clocks constraints</t>
  </si>
  <si>
    <t>COR DATA</t>
  </si>
  <si>
    <t>Corona model parameters.</t>
  </si>
  <si>
    <t>DNP DATA</t>
  </si>
  <si>
    <t>Diurnal polar motion scale fact</t>
  </si>
  <si>
    <t>TWOPI</t>
  </si>
  <si>
    <t>TWO PI</t>
  </si>
  <si>
    <t>RAD/ASEC</t>
  </si>
  <si>
    <t>Radians per arc second</t>
  </si>
  <si>
    <t>RAD/TSEC</t>
  </si>
  <si>
    <t>Radians per time second</t>
  </si>
  <si>
    <t>TSEC/DAY</t>
  </si>
  <si>
    <t>Seconds per day</t>
  </si>
  <si>
    <t>EPHEPOCH</t>
  </si>
  <si>
    <t>JPL EPOCH 1950 OR 2000</t>
  </si>
  <si>
    <t>Provisional TAI-UT1 array descrp</t>
  </si>
  <si>
    <t>Provisional TAI-UT1 data points</t>
  </si>
  <si>
    <t>Provisional wobble array descrp</t>
  </si>
  <si>
    <t>Prov. wobble X,Y component value</t>
  </si>
  <si>
    <t>PUT1TEXT</t>
  </si>
  <si>
    <t>Provisional TAI-UT1 origin text</t>
  </si>
  <si>
    <t>PWOBTEXT</t>
  </si>
  <si>
    <t>Provisional wobble origin text</t>
  </si>
  <si>
    <t>Extrapolatd TAI-UT1 array descrp</t>
  </si>
  <si>
    <t>Extrapolated TAI-UT1 data points</t>
  </si>
  <si>
    <t>Extrapolated wobble array descrp</t>
  </si>
  <si>
    <t>Extrapwobble X,Y component value</t>
  </si>
  <si>
    <t>EUT1TEXT</t>
  </si>
  <si>
    <t>Extrapolated TAI-UT1 origin text</t>
  </si>
  <si>
    <t>EWOBTEXT</t>
  </si>
  <si>
    <t>Extrapolated wobble origin text.</t>
  </si>
  <si>
    <t>NT1 AMPS</t>
  </si>
  <si>
    <t>Nutation term 1 a priori amps</t>
  </si>
  <si>
    <t>NT2 AMPS</t>
  </si>
  <si>
    <t>Nutation term 2 a priori amps</t>
  </si>
  <si>
    <t>NT3 AMPS</t>
  </si>
  <si>
    <t>Nutation term 3 a priori amps</t>
  </si>
  <si>
    <t>NT4 AMPS</t>
  </si>
  <si>
    <t>Nutation term 4 a priori amps</t>
  </si>
  <si>
    <t>NT5 AMPS</t>
  </si>
  <si>
    <t>Nutation term 5 a priori amps</t>
  </si>
  <si>
    <t>NT6 AMPS</t>
  </si>
  <si>
    <t>Nutation term 6 a priori amps</t>
  </si>
  <si>
    <t>PEP 2000</t>
  </si>
  <si>
    <t>PEP rotation to J2000 message</t>
  </si>
  <si>
    <t>SIT_KILL</t>
  </si>
  <si>
    <t>site_killer version date</t>
  </si>
  <si>
    <t>Phase formal error constants</t>
  </si>
  <si>
    <t>CLCKEP 3</t>
  </si>
  <si>
    <t>ATMEPO 3</t>
  </si>
  <si>
    <t>CLCKFL 3</t>
  </si>
  <si>
    <t>ATM FL 3</t>
  </si>
  <si>
    <t>SLEWRATS</t>
  </si>
  <si>
    <t>Antenna slew rates (rad/sec).</t>
  </si>
  <si>
    <t>LIMSTOPS</t>
  </si>
  <si>
    <t>Scope</t>
  </si>
  <si>
    <t>Antenna limit stops (deg).</t>
  </si>
  <si>
    <t>Baseline-dependent-clock flags</t>
  </si>
  <si>
    <t>ATMEPO 4</t>
  </si>
  <si>
    <t>ATMEPO 5</t>
  </si>
  <si>
    <t>ATM FL 4</t>
  </si>
  <si>
    <t>ATM FL 5</t>
  </si>
  <si>
    <t>CLCKEP 4</t>
  </si>
  <si>
    <t>CLCKFL 4</t>
  </si>
  <si>
    <t>SOLVE_VR</t>
  </si>
  <si>
    <t>SOLVE system version number</t>
  </si>
  <si>
    <t>CLCKEP 5</t>
  </si>
  <si>
    <t>CLCKFL 5</t>
  </si>
  <si>
    <t>REL MESS</t>
  </si>
  <si>
    <t>RELATIVITY MESSAGE DEFINITION</t>
  </si>
  <si>
    <t>RGD MESS</t>
  </si>
  <si>
    <t>RELATIVISTIC GROUP DELAY MESSAGE</t>
  </si>
  <si>
    <t>CLCKEP 6</t>
  </si>
  <si>
    <t>ATMEPO 6</t>
  </si>
  <si>
    <t>CLCKFL 6</t>
  </si>
  <si>
    <t>ATM FL 6</t>
  </si>
  <si>
    <t>OCAMP RD</t>
  </si>
  <si>
    <t>Ocean amp. radial comp.-meters</t>
  </si>
  <si>
    <t>OCAMP EW</t>
  </si>
  <si>
    <t>Ocean amp. E-W component(meters)</t>
  </si>
  <si>
    <t>OCAMP NS</t>
  </si>
  <si>
    <t>Ocean amp. N-S component(meters)</t>
  </si>
  <si>
    <t>OCPHS RD</t>
  </si>
  <si>
    <t>Ocean phase radial comp.-radians</t>
  </si>
  <si>
    <t>OCPHS EW</t>
  </si>
  <si>
    <t>Ocean phase E-W component (rad)</t>
  </si>
  <si>
    <t>OCPHS NS</t>
  </si>
  <si>
    <t>Ocean phase N-S component (rad)</t>
  </si>
  <si>
    <t>CLCKEP 7</t>
  </si>
  <si>
    <t>ATMEPO 7</t>
  </si>
  <si>
    <t>CLCKFL 7</t>
  </si>
  <si>
    <t>ATM FL 7</t>
  </si>
  <si>
    <t>COR MESS</t>
  </si>
  <si>
    <t>SOLAR CORONA MESSAGE DEFINITION</t>
  </si>
  <si>
    <t>COR CFLG</t>
  </si>
  <si>
    <t>CORONA CONTROL FLAG MESS DEF</t>
  </si>
  <si>
    <t>DNP MESS</t>
  </si>
  <si>
    <t>DIURNAL POLAR MOTION MESSAGE DEF</t>
  </si>
  <si>
    <t>DNP CFLG</t>
  </si>
  <si>
    <t>DNP FLOW CONTROL MESSAGE DEF.</t>
  </si>
  <si>
    <t>Trop&amp;cable standard cal config</t>
  </si>
  <si>
    <t>SOURCE COORDINATESARRAY.</t>
  </si>
  <si>
    <t>PEP FLAG</t>
  </si>
  <si>
    <t>PEP DATA AVAIL FLAG</t>
  </si>
  <si>
    <t>DATIME^A</t>
  </si>
  <si>
    <t>DATE AND TIME OF RUN</t>
  </si>
  <si>
    <t>HISTRY^A</t>
  </si>
  <si>
    <t>HISTORY</t>
  </si>
  <si>
    <t>CLCKEP 8</t>
  </si>
  <si>
    <t>ATMEPO 8</t>
  </si>
  <si>
    <t>CLCKFL 8</t>
  </si>
  <si>
    <t>ATM FL 8</t>
  </si>
  <si>
    <t>WBEPOCH</t>
  </si>
  <si>
    <t>LIST OF SITE NMES FOR EPOCHS</t>
  </si>
  <si>
    <t>STRNUMBS</t>
  </si>
  <si>
    <t>STAR NUMBERS 23 MAR 78 HAYSTACK</t>
  </si>
  <si>
    <t>FOERCONS</t>
  </si>
  <si>
    <t>FORMAL ERROR CONS</t>
  </si>
  <si>
    <t>DATIME^B</t>
  </si>
  <si>
    <t>DATIME^C</t>
  </si>
  <si>
    <t>HISTRY^B</t>
  </si>
  <si>
    <t>HISTRY^C</t>
  </si>
  <si>
    <t>====</t>
  </si>
  <si>
    <t>== toc 2</t>
  </si>
  <si>
    <t>AXO2CONT</t>
  </si>
  <si>
    <t>Other new axis offset correction</t>
  </si>
  <si>
    <t>ETJMGPAR</t>
  </si>
  <si>
    <t>Gipson Earth Tide Partials</t>
  </si>
  <si>
    <t>C82ETCON</t>
  </si>
  <si>
    <t>Calc8.2 Earth Tide Corrections</t>
  </si>
  <si>
    <t>PERMDEF</t>
  </si>
  <si>
    <t>Permanent Deformation Contrib</t>
  </si>
  <si>
    <t>ELASTCON</t>
  </si>
  <si>
    <t>Elastic Earth Tide Corrections</t>
  </si>
  <si>
    <t>IERS 1996 Nut. - Dpsi,Deps&amp;rates</t>
  </si>
  <si>
    <t>1996 Nut to Wahr Nut Contributn</t>
  </si>
  <si>
    <t>FUNDARGS</t>
  </si>
  <si>
    <t>Fundamental args and derivatives</t>
  </si>
  <si>
    <t>NUT PART</t>
  </si>
  <si>
    <t>Nutation partial derive. def.</t>
  </si>
  <si>
    <t>GDNUTCON</t>
  </si>
  <si>
    <t>Geodesic Nutation contribution</t>
  </si>
  <si>
    <t>Earth barycentric coordinates</t>
  </si>
  <si>
    <t>Solar geocentric coordinates.</t>
  </si>
  <si>
    <t>Lunar geocentric coordinates.</t>
  </si>
  <si>
    <t>EQE DIFF</t>
  </si>
  <si>
    <t>GAST diff. (New-Old) from EQE</t>
  </si>
  <si>
    <t>OLDEQCON</t>
  </si>
  <si>
    <t>Old Eqn. of Equinoxes Contrib.</t>
  </si>
  <si>
    <t>CF2J2000</t>
  </si>
  <si>
    <t>MARI.ATM</t>
  </si>
  <si>
    <t>Marini ATM Model</t>
  </si>
  <si>
    <t>MARI.DRY</t>
  </si>
  <si>
    <t>Dry Marini atmosphere</t>
  </si>
  <si>
    <t>CFA22DRY</t>
  </si>
  <si>
    <t>CFA2.2 dry atmosphere</t>
  </si>
  <si>
    <t>CFA22WET</t>
  </si>
  <si>
    <t>CFA2.2 wet atmosphere</t>
  </si>
  <si>
    <t>CFA PART</t>
  </si>
  <si>
    <t>CFA2.2 mapping function</t>
  </si>
  <si>
    <t>LANYIDRY</t>
  </si>
  <si>
    <t>Lanyi dry atmosphere model</t>
  </si>
  <si>
    <t>LANYIWET</t>
  </si>
  <si>
    <t>Lanyi wet atmosphere model</t>
  </si>
  <si>
    <t>LANYINFO</t>
  </si>
  <si>
    <t>Lanyi input meteo. parameters</t>
  </si>
  <si>
    <t>Two-letters site codes</t>
  </si>
  <si>
    <t>Julian date at midnight</t>
  </si>
  <si>
    <t>NO. of delays in this obs</t>
  </si>
  <si>
    <t>NO. of rates  in this obs</t>
  </si>
  <si>
    <t>DPSI</t>
  </si>
  <si>
    <t>Nutation longitude &amp; CT deriv</t>
  </si>
  <si>
    <t>DEPS</t>
  </si>
  <si>
    <t>Nutation obliquity &amp; CT deriv</t>
  </si>
  <si>
    <t>ATM PART</t>
  </si>
  <si>
    <t>Atmosphere partial deriv. def.</t>
  </si>
  <si>
    <t>WET PART</t>
  </si>
  <si>
    <t>Chao wet atmosphere partials</t>
  </si>
  <si>
    <t>ATM CONT</t>
  </si>
  <si>
    <t>Atmosphere contribution def.</t>
  </si>
  <si>
    <t>AXIS OLD</t>
  </si>
  <si>
    <t>Old axis offset correction</t>
  </si>
  <si>
    <t>ETD PART</t>
  </si>
  <si>
    <t>Earth tide partial deriv. def</t>
  </si>
  <si>
    <t>ETD3CONT</t>
  </si>
  <si>
    <t>Third order tide contrib. (sec)</t>
  </si>
  <si>
    <t>ETDKCONT</t>
  </si>
  <si>
    <t>K1, O1, P1, ... contrib. (sec)</t>
  </si>
  <si>
    <t>ETD2CONT</t>
  </si>
  <si>
    <t>Mathews Love #s, Equatrl rad (s)</t>
  </si>
  <si>
    <t>NT1 PART</t>
  </si>
  <si>
    <t>Nutation term 1 partials array</t>
  </si>
  <si>
    <t>NT2 PART</t>
  </si>
  <si>
    <t>Nutation term 2 partials array</t>
  </si>
  <si>
    <t>NT3 PART</t>
  </si>
  <si>
    <t>Nutation term 3 partials array</t>
  </si>
  <si>
    <t>NT4 PART</t>
  </si>
  <si>
    <t>Nutation term 4 partials array</t>
  </si>
  <si>
    <t>NT5 PART</t>
  </si>
  <si>
    <t>Nutation term 5 partials array</t>
  </si>
  <si>
    <t>NT6 PART</t>
  </si>
  <si>
    <t>Nutation term 6 partials array</t>
  </si>
  <si>
    <t>SHAP DEL</t>
  </si>
  <si>
    <t>Shapiro theo. delay (microsec)</t>
  </si>
  <si>
    <t>SHAP RAT</t>
  </si>
  <si>
    <t>Shapiro theo rate (sec/sec)</t>
  </si>
  <si>
    <t>SHAP T62</t>
  </si>
  <si>
    <t>Shapiro rel del term for Earth</t>
  </si>
  <si>
    <t>SHAPCONT</t>
  </si>
  <si>
    <t>Shapiro corr. to Hellings (sec)</t>
  </si>
  <si>
    <t>Hellings theo. delay (microsec)</t>
  </si>
  <si>
    <t>Hellings theo. rate. (sec/sec)</t>
  </si>
  <si>
    <t>HELL EMS</t>
  </si>
  <si>
    <t>Hellings diddle of mass of Earth</t>
  </si>
  <si>
    <t>CONSCONT</t>
  </si>
  <si>
    <t>Consensus corr. to Hellings  (s)</t>
  </si>
  <si>
    <t>REL PART</t>
  </si>
  <si>
    <t>Relativistic bending partial (s)</t>
  </si>
  <si>
    <t>REL CONT</t>
  </si>
  <si>
    <t>Relativistic bending contrib (s)</t>
  </si>
  <si>
    <t>EQE CONT</t>
  </si>
  <si>
    <t>Equation of equinoxes contrib.</t>
  </si>
  <si>
    <t>TILTPRTL</t>
  </si>
  <si>
    <t>North, East, Up tilt partials</t>
  </si>
  <si>
    <t>CON PART</t>
  </si>
  <si>
    <t>Consensus bending partial (sec)</t>
  </si>
  <si>
    <t>WOB CONT</t>
  </si>
  <si>
    <t>Wobble contributions definition</t>
  </si>
  <si>
    <t>ARCHIVE</t>
  </si>
  <si>
    <t>Microfiche, B tape number</t>
  </si>
  <si>
    <t>THEORETICAL DELAY</t>
  </si>
  <si>
    <t>THEORETICAL DELAY RATE</t>
  </si>
  <si>
    <t>RGD CONT</t>
  </si>
  <si>
    <t>RELATIVISTIC GROUP DELAY CORRECT</t>
  </si>
  <si>
    <t>O-C RES</t>
  </si>
  <si>
    <t>DELAY RATE RESIDUALS(s, s per s)</t>
  </si>
  <si>
    <t>COR PART</t>
  </si>
  <si>
    <t>SOLAR CORONA PARTIAL DERIV. DEF.</t>
  </si>
  <si>
    <t>COR CONT</t>
  </si>
  <si>
    <t>SOLAR CORONA CONTRIBUTIONS DEF.</t>
  </si>
  <si>
    <t>DNP PART</t>
  </si>
  <si>
    <t>DIURNAL POLAR MOTION PART. DERIV</t>
  </si>
  <si>
    <t>DNP CONT</t>
  </si>
  <si>
    <t>DIURNAL POLAR MOTION CONTRIB DEF</t>
  </si>
  <si>
    <t>MARI.WET</t>
  </si>
  <si>
    <t>WET COMP OF MARI</t>
  </si>
  <si>
    <t>DEPS COR</t>
  </si>
  <si>
    <t>CORRECTED NUT IN OBLIQUITY DEF</t>
  </si>
  <si>
    <t>DPSI COR</t>
  </si>
  <si>
    <t>CORRECTED NUT IN LONGITUDE DE</t>
  </si>
  <si>
    <t>CALC0</t>
  </si>
  <si>
    <t>CALC0 OUTPUT SET 5 ALL ON</t>
  </si>
  <si>
    <t>FROTDLAY</t>
  </si>
  <si>
    <t>Delay due to rel. feed rotation.</t>
  </si>
  <si>
    <t>0=UNDIF,1=1ST OF PAIR,2=2ND OF P</t>
  </si>
  <si>
    <t>COMMENT2</t>
  </si>
  <si>
    <t>FRNGE runtime comments</t>
  </si>
  <si>
    <t>DDELAY</t>
  </si>
  <si>
    <t>RESID DELAY TO VLBI1 EPHEMERIS</t>
  </si>
  <si>
    <t>DDRATE</t>
  </si>
  <si>
    <t>RESID D.RATE TO VLB1 EPHEMERIS</t>
  </si>
  <si>
    <t>EL VLBI2</t>
  </si>
  <si>
    <t>ELEV ANGLE AT SITES FROM VLBI2</t>
  </si>
  <si>
    <t>STAR NUM</t>
  </si>
  <si>
    <t>OLD VLBI SOURCE CODE</t>
  </si>
  <si>
    <t>SITECODS</t>
  </si>
  <si>
    <t>OLD VLBI SITE CODES</t>
  </si>
  <si>
    <t>PROCCODE</t>
  </si>
  <si>
    <t>VLBI2 PROCESSING CODE</t>
  </si>
  <si>
    <t>OCCUPNUM</t>
  </si>
  <si>
    <t>Site Occupation Number</t>
  </si>
  <si>
    <t>TOC</t>
  </si>
  <si>
    <t>Station</t>
  </si>
  <si>
    <t>misc</t>
  </si>
  <si>
    <t>1-New</t>
  </si>
  <si>
    <t>??</t>
  </si>
  <si>
    <t>Lcode</t>
  </si>
  <si>
    <t>Status</t>
  </si>
  <si>
    <t>Check</t>
  </si>
  <si>
    <t xml:space="preserve"> </t>
  </si>
  <si>
    <t>APLENGTH</t>
  </si>
  <si>
    <t>R</t>
  </si>
  <si>
    <t>Length of accumul. period in sec</t>
  </si>
  <si>
    <t>ETD DATA</t>
  </si>
  <si>
    <t>Earth tide module data (la.,h,l)</t>
  </si>
  <si>
    <t>PRE DATA</t>
  </si>
  <si>
    <t>Precession constant (asec/cent).</t>
  </si>
  <si>
    <t>REL DATA</t>
  </si>
  <si>
    <t>Relativity mod data (gamma).</t>
  </si>
  <si>
    <t>PI</t>
  </si>
  <si>
    <t>Pi - to 17 digits accuracy.</t>
  </si>
  <si>
    <t>HALF PI</t>
  </si>
  <si>
    <t>Half pi - to 17 digits accuracy.</t>
  </si>
  <si>
    <t>RAD/DEG</t>
  </si>
  <si>
    <t>Number of radians per degree.</t>
  </si>
  <si>
    <t>VLIGHT</t>
  </si>
  <si>
    <t>The speed of light (m/sec).</t>
  </si>
  <si>
    <t>GAUSS</t>
  </si>
  <si>
    <t>Gauss's constant (rad).</t>
  </si>
  <si>
    <t>ACCELGRV</t>
  </si>
  <si>
    <t>Accel grav at erth surface m/s^2</t>
  </si>
  <si>
    <t>GMSUN</t>
  </si>
  <si>
    <t>GM of the Sun (m^3/sec^2).</t>
  </si>
  <si>
    <t>GMEARTH</t>
  </si>
  <si>
    <t>GM of the Earth (m^3/sec^2).</t>
  </si>
  <si>
    <t>GMMOON</t>
  </si>
  <si>
    <t>GM of the Moon (m^3/sec^2).</t>
  </si>
  <si>
    <t>TSEC/AU</t>
  </si>
  <si>
    <t>Number of seconds per A.U.</t>
  </si>
  <si>
    <t>EARTHRAD</t>
  </si>
  <si>
    <t>Earth's equatorial radius (m).</t>
  </si>
  <si>
    <t>EMS/MMS</t>
  </si>
  <si>
    <t>The Earth-Moon mass ratio.</t>
  </si>
  <si>
    <t>U-GRV-CN</t>
  </si>
  <si>
    <t>Universal grav con m^3/kg*s^3.</t>
  </si>
  <si>
    <t>E-FLAT</t>
  </si>
  <si>
    <t>Earth flattening con (unitless).</t>
  </si>
  <si>
    <t>SITERECS</t>
  </si>
  <si>
    <t>Site cartesian coords (m).</t>
  </si>
  <si>
    <t>SITEZENS</t>
  </si>
  <si>
    <t>Site zenith path delays (nsec).</t>
  </si>
  <si>
    <t>AXISOFFS</t>
  </si>
  <si>
    <t>Axis offsets (m).</t>
  </si>
  <si>
    <t>SITOCAMP</t>
  </si>
  <si>
    <t>Vert ocean loading ampltudes (m)</t>
  </si>
  <si>
    <t>SITOCPHS</t>
  </si>
  <si>
    <t>Vert ocean loading phases (rad).</t>
  </si>
  <si>
    <t>SITHOCAM</t>
  </si>
  <si>
    <t>Horz ocean loading ampltudes (m)</t>
  </si>
  <si>
    <t>SITHOCPH</t>
  </si>
  <si>
    <t>Horz ocean loading phases (rad).</t>
  </si>
  <si>
    <t>STAR2000</t>
  </si>
  <si>
    <t>J2000 source RAs, decs (rd,rd).</t>
  </si>
  <si>
    <t>FUT1 INF</t>
  </si>
  <si>
    <t>Final Value TAI-UT1 array descrp</t>
  </si>
  <si>
    <t>FUT1 PTS</t>
  </si>
  <si>
    <t>Final Value TAI-UT1 data points.</t>
  </si>
  <si>
    <t>A1 - UTC</t>
  </si>
  <si>
    <t>FJD, A1-UTC (sec),rate off.(sec)</t>
  </si>
  <si>
    <t>TAI- UTC</t>
  </si>
  <si>
    <t>FJD,TAI-UTC (sec),rate off.(sec)</t>
  </si>
  <si>
    <t>A1 - TAI</t>
  </si>
  <si>
    <t>TAI USNO- TAI BIH = 0.03439 sec.</t>
  </si>
  <si>
    <t>ROTEPOCH</t>
  </si>
  <si>
    <t>UT1,pole interp.reference epochs</t>
  </si>
  <si>
    <t>UT1EPOCH</t>
  </si>
  <si>
    <t>TAI - UT1 epoch value definition</t>
  </si>
  <si>
    <t>WOBEPOCH</t>
  </si>
  <si>
    <t>Interpolated wobble array def</t>
  </si>
  <si>
    <t>FWOB INF</t>
  </si>
  <si>
    <t>Final Value wobble array descr.</t>
  </si>
  <si>
    <t>FWOBX&amp;YT</t>
  </si>
  <si>
    <t>Final wobble X,Y component value</t>
  </si>
  <si>
    <t>CALC VER</t>
  </si>
  <si>
    <t>CALC version number</t>
  </si>
  <si>
    <t>SIT ELEV</t>
  </si>
  <si>
    <t>Height above ellipsoid (meters)</t>
  </si>
  <si>
    <t>MEANCABL</t>
  </si>
  <si>
    <t>Mean cable calibration (seconds)</t>
  </si>
  <si>
    <t>ERROR K</t>
  </si>
  <si>
    <t>Formal error constants</t>
  </si>
  <si>
    <t>ATM_CNST</t>
  </si>
  <si>
    <t>Atmosphere constraint. ps/hr</t>
  </si>
  <si>
    <t>CLK_CNST</t>
  </si>
  <si>
    <t>Clock constraint-Parts in 1.e14</t>
  </si>
  <si>
    <t>CLK_INTV</t>
  </si>
  <si>
    <t>Batchmode clock interval - hours</t>
  </si>
  <si>
    <t>BRK_EPOC</t>
  </si>
  <si>
    <t>Batchmode clock break epochs</t>
  </si>
  <si>
    <t>ATM_INTV</t>
  </si>
  <si>
    <t>Batchmode atmos interval - hours</t>
  </si>
  <si>
    <t>CLOOFACM</t>
  </si>
  <si>
    <t>A priori clock offset (sec)</t>
  </si>
  <si>
    <t>CLODRACM</t>
  </si>
  <si>
    <t>A priori clock drift (sec/sec)</t>
  </si>
  <si>
    <t>ECCCOORD</t>
  </si>
  <si>
    <t>Eccentricity coords. (m)</t>
  </si>
  <si>
    <t>EXPSERNO</t>
  </si>
  <si>
    <t>I</t>
  </si>
  <si>
    <t>Experiment Serial Number........</t>
  </si>
  <si>
    <t>NLAGS</t>
  </si>
  <si>
    <t>Num of lags used for correlation</t>
  </si>
  <si>
    <t># SITES</t>
  </si>
  <si>
    <t>Number of sites.</t>
  </si>
  <si>
    <t># STARS</t>
  </si>
  <si>
    <t>Number of radio sources.</t>
  </si>
  <si>
    <t>NUMB OBS</t>
  </si>
  <si>
    <t>Number of observations in file.</t>
  </si>
  <si>
    <t>INTRVAL4</t>
  </si>
  <si>
    <t>First,last UTC tag, 4 digit year</t>
  </si>
  <si>
    <t>INTERVAL</t>
  </si>
  <si>
    <t>First,last UTC tag in input file</t>
  </si>
  <si>
    <t>AXISTYPS</t>
  </si>
  <si>
    <t>Axis type (1-eq,2-xy,3-azel,4,5)</t>
  </si>
  <si>
    <t>TIDALUT1</t>
  </si>
  <si>
    <t>Flag for tidal terms in UT1 sers</t>
  </si>
  <si>
    <t>CALCFLGV</t>
  </si>
  <si>
    <t>CALC flow control flags valu def</t>
  </si>
  <si>
    <t>SOL_DATA</t>
  </si>
  <si>
    <t>Stnd sol data. IDATYP from SOCOM</t>
  </si>
  <si>
    <t># CLK_RF</t>
  </si>
  <si>
    <t># of clock reference stations</t>
  </si>
  <si>
    <t>BRK_NUMB</t>
  </si>
  <si>
    <t>Number of batchmode clock breaks</t>
  </si>
  <si>
    <t>BRK_FLAG</t>
  </si>
  <si>
    <t>Batchmode clock break flags</t>
  </si>
  <si>
    <t>BASLSTAT</t>
  </si>
  <si>
    <t>Baselines selection status</t>
  </si>
  <si>
    <t>SOURSTAT</t>
  </si>
  <si>
    <t>Sources selection status</t>
  </si>
  <si>
    <t>SUPMET</t>
  </si>
  <si>
    <t>Suppression method</t>
  </si>
  <si>
    <t>CAL FLGS</t>
  </si>
  <si>
    <t>Standard cal configuration</t>
  </si>
  <si>
    <t>FCL FLGS</t>
  </si>
  <si>
    <t>Standard flcal configuration</t>
  </si>
  <si>
    <t>PRT FLAG</t>
  </si>
  <si>
    <t>Atmosphere partial to be applied</t>
  </si>
  <si>
    <t>MCALSTAT</t>
  </si>
  <si>
    <t>Mode calibrations status</t>
  </si>
  <si>
    <t>OBCLFLGS</t>
  </si>
  <si>
    <t>Standard contribs configuration</t>
  </si>
  <si>
    <t>CORPLACE</t>
  </si>
  <si>
    <t>A</t>
  </si>
  <si>
    <t>Correlator name.................</t>
  </si>
  <si>
    <t>CORRTYPE</t>
  </si>
  <si>
    <t>Correlator type: MK3/MK4/K4 etc.</t>
  </si>
  <si>
    <t>EXPCODE</t>
  </si>
  <si>
    <t>Experiment name.................</t>
  </si>
  <si>
    <t>EXPDESC</t>
  </si>
  <si>
    <t>Experiment description..........</t>
  </si>
  <si>
    <t>FOURF CF</t>
  </si>
  <si>
    <t>Control file name for fourfit...</t>
  </si>
  <si>
    <t>FOURF CS</t>
  </si>
  <si>
    <t>Command string used for fourfit.</t>
  </si>
  <si>
    <t>PI NAME</t>
  </si>
  <si>
    <t>Agency/contact_person/PI name...</t>
  </si>
  <si>
    <t>RECMODE</t>
  </si>
  <si>
    <t>Recoding mode...................</t>
  </si>
  <si>
    <t>TECTMODL</t>
  </si>
  <si>
    <t>Default tectonic plate modelname</t>
  </si>
  <si>
    <t>SITNAMES</t>
  </si>
  <si>
    <t>Site names array.</t>
  </si>
  <si>
    <t>STRNAMES</t>
  </si>
  <si>
    <t>Source names array.</t>
  </si>
  <si>
    <t>ATM MESS</t>
  </si>
  <si>
    <t>Atmosphere message definition</t>
  </si>
  <si>
    <t>ATM CFLG</t>
  </si>
  <si>
    <t>Atmosphere control flag mess def</t>
  </si>
  <si>
    <t>AXO MESS</t>
  </si>
  <si>
    <t>Axis Offset Message Definition</t>
  </si>
  <si>
    <t>AXO CFLG</t>
  </si>
  <si>
    <t>Axis Offset Control flag mes def</t>
  </si>
  <si>
    <t>PAN MESS</t>
  </si>
  <si>
    <t>Feedhorn rot. angle mod. ident.</t>
  </si>
  <si>
    <t>ETD MESS</t>
  </si>
  <si>
    <t>Earth Tide message definition</t>
  </si>
  <si>
    <t>ETD CFLG</t>
  </si>
  <si>
    <t>Earth Tide flow control mess def</t>
  </si>
  <si>
    <t>PTD MESS</t>
  </si>
  <si>
    <t>Pole tide message definition</t>
  </si>
  <si>
    <t>PTD CFLG</t>
  </si>
  <si>
    <t>Pole tide flow control mess def</t>
  </si>
  <si>
    <t>NUT MESS</t>
  </si>
  <si>
    <t>Nutation message definition</t>
  </si>
  <si>
    <t>NUT CFLG</t>
  </si>
  <si>
    <t>Nutation flow control mess def.</t>
  </si>
  <si>
    <t>OCE MESS</t>
  </si>
  <si>
    <t>Ocean loading message definition</t>
  </si>
  <si>
    <t>OCE CFLG</t>
  </si>
  <si>
    <t>Ocean load flow control mess def</t>
  </si>
  <si>
    <t>PRE MESS</t>
  </si>
  <si>
    <t>Precession message definition</t>
  </si>
  <si>
    <t>PRE CFLG</t>
  </si>
  <si>
    <t>Precession flow contril mess def</t>
  </si>
  <si>
    <t>SIT MESS</t>
  </si>
  <si>
    <t>Site Module Message Definition</t>
  </si>
  <si>
    <t>TECTPLNM</t>
  </si>
  <si>
    <t>4-char tectonic plate names.</t>
  </si>
  <si>
    <t>OCE STAT</t>
  </si>
  <si>
    <t>Ocean loading station status.</t>
  </si>
  <si>
    <t>STR MESS</t>
  </si>
  <si>
    <t>Star module message definition</t>
  </si>
  <si>
    <t>STR CFLG</t>
  </si>
  <si>
    <t>Parallax flow control mess def</t>
  </si>
  <si>
    <t>STAR REF</t>
  </si>
  <si>
    <t>Source of coordinate values.</t>
  </si>
  <si>
    <t>UT1 MESS</t>
  </si>
  <si>
    <t>UT1 Module message definition</t>
  </si>
  <si>
    <t>UT1 CFLG</t>
  </si>
  <si>
    <t>UT1 control flag message def.</t>
  </si>
  <si>
    <t>UT1INTRP</t>
  </si>
  <si>
    <t>Message for UT1 interp. scheme</t>
  </si>
  <si>
    <t>FUT1TEXT</t>
  </si>
  <si>
    <t>Final Value TAI-UT1 origin text.</t>
  </si>
  <si>
    <t>EOPSCALE</t>
  </si>
  <si>
    <t>Time scale of EOP table epochs.</t>
  </si>
  <si>
    <t>WOB MESS</t>
  </si>
  <si>
    <t>Wobble message definition.</t>
  </si>
  <si>
    <t>WOBINTRP</t>
  </si>
  <si>
    <t>Interp. scheme for polar motion.</t>
  </si>
  <si>
    <t>WOB CFLG</t>
  </si>
  <si>
    <t>Wobble flow control mess def.</t>
  </si>
  <si>
    <t>FWOBTEXT</t>
  </si>
  <si>
    <t>Final Value wobble origin text.</t>
  </si>
  <si>
    <t>ATI MESS</t>
  </si>
  <si>
    <t>ATIME Message Definition</t>
  </si>
  <si>
    <t>ATI CFLG</t>
  </si>
  <si>
    <t>ATIME Flow Control Message Def.</t>
  </si>
  <si>
    <t>CTI MESS</t>
  </si>
  <si>
    <t>CTIMG Message Definition</t>
  </si>
  <si>
    <t>CTI CFLG</t>
  </si>
  <si>
    <t>CTIMG Flow Control Message Der</t>
  </si>
  <si>
    <t>PEP MESS</t>
  </si>
  <si>
    <t>PEP Utility Message Definition</t>
  </si>
  <si>
    <t>THE MESS</t>
  </si>
  <si>
    <t>Theory module identification</t>
  </si>
  <si>
    <t>REL CFLG</t>
  </si>
  <si>
    <t>Relativisitc bending use status</t>
  </si>
  <si>
    <t>CALCFLGN</t>
  </si>
  <si>
    <t>CALC flow control flags name def</t>
  </si>
  <si>
    <t>PLX MESS</t>
  </si>
  <si>
    <t>Parallax message definition</t>
  </si>
  <si>
    <t>PLX CFLG</t>
  </si>
  <si>
    <t>CBL STAT</t>
  </si>
  <si>
    <t>Stations for cable sign</t>
  </si>
  <si>
    <t>CBL SIGN</t>
  </si>
  <si>
    <t>Signs of cable cal application</t>
  </si>
  <si>
    <t>ERROR BL</t>
  </si>
  <si>
    <t>B.L.names for formal errors</t>
  </si>
  <si>
    <t>EL-CUT</t>
  </si>
  <si>
    <t>Solution elevation cutoff data.</t>
  </si>
  <si>
    <t>BLDEPCKS</t>
  </si>
  <si>
    <t>Bl-dependent clock list</t>
  </si>
  <si>
    <t>CLKBREAK</t>
  </si>
  <si>
    <t>Status of clock break existence</t>
  </si>
  <si>
    <t>ATM_CFLG</t>
  </si>
  <si>
    <t>Atmosphere constraint use flag</t>
  </si>
  <si>
    <t>CLK_CFLG</t>
  </si>
  <si>
    <t>Clock constraint use flag.</t>
  </si>
  <si>
    <t>BATCHCNT</t>
  </si>
  <si>
    <t>Batchmode parms use flag.</t>
  </si>
  <si>
    <t>CLK_SITE</t>
  </si>
  <si>
    <t>Batchmode clock reference site</t>
  </si>
  <si>
    <t>CLK_SITS</t>
  </si>
  <si>
    <t>List of clock reference stations</t>
  </si>
  <si>
    <t>BRK_SNAM</t>
  </si>
  <si>
    <t>Batchmode clock break stations</t>
  </si>
  <si>
    <t>STAT_ACM</t>
  </si>
  <si>
    <t>Stations with a priori clock mod</t>
  </si>
  <si>
    <t>CALSITES</t>
  </si>
  <si>
    <t>List of sites for standard cal</t>
  </si>
  <si>
    <t>CAL LIST</t>
  </si>
  <si>
    <t>Key to the standard cal config</t>
  </si>
  <si>
    <t>FCL LIST</t>
  </si>
  <si>
    <t>Key to the standard flcal config</t>
  </si>
  <si>
    <t>MCALNAMS</t>
  </si>
  <si>
    <t>Mode calibrations names</t>
  </si>
  <si>
    <t>OBCLLIST</t>
  </si>
  <si>
    <t>Key to standard contribs config</t>
  </si>
  <si>
    <t>ECCNAMES</t>
  </si>
  <si>
    <t>Ecc. site and monument names.</t>
  </si>
  <si>
    <t>ECCTYPES</t>
  </si>
  <si>
    <t>Eccentricy types - XY or NE.</t>
  </si>
  <si>
    <t>NUM4 OBS</t>
  </si>
  <si>
    <t>J</t>
  </si>
  <si>
    <t>Number of observations (I*4)</t>
  </si>
  <si>
    <t>AXISTILT</t>
  </si>
  <si>
    <t>Fixed axis tilts (arc-sec).</t>
  </si>
  <si>
    <t>#SAMPLES</t>
  </si>
  <si>
    <t># of samples by sideband and cha</t>
  </si>
  <si>
    <t>AMPBYFRQ</t>
  </si>
  <si>
    <t>Amp(0-1), phs by chan(-180to180)</t>
  </si>
  <si>
    <t>COHERCOR</t>
  </si>
  <si>
    <t>Corr coeff (0 --&gt; 1)............</t>
  </si>
  <si>
    <t>DEL OBSV</t>
  </si>
  <si>
    <t>Observed delay us in 2 parts....</t>
  </si>
  <si>
    <t>DELRESID</t>
  </si>
  <si>
    <t>Delay residual (sec)............</t>
  </si>
  <si>
    <t>DELSIGMA</t>
  </si>
  <si>
    <t>Delay err (sec).................</t>
  </si>
  <si>
    <t>DELTAEPO</t>
  </si>
  <si>
    <t>Offset from center of scan (sec)</t>
  </si>
  <si>
    <t>GC PHASE</t>
  </si>
  <si>
    <t>Tot phase ref to cen of Earth...</t>
  </si>
  <si>
    <t>GPDLAMBG</t>
  </si>
  <si>
    <t>Group delay ambiguity (sec).....</t>
  </si>
  <si>
    <t>GROBSDEL</t>
  </si>
  <si>
    <t>Observed group delay in sec.....</t>
  </si>
  <si>
    <t>LO FREQ</t>
  </si>
  <si>
    <t>LO frequencies per cha/sta MHz..</t>
  </si>
  <si>
    <t>PHASECAL</t>
  </si>
  <si>
    <t>PC rate by sta ( us per s)......</t>
  </si>
  <si>
    <t>RAT OBSV</t>
  </si>
  <si>
    <t>Observd delay rate (sec per sec)</t>
  </si>
  <si>
    <t>RATRESID</t>
  </si>
  <si>
    <t>Rate resid (sec per sec)........</t>
  </si>
  <si>
    <t>RATSIGMA</t>
  </si>
  <si>
    <t>Rate formal error(sec per sec)..</t>
  </si>
  <si>
    <t>REF FREQ</t>
  </si>
  <si>
    <t>Freq to which phase is referred.</t>
  </si>
  <si>
    <t>RFREQ</t>
  </si>
  <si>
    <t>RF freq by channel (MHz)........</t>
  </si>
  <si>
    <t>SAMPLRAT</t>
  </si>
  <si>
    <t>Sample rate (Hz)................</t>
  </si>
  <si>
    <t>SB DELAY</t>
  </si>
  <si>
    <t>Single band delay (microsec)....</t>
  </si>
  <si>
    <t>SB SIGMA</t>
  </si>
  <si>
    <t>SB delay error microseconds.....</t>
  </si>
  <si>
    <t>SBRESID</t>
  </si>
  <si>
    <t>Single band delay residual......</t>
  </si>
  <si>
    <t>SEC TAG</t>
  </si>
  <si>
    <t>Seconds part of UTC TAG.........</t>
  </si>
  <si>
    <t>SNRATIO</t>
  </si>
  <si>
    <t>Signal to noise  ratio..........</t>
  </si>
  <si>
    <t>SRCHPAR</t>
  </si>
  <si>
    <t>FRNGE/Fourfit search parameters.</t>
  </si>
  <si>
    <t>STARTSEC</t>
  </si>
  <si>
    <t>Start time in sec past hour.....</t>
  </si>
  <si>
    <t>STOP SEC</t>
  </si>
  <si>
    <t>Stop  time in sec past hour.....</t>
  </si>
  <si>
    <t>TOTPHASE</t>
  </si>
  <si>
    <t>Total phase degrees mod 360.....</t>
  </si>
  <si>
    <t>URVR</t>
  </si>
  <si>
    <t>Rate derivatives mHz per asec...</t>
  </si>
  <si>
    <t>UVF/ASEC</t>
  </si>
  <si>
    <t>U,V in FR per arcsec, from CALC</t>
  </si>
  <si>
    <t>NDRYPART</t>
  </si>
  <si>
    <t>Nhmf2 dry partial deriv. def.</t>
  </si>
  <si>
    <t>NWETPART</t>
  </si>
  <si>
    <t>Whmf2 wet partial deriv. def.</t>
  </si>
  <si>
    <t>NDRYCONT</t>
  </si>
  <si>
    <t>Nhmf (dry) atm. contribution</t>
  </si>
  <si>
    <t>NWETCONT</t>
  </si>
  <si>
    <t>Whmf (wet) atm. contribution</t>
  </si>
  <si>
    <t>NGRADPAR</t>
  </si>
  <si>
    <t>Niell dry atm. gradient partials</t>
  </si>
  <si>
    <t>EL-THEO</t>
  </si>
  <si>
    <t>Elevation array definition</t>
  </si>
  <si>
    <t>AZ-THEO</t>
  </si>
  <si>
    <t>Azimuth array definition</t>
  </si>
  <si>
    <t>AXO PART</t>
  </si>
  <si>
    <t>Axis Offset partial deriv. def.</t>
  </si>
  <si>
    <t>AXO CONT</t>
  </si>
  <si>
    <t>New Axis Offset Contributions</t>
  </si>
  <si>
    <t>PARANGLE</t>
  </si>
  <si>
    <t>Feedhorn rot. angle, ref and rem</t>
  </si>
  <si>
    <t>FEED.COR</t>
  </si>
  <si>
    <t>Feedhorn corr. in CORFIL scheme</t>
  </si>
  <si>
    <t>ETD CONT</t>
  </si>
  <si>
    <t>Earth tide contributions def.</t>
  </si>
  <si>
    <t>PTD CONT</t>
  </si>
  <si>
    <t>Pole tide contributions def.</t>
  </si>
  <si>
    <t>PTDXYPAR</t>
  </si>
  <si>
    <t>Pole Tide Partials w.r.t. X &amp; Y</t>
  </si>
  <si>
    <t>PTOLDCON</t>
  </si>
  <si>
    <t>Old Pole Tide Restorer Contrib.</t>
  </si>
  <si>
    <t>NUT WAHR</t>
  </si>
  <si>
    <t>Wahr nut vals  - Dpsi,Deps&amp;rates</t>
  </si>
  <si>
    <t>WAHRCONT</t>
  </si>
  <si>
    <t>2000A Nut to Wahr Nut Contributn</t>
  </si>
  <si>
    <t>OCE CONT</t>
  </si>
  <si>
    <t>Ocean loading contributions def.</t>
  </si>
  <si>
    <t>OCE DELD</t>
  </si>
  <si>
    <t>Ocean load site depndnt displace</t>
  </si>
  <si>
    <t>OCE HORZ</t>
  </si>
  <si>
    <t>Site-dep ocean cont - horizontal</t>
  </si>
  <si>
    <t>OCE VERT</t>
  </si>
  <si>
    <t>Site-dep ocean cont - vertical</t>
  </si>
  <si>
    <t>PRE PART</t>
  </si>
  <si>
    <t>Precession partial deriv. def.</t>
  </si>
  <si>
    <t>SIT PART</t>
  </si>
  <si>
    <t>Site partial derivative def.</t>
  </si>
  <si>
    <t>STR PART</t>
  </si>
  <si>
    <t>Star partial derivatives def.</t>
  </si>
  <si>
    <t>UT1 PART</t>
  </si>
  <si>
    <t>UT1 partial derivatives def.</t>
  </si>
  <si>
    <t>UT1 -TAI</t>
  </si>
  <si>
    <t>UT1 time of day for this obsvr.</t>
  </si>
  <si>
    <t>WOB PART</t>
  </si>
  <si>
    <t>Wobble partial derivatives def.</t>
  </si>
  <si>
    <t>WOBXCONT</t>
  </si>
  <si>
    <t>X Wobble contribution definition</t>
  </si>
  <si>
    <t>WOBYCONT</t>
  </si>
  <si>
    <t>Y Wobble contribution definition</t>
  </si>
  <si>
    <t>POLAR XY</t>
  </si>
  <si>
    <t>Polar motion X &amp; Y for obs (rad)</t>
  </si>
  <si>
    <t>CT SITE1</t>
  </si>
  <si>
    <t>CT fraction at obs site 1</t>
  </si>
  <si>
    <t>EARTH CE</t>
  </si>
  <si>
    <t>Earth barycentric coordinates...</t>
  </si>
  <si>
    <t>SUN DATA</t>
  </si>
  <si>
    <t>Solar geocentric coordinates....</t>
  </si>
  <si>
    <t>MOONDATA</t>
  </si>
  <si>
    <t>Lunar geocentric coordinates....</t>
  </si>
  <si>
    <t>CONSNDEL</t>
  </si>
  <si>
    <t>Consensus theo. delay (microsec)</t>
  </si>
  <si>
    <t>CONSNRAT</t>
  </si>
  <si>
    <t>Consensus theo. rate (sec/sec)</t>
  </si>
  <si>
    <t>CONSPART</t>
  </si>
  <si>
    <t>Consensus partial w.r.t. Gamma</t>
  </si>
  <si>
    <t>CON CONT</t>
  </si>
  <si>
    <t>Consensus bending contrib. (sec)</t>
  </si>
  <si>
    <t>SUN CONT</t>
  </si>
  <si>
    <t>SUN2CONT</t>
  </si>
  <si>
    <t>High order bending contrib.(sec)</t>
  </si>
  <si>
    <t>BENDPART</t>
  </si>
  <si>
    <t>Grav. bend. partial w.r.t. Gamma</t>
  </si>
  <si>
    <t>PLX PART</t>
  </si>
  <si>
    <t>Parallax partial deriv. def.</t>
  </si>
  <si>
    <t>PLX1PSEC</t>
  </si>
  <si>
    <t>Parallax partial/contr, 1 parsec</t>
  </si>
  <si>
    <t>TEMP C</t>
  </si>
  <si>
    <t>Temp in C at local WX station</t>
  </si>
  <si>
    <t>ATM PRES</t>
  </si>
  <si>
    <t>Pressure in mb at site</t>
  </si>
  <si>
    <t>REL.HUM.</t>
  </si>
  <si>
    <t>Rel.Hum. at local WX st (50%=.5)</t>
  </si>
  <si>
    <t>CABL DEL</t>
  </si>
  <si>
    <t>Cable calibration data</t>
  </si>
  <si>
    <t>UNPHASCL</t>
  </si>
  <si>
    <t>UnPhaseCal effect - group&amp;rate</t>
  </si>
  <si>
    <t>GRIONFRQ</t>
  </si>
  <si>
    <t>Effective ion.frq for gr.del MHz</t>
  </si>
  <si>
    <t>PHIONFRQ</t>
  </si>
  <si>
    <t>Effective ion.frq for ph.del MHz</t>
  </si>
  <si>
    <t>ION CORR</t>
  </si>
  <si>
    <t>Ion correction. Add to theo. sec</t>
  </si>
  <si>
    <t>IONRMS</t>
  </si>
  <si>
    <t>Ion correction to sigma. sec</t>
  </si>
  <si>
    <t>EFF FREQ</t>
  </si>
  <si>
    <t>Effective freqs, opposite band</t>
  </si>
  <si>
    <t>RTOBS XS</t>
  </si>
  <si>
    <t>Rate observable, opposite band</t>
  </si>
  <si>
    <t>RTERR XS</t>
  </si>
  <si>
    <t>Rate formal err, opposite band</t>
  </si>
  <si>
    <t>DLOBS XS</t>
  </si>
  <si>
    <t>Delay observable, opposite band</t>
  </si>
  <si>
    <t>DLERR XS</t>
  </si>
  <si>
    <t>Delay formal err, opposite band</t>
  </si>
  <si>
    <t>DPHAS XS</t>
  </si>
  <si>
    <t>Phase observable, opposite band</t>
  </si>
  <si>
    <t>DPHER XS</t>
  </si>
  <si>
    <t>Phase formal err, opposite band</t>
  </si>
  <si>
    <t>TOTPHA_S</t>
  </si>
  <si>
    <t>S-band Total phase (in degrees)</t>
  </si>
  <si>
    <t>REF FR_S</t>
  </si>
  <si>
    <t>Fr to w.phase is referred S-band</t>
  </si>
  <si>
    <t>SNR_S</t>
  </si>
  <si>
    <t>Signal to noise ratio for S-band</t>
  </si>
  <si>
    <t>COHCOR_S</t>
  </si>
  <si>
    <t>Corr coeff (0 --&gt; 1) for S-band</t>
  </si>
  <si>
    <t>SB DEL_S</t>
  </si>
  <si>
    <t>Single band delay for S-band</t>
  </si>
  <si>
    <t>SB SIG_S</t>
  </si>
  <si>
    <t>SB delay error S-band, mks</t>
  </si>
  <si>
    <t>GRPAMB_S</t>
  </si>
  <si>
    <t>Group delay ambiguity for S-band</t>
  </si>
  <si>
    <t>TILTRMVR</t>
  </si>
  <si>
    <t>Axis Tilt Contribution Remover</t>
  </si>
  <si>
    <t>NUT2000A</t>
  </si>
  <si>
    <t>IAU200A Nut. - Dpsi, Deps, Rates</t>
  </si>
  <si>
    <t>NUT2KXYS</t>
  </si>
  <si>
    <t>CIP Coordinates X,Y,S, and Rates</t>
  </si>
  <si>
    <t>NUT2KXYP</t>
  </si>
  <si>
    <t>IAU2000A Nutation X,Y Partials</t>
  </si>
  <si>
    <t>NUT2000P</t>
  </si>
  <si>
    <t>IAU2000A Nutation Psi,Eps Partls</t>
  </si>
  <si>
    <t>UT1ORTHO</t>
  </si>
  <si>
    <t>ORTHO_EOP Tidal UT1 contribution</t>
  </si>
  <si>
    <t>WOBNUTAT</t>
  </si>
  <si>
    <t>Short period nutation wobble con</t>
  </si>
  <si>
    <t>WOBORTHO</t>
  </si>
  <si>
    <t>ORTHO_EOP tidal wobble contribtn</t>
  </si>
  <si>
    <t>CF2J2K</t>
  </si>
  <si>
    <t>Crust-fixed-to-J2000 Rot. Matrix</t>
  </si>
  <si>
    <t>#CHANELS</t>
  </si>
  <si>
    <t>No. of U-L pairs in integration.</t>
  </si>
  <si>
    <t>BBC IND</t>
  </si>
  <si>
    <t>Physical BBC number by channel..</t>
  </si>
  <si>
    <t>CALBYFRQ</t>
  </si>
  <si>
    <t>PC amp,phs,frq by sta,channel...</t>
  </si>
  <si>
    <t>DELUFLAG</t>
  </si>
  <si>
    <t>Delay unweight flag</t>
  </si>
  <si>
    <t>NO.OF AP</t>
  </si>
  <si>
    <t># of AP by sideband and channel.</t>
  </si>
  <si>
    <t>PHCALOFF</t>
  </si>
  <si>
    <t>Phase cal offset (-18000/18000).</t>
  </si>
  <si>
    <t>PHCALSTS</t>
  </si>
  <si>
    <t>Phase cal status: 0/1/2 ........</t>
  </si>
  <si>
    <t>RATUFLAG</t>
  </si>
  <si>
    <t>Delay rate unweight flag........</t>
  </si>
  <si>
    <t>UTC TAG</t>
  </si>
  <si>
    <t>Epoch UTC YMDHM.................</t>
  </si>
  <si>
    <t>UTC TAG4</t>
  </si>
  <si>
    <t>Epoch UTC YMDHMS (4 digit year).</t>
  </si>
  <si>
    <t>UNPHAFLG</t>
  </si>
  <si>
    <t>UnPhaseCal flag</t>
  </si>
  <si>
    <t># AMBIG</t>
  </si>
  <si>
    <t>No. of ambiguities</t>
  </si>
  <si>
    <t>ION CODE</t>
  </si>
  <si>
    <t>Ion corr code. -1=no good, 0=OK</t>
  </si>
  <si>
    <t>ION_BITS</t>
  </si>
  <si>
    <t>ICORR for full ion tracking.</t>
  </si>
  <si>
    <t>#GAMBG_S</t>
  </si>
  <si>
    <t>No. of ambiguities for S-band</t>
  </si>
  <si>
    <t>UACSUP</t>
  </si>
  <si>
    <t>User action for suppression</t>
  </si>
  <si>
    <t>BASELINE</t>
  </si>
  <si>
    <t>Ref and rem site names..........</t>
  </si>
  <si>
    <t>POLARIZ</t>
  </si>
  <si>
    <t>Polarization per sta/chan R/L...</t>
  </si>
  <si>
    <t>QUALCODE</t>
  </si>
  <si>
    <t>FRNGE quality  index 0 --&gt; 9....</t>
  </si>
  <si>
    <t>SCANNAME</t>
  </si>
  <si>
    <t>Scan name ......................</t>
  </si>
  <si>
    <t>SITCODES</t>
  </si>
  <si>
    <t>Two-letters site codes .........</t>
  </si>
  <si>
    <t>STAR ID</t>
  </si>
  <si>
    <t>Radio source name...............</t>
  </si>
  <si>
    <t>QCODE XS</t>
  </si>
  <si>
    <t>Quality code, opposite band</t>
  </si>
  <si>
    <t>#PAMBG_S</t>
  </si>
  <si>
    <t># phase ambiguities for S-band</t>
  </si>
  <si>
    <t>ABASACCE</t>
  </si>
  <si>
    <t>Corel bas/apr accel (1/sec**2)..</t>
  </si>
  <si>
    <t>ABASDEL</t>
  </si>
  <si>
    <t>Corel bas/apr delay (sec).......</t>
  </si>
  <si>
    <t>ABASRATE</t>
  </si>
  <si>
    <t>Corel bas/apr delay rate (s/s)..</t>
  </si>
  <si>
    <t>CORCLOCK</t>
  </si>
  <si>
    <t>Clock offset(sec)/rate(sec/sec).</t>
  </si>
  <si>
    <t>DISCARD</t>
  </si>
  <si>
    <t>Percent data discarded by FRNGE.</t>
  </si>
  <si>
    <t>EFF.DURA</t>
  </si>
  <si>
    <t>Effective run duration sec......</t>
  </si>
  <si>
    <t>FALSEDET</t>
  </si>
  <si>
    <t>Prob of false det from FRNGE....</t>
  </si>
  <si>
    <t>GC MBD</t>
  </si>
  <si>
    <t>Tot geocenter group delay (sec).</t>
  </si>
  <si>
    <t>GC RATE</t>
  </si>
  <si>
    <t>Tot geocenter delay rate (s/s)..</t>
  </si>
  <si>
    <t>GC SBD</t>
  </si>
  <si>
    <t>Tot geocenter sbd delay (sec)...</t>
  </si>
  <si>
    <t>GCRESPHS</t>
  </si>
  <si>
    <t>Resid phs corrected to cen of E.</t>
  </si>
  <si>
    <t>IDELAY</t>
  </si>
  <si>
    <t>Corel instrumental delay (sec)..</t>
  </si>
  <si>
    <t>INCOH2</t>
  </si>
  <si>
    <t>Incoh amp from FRNGE plot segs..</t>
  </si>
  <si>
    <t>INCOHAMP</t>
  </si>
  <si>
    <t>Fr. amp from incoh int of chan..</t>
  </si>
  <si>
    <t>QBFACTOR</t>
  </si>
  <si>
    <t>Measure of uniformity of data...</t>
  </si>
  <si>
    <t>REFCLKER</t>
  </si>
  <si>
    <t>Ref sta clock epoch microsec....</t>
  </si>
  <si>
    <t>STARELEV</t>
  </si>
  <si>
    <t>Elev angles calc by COREL.......</t>
  </si>
  <si>
    <t>ZDELAY</t>
  </si>
  <si>
    <t>Corel zenith atmos. delay (sec).</t>
  </si>
  <si>
    <t>CORELVER</t>
  </si>
  <si>
    <t>Correlator software version numb</t>
  </si>
  <si>
    <t>CORR UTC</t>
  </si>
  <si>
    <t>UTC time tag of correlation.....</t>
  </si>
  <si>
    <t>DBEDITVE</t>
  </si>
  <si>
    <t>Dbedit revision date YYYY MM DD</t>
  </si>
  <si>
    <t>ERRORATE</t>
  </si>
  <si>
    <t>Log err rate by sta, sb, channel</t>
  </si>
  <si>
    <t>FOURFUTC</t>
  </si>
  <si>
    <t>Fourfit processing time YMDHMS..</t>
  </si>
  <si>
    <t>FOURFVER</t>
  </si>
  <si>
    <t>Fourfit version number..........</t>
  </si>
  <si>
    <t>INDEXNUM</t>
  </si>
  <si>
    <t>Corel index numbers by sb,freq..</t>
  </si>
  <si>
    <t>SCAN UTC</t>
  </si>
  <si>
    <t>Nominal scan time YMDHMS........</t>
  </si>
  <si>
    <t>STARTOFF</t>
  </si>
  <si>
    <t>Offset nominal start time (sec).</t>
  </si>
  <si>
    <t>STOP OFF</t>
  </si>
  <si>
    <t>Offset nominal stop time (sec)..</t>
  </si>
  <si>
    <t>UTCM TAG</t>
  </si>
  <si>
    <t>UTC at central epoch YMDHMS.....</t>
  </si>
  <si>
    <t>CHAN ID</t>
  </si>
  <si>
    <t>One-letter Fourfit channel ID...</t>
  </si>
  <si>
    <t>CORBASCD</t>
  </si>
  <si>
    <t>Correlator baseline code (2 ch).</t>
  </si>
  <si>
    <t>CROOTFIL</t>
  </si>
  <si>
    <t>Correlator root file name.......</t>
  </si>
  <si>
    <t>FOURFFIL</t>
  </si>
  <si>
    <t>Fourfit output filename.........</t>
  </si>
  <si>
    <t>FRNGERR</t>
  </si>
  <si>
    <t>Fourfit error flag blank=OK.....</t>
  </si>
  <si>
    <t>FRQGROUP</t>
  </si>
  <si>
    <t>Frequency group code............</t>
  </si>
  <si>
    <t>TAPEID</t>
  </si>
  <si>
    <t>Raw data tape ID for ref and rem</t>
  </si>
  <si>
    <t>TAPQCODE</t>
  </si>
  <si>
    <t>Tape quality code...............</t>
  </si>
  <si>
    <t>FOURFFXS</t>
  </si>
  <si>
    <t>Fourfit output filename S-band</t>
  </si>
  <si>
    <t>Use</t>
  </si>
  <si>
    <t xml:space="preserve">Dimensions </t>
  </si>
  <si>
    <t>Descriptor</t>
  </si>
  <si>
    <t>Type</t>
  </si>
  <si>
    <t>Added</t>
  </si>
  <si>
    <t>Name</t>
  </si>
  <si>
    <t>AUTO_SUP</t>
  </si>
  <si>
    <t>USER_SUP</t>
  </si>
  <si>
    <t>USER_REC</t>
  </si>
  <si>
    <t>WVRDELAY</t>
  </si>
  <si>
    <t>WVR DELY</t>
  </si>
  <si>
    <t>SOURSTRU</t>
  </si>
  <si>
    <t>CLCKEP</t>
  </si>
  <si>
    <t>ATMEPO</t>
  </si>
  <si>
    <t xml:space="preserve">Corfil </t>
  </si>
  <si>
    <t>FATMEP</t>
  </si>
  <si>
    <t>FCLEP</t>
  </si>
  <si>
    <t>CLCKFL</t>
  </si>
  <si>
    <t>IAFLAG</t>
  </si>
  <si>
    <t>ATM FL</t>
  </si>
  <si>
    <t>ICLFLG</t>
  </si>
  <si>
    <t>NUMAMB</t>
  </si>
  <si>
    <t>NREF_SITE</t>
  </si>
  <si>
    <t>JNSTA_TMP</t>
  </si>
  <si>
    <t>JNSTR_TMP</t>
  </si>
  <si>
    <t>NCHAN</t>
  </si>
  <si>
    <t>NUMAMB_S</t>
  </si>
  <si>
    <t>NPHAM4_S</t>
  </si>
  <si>
    <t>NPHAM4</t>
  </si>
  <si>
    <t>NOSAMPLE_R8</t>
  </si>
  <si>
    <t>AMP_PHS</t>
  </si>
  <si>
    <t>ATMX</t>
  </si>
  <si>
    <t>IHOLD</t>
  </si>
  <si>
    <t>ARRAY6</t>
  </si>
  <si>
    <t>ATM_INTERVAL</t>
  </si>
  <si>
    <t>WAXOF_TMP</t>
  </si>
  <si>
    <t>ICLOCK</t>
  </si>
  <si>
    <t>LBSNAM</t>
  </si>
  <si>
    <t>BASLSTAT_I2</t>
  </si>
  <si>
    <t>HOLDA</t>
  </si>
  <si>
    <t>IBLC_BASELINES</t>
  </si>
  <si>
    <t>BREAK_EPOCS</t>
  </si>
  <si>
    <t>BREAK_FLAGS</t>
  </si>
  <si>
    <t>NUMBREAKS</t>
  </si>
  <si>
    <t>BREAK_NAMESI</t>
  </si>
  <si>
    <t>BREAK_SITES_HOLD</t>
  </si>
  <si>
    <t>ISTAT</t>
  </si>
  <si>
    <t>JTEMP</t>
  </si>
  <si>
    <t>LHOLD</t>
  </si>
  <si>
    <t>CALBYFRQ_I2</t>
  </si>
  <si>
    <t>CALCVDB</t>
  </si>
  <si>
    <t>JTEMP_NAMES</t>
  </si>
  <si>
    <t>CLK_INTERVAL</t>
  </si>
  <si>
    <t>CLODR_ACM</t>
  </si>
  <si>
    <t>CLOOF_ACM</t>
  </si>
  <si>
    <t>AMPL_S</t>
  </si>
  <si>
    <t>AMPL</t>
  </si>
  <si>
    <t>D2</t>
  </si>
  <si>
    <t>DTEMP</t>
  </si>
  <si>
    <t>CORRELATOR_NAME</t>
  </si>
  <si>
    <t>STR</t>
  </si>
  <si>
    <t>FRINGE_ROOT_FINAM</t>
  </si>
  <si>
    <t>FRACTC</t>
  </si>
  <si>
    <t>IUNW</t>
  </si>
  <si>
    <t>IDIF</t>
  </si>
  <si>
    <t>EFREQ</t>
  </si>
  <si>
    <t>EL_BUFFER_I</t>
  </si>
  <si>
    <t>EOP_TS_CALC</t>
  </si>
  <si>
    <t>LSEPN</t>
  </si>
  <si>
    <t>f6p_hold</t>
  </si>
  <si>
    <t>NAMES4ERRORS_HOLD</t>
  </si>
  <si>
    <t>CALL GETA(</t>
  </si>
  <si>
    <t>ibstb_hold</t>
  </si>
  <si>
    <t>f6g_hold</t>
  </si>
  <si>
    <t>WTIDE</t>
  </si>
  <si>
    <t>UT1INB_TMP</t>
  </si>
  <si>
    <t>UT1PTB</t>
  </si>
  <si>
    <t>WOBINB</t>
  </si>
  <si>
    <t>WOBXY</t>
  </si>
  <si>
    <t>JTEMP7</t>
  </si>
  <si>
    <t>LHOLDB</t>
  </si>
  <si>
    <t>FRINGE_X_FINAM</t>
  </si>
  <si>
    <t>FRINGE_S_FINAM</t>
  </si>
  <si>
    <t>FRQGROUP_CH</t>
  </si>
  <si>
    <t>FAMB_S</t>
  </si>
  <si>
    <t>INTER</t>
  </si>
  <si>
    <t>IDBIC</t>
  </si>
  <si>
    <t>ICORR</t>
  </si>
  <si>
    <t>PHION</t>
  </si>
  <si>
    <t>IARRAY2</t>
  </si>
  <si>
    <t>AGRAD_PART</t>
  </si>
  <si>
    <t>NOAP</t>
  </si>
  <si>
    <t>NUMOS_TMP4</t>
  </si>
  <si>
    <t>NUMOS_TMP2</t>
  </si>
  <si>
    <t>ARRAY</t>
  </si>
  <si>
    <t>ARRAY(3)</t>
  </si>
  <si>
    <t>JOBTEMP</t>
  </si>
  <si>
    <t>LOBHOLD</t>
  </si>
  <si>
    <t>PRNGL</t>
  </si>
  <si>
    <t>PHCAL</t>
  </si>
  <si>
    <t>PHC_STS</t>
  </si>
  <si>
    <t>IUNWP</t>
  </si>
  <si>
    <t>PI_VAR</t>
  </si>
  <si>
    <t>PI_NAME</t>
  </si>
  <si>
    <t>PART_DIST</t>
  </si>
  <si>
    <t>DTEMP2</t>
  </si>
  <si>
    <t>WPREC</t>
  </si>
  <si>
    <t>PART</t>
  </si>
  <si>
    <t>ATEMP</t>
  </si>
  <si>
    <t>LQUAL</t>
  </si>
  <si>
    <t>REC_MODE</t>
  </si>
  <si>
    <t>IRECST</t>
  </si>
  <si>
    <t>REF_FR_S</t>
  </si>
  <si>
    <t>REFFR</t>
  </si>
  <si>
    <t>WREL</t>
  </si>
  <si>
    <t>RFQ</t>
  </si>
  <si>
    <t>EPOCH</t>
  </si>
  <si>
    <t>RUNCODE</t>
  </si>
  <si>
    <t>SAMPLE_RATE</t>
  </si>
  <si>
    <t>DNB_S</t>
  </si>
  <si>
    <t>SCAN_NAME</t>
  </si>
  <si>
    <t>SECTAG</t>
  </si>
  <si>
    <t>ISIMU</t>
  </si>
  <si>
    <t>WSITEC_TMP</t>
  </si>
  <si>
    <t>WATM</t>
  </si>
  <si>
    <t>SIT_OLD</t>
  </si>
  <si>
    <t>SNRA</t>
  </si>
  <si>
    <t>IDATYP</t>
  </si>
  <si>
    <t>SOURSTAT_I2</t>
  </si>
  <si>
    <t>LSTRN</t>
  </si>
  <si>
    <t>WSTARC_TMP</t>
  </si>
  <si>
    <t>jstrn_tmp</t>
  </si>
  <si>
    <t>IUT1</t>
  </si>
  <si>
    <t>TOTPH_S</t>
  </si>
  <si>
    <t>UNCAL</t>
  </si>
  <si>
    <t>MESS_RS</t>
  </si>
  <si>
    <t>TUT1</t>
  </si>
  <si>
    <t>UT1_M_TAI</t>
  </si>
  <si>
    <t>UT1AP</t>
  </si>
  <si>
    <t>mess_ut1</t>
  </si>
  <si>
    <t>ITM</t>
  </si>
  <si>
    <t>I2_ARR</t>
  </si>
  <si>
    <t>WOBAP</t>
  </si>
  <si>
    <t>mess_wob</t>
  </si>
  <si>
    <t>IWVCOD</t>
  </si>
  <si>
    <t>#PAMBIG</t>
  </si>
  <si>
    <t>BASCLCKS</t>
  </si>
  <si>
    <t>BRK_STAT</t>
  </si>
  <si>
    <t>CAL CONF</t>
  </si>
  <si>
    <t>DIF FLAG</t>
  </si>
  <si>
    <t>EPNAMES</t>
  </si>
  <si>
    <t>ERPHS K</t>
  </si>
  <si>
    <t>EUT1 INF</t>
  </si>
  <si>
    <t>EUT1 PTS</t>
  </si>
  <si>
    <t>EWOB INF</t>
  </si>
  <si>
    <t>EWOBX&amp;YT</t>
  </si>
  <si>
    <t>HELL DEL</t>
  </si>
  <si>
    <t>HELL RAT</t>
  </si>
  <si>
    <t>IONPCORR</t>
  </si>
  <si>
    <t>NB DELAY</t>
  </si>
  <si>
    <t>NUMBR OB</t>
  </si>
  <si>
    <t>NUT 1996</t>
  </si>
  <si>
    <t>PC DELAY</t>
  </si>
  <si>
    <t>PHSUFLAG</t>
  </si>
  <si>
    <t>PUT1 INF</t>
  </si>
  <si>
    <t>PUT1 PTS</t>
  </si>
  <si>
    <t>PWOB INF</t>
  </si>
  <si>
    <t>PWOBX&amp;YT</t>
  </si>
  <si>
    <t>RECSETUP</t>
  </si>
  <si>
    <t>RUN CODE</t>
  </si>
  <si>
    <t>SIMULATE</t>
  </si>
  <si>
    <t>STARCRDS</t>
  </si>
  <si>
    <t>THODELAY</t>
  </si>
  <si>
    <t>THODRATE</t>
  </si>
  <si>
    <t>UNCALDLY</t>
  </si>
  <si>
    <t>VLB2 UTC</t>
  </si>
  <si>
    <t>WVR CODE</t>
  </si>
  <si>
    <t>y</t>
  </si>
  <si>
    <t>Westford</t>
  </si>
  <si>
    <t>NGS Cards</t>
  </si>
  <si>
    <t>Keep</t>
  </si>
  <si>
    <t>Y</t>
  </si>
  <si>
    <t>Lcode Name</t>
  </si>
  <si>
    <t>Variable</t>
  </si>
  <si>
    <t>CALL GETJ(</t>
  </si>
  <si>
    <t>CALL GET4(</t>
  </si>
  <si>
    <t>CALL GETI(</t>
  </si>
  <si>
    <t>CALL GETR(</t>
  </si>
  <si>
    <t>CALL GET_STRING(</t>
  </si>
  <si>
    <t>CALL GETI(C_FLAG</t>
  </si>
  <si>
    <t>CALL GETR(C_EPOCH</t>
  </si>
  <si>
    <t>toc</t>
  </si>
  <si>
    <t>Experiment Serial Number</t>
  </si>
  <si>
    <t>Number of radio sources</t>
  </si>
  <si>
    <t>Number of observations in file</t>
  </si>
  <si>
    <t>Correlator name</t>
  </si>
  <si>
    <t>Correlator type: MK3/MK4/K4 etc</t>
  </si>
  <si>
    <t>Experiment name</t>
  </si>
  <si>
    <t>Control file name for fourfit</t>
  </si>
  <si>
    <t>Command string used for fourfit</t>
  </si>
  <si>
    <t>Agency/contact_person/PI name</t>
  </si>
  <si>
    <t>Recoding mode</t>
  </si>
  <si>
    <t>Site names array</t>
  </si>
  <si>
    <t>DOMESNR</t>
  </si>
  <si>
    <t>Domes number array</t>
  </si>
  <si>
    <t>Source names array</t>
  </si>
  <si>
    <t>IERSDES</t>
  </si>
  <si>
    <t>IERZS Designation array</t>
  </si>
  <si>
    <t>Fourfit version number</t>
  </si>
  <si>
    <t>Epoch UTC YMDHM.</t>
  </si>
  <si>
    <t>Scan name</t>
  </si>
  <si>
    <t>Radio source name</t>
  </si>
  <si>
    <t>Nominal scan time YMDHMS</t>
  </si>
  <si>
    <t>LO frequencies per cha/sta MHz</t>
  </si>
  <si>
    <t>PC rate by sta ( us per s)</t>
  </si>
  <si>
    <t>Physical BBC number by channel</t>
  </si>
  <si>
    <t>PC amp,phs,frq by sta,channel</t>
  </si>
  <si>
    <t>Polarization per sta/chan R/L</t>
  </si>
  <si>
    <t>Clock offset(sec)/rate(sec/sec)</t>
  </si>
  <si>
    <t>Percent data discarded by FRNGE</t>
  </si>
  <si>
    <t>Effective run duration sec</t>
  </si>
  <si>
    <t>Prob of false det from FRNGE</t>
  </si>
  <si>
    <t>Tot geocenter group delay (sec)</t>
  </si>
  <si>
    <t>Tot geocenter delay rate (s/s)</t>
  </si>
  <si>
    <t>Tot geocenter sbd delay (sec)</t>
  </si>
  <si>
    <t>Ref sta clock epoch microsec</t>
  </si>
  <si>
    <t>Elev angles calc by COREL</t>
  </si>
  <si>
    <t>Corel zenith atmos. delay (sec)</t>
  </si>
  <si>
    <t>Tape quality code</t>
  </si>
  <si>
    <t>Start time in sec past hour</t>
  </si>
  <si>
    <t>Stop  time in sec past hour</t>
  </si>
  <si>
    <t>Corr coeff (0 --&gt; 1)</t>
  </si>
  <si>
    <t>Observed delay us in 2 parts</t>
  </si>
  <si>
    <t>Delay residual (sec)</t>
  </si>
  <si>
    <t>Delay err (sec)</t>
  </si>
  <si>
    <t>Tot phase ref to cen of Earth</t>
  </si>
  <si>
    <t>Group delay ambiguity (sec)</t>
  </si>
  <si>
    <t>Rate resid (sec per sec)</t>
  </si>
  <si>
    <t>Rate formal error(sec per sec)</t>
  </si>
  <si>
    <t>Freq to which phase is referred</t>
  </si>
  <si>
    <t>RF freq by channel (MHz)</t>
  </si>
  <si>
    <t>Single band delay (microsec)</t>
  </si>
  <si>
    <t>SB delay error microseconds</t>
  </si>
  <si>
    <t>Single band delay residual</t>
  </si>
  <si>
    <t>Seconds part of UTC TAG.</t>
  </si>
  <si>
    <t>Signal to noise  ratio</t>
  </si>
  <si>
    <t>Total phase degrees mod 360</t>
  </si>
  <si>
    <t># of AP by sideband and channel</t>
  </si>
  <si>
    <t>Delay rate unweight flag</t>
  </si>
  <si>
    <t>Ref and rem site names.</t>
  </si>
  <si>
    <t>FRNGE quality  index 0 --&gt; 9</t>
  </si>
  <si>
    <t>Corel bas/apr accel (1/sec**2)</t>
  </si>
  <si>
    <t>Corel bas/apr delay (sec)</t>
  </si>
  <si>
    <t>Corel bas/apr delay rate (s/s)</t>
  </si>
  <si>
    <t>Incoh amp from FRNGE plot segs</t>
  </si>
  <si>
    <t>Fr. amp from incoh int of chan</t>
  </si>
  <si>
    <t>Measure of uniformity of data</t>
  </si>
  <si>
    <t>UTC time tag of correlation</t>
  </si>
  <si>
    <t>Fourfit processing time YMDHMS</t>
  </si>
  <si>
    <t>Correlator baseline code (2 ch)</t>
  </si>
  <si>
    <t>Correlator root file name</t>
  </si>
  <si>
    <t>Fourfit output filename</t>
  </si>
  <si>
    <t>Fourfit error flag blank=OK</t>
  </si>
  <si>
    <t>Frequency group code</t>
  </si>
  <si>
    <t>FRNGE/Fourfit search parameters</t>
  </si>
  <si>
    <t>Sample rate (Hz)</t>
  </si>
  <si>
    <t>TSYS TMP</t>
  </si>
  <si>
    <t>TSYS TMP (K) 14CH,AND IF1,IF2</t>
  </si>
  <si>
    <t>Corel instrumental delay (sec)</t>
  </si>
  <si>
    <t>Corel index numbers by sb,freq</t>
  </si>
  <si>
    <t>Offset nominal start time (sec)</t>
  </si>
  <si>
    <t>Offset nominal stop time (sec)</t>
  </si>
  <si>
    <t>UTC at central epoch YMDHMS</t>
  </si>
  <si>
    <t>One-letter Fourfit channel ID.</t>
  </si>
  <si>
    <t>Session</t>
  </si>
  <si>
    <t>Pivex</t>
  </si>
  <si>
    <t>-</t>
  </si>
  <si>
    <t>GSFC</t>
  </si>
  <si>
    <t>n</t>
  </si>
  <si>
    <t>obs</t>
  </si>
  <si>
    <t>calc/solve</t>
  </si>
  <si>
    <t>Obs</t>
  </si>
  <si>
    <t>Delete</t>
  </si>
  <si>
    <t>other band</t>
  </si>
  <si>
    <t>Questions/Comments</t>
  </si>
  <si>
    <t>Scan</t>
  </si>
  <si>
    <t>S-band</t>
  </si>
  <si>
    <t>al comme</t>
  </si>
  <si>
    <t>I think that only one time-tag s</t>
  </si>
  <si>
    <t>ystems (e.g. MJD or UTC) should be used, no double bookkeeping</t>
  </si>
  <si>
    <t>S that s</t>
  </si>
  <si>
    <t>d be exported in this or other fo</t>
  </si>
  <si>
    <t>rm:</t>
  </si>
  <si>
    <t># of sites......................</t>
  </si>
  <si>
    <t>(not necessary, could be computed afterwards; but maybe useful for initializing arrays)</t>
  </si>
  <si>
    <t># of sources....................</t>
  </si>
  <si>
    <t xml:space="preserve">Number of observations in file  </t>
  </si>
  <si>
    <t>DELTFLAG</t>
  </si>
  <si>
    <t>Delay type flag 1-group, 2-phase</t>
  </si>
  <si>
    <t>First,last UTC TAG in input file</t>
  </si>
  <si>
    <t>Site names array................</t>
  </si>
  <si>
    <t>Station for CBL sign ...........</t>
  </si>
  <si>
    <t>(might conflict with SITNAMES, kind of redundant)</t>
  </si>
  <si>
    <t>Source names array..............</t>
  </si>
  <si>
    <t>Signs of cable cal application .</t>
  </si>
  <si>
    <t>JUL DATE</t>
  </si>
  <si>
    <t>Julian date at midnight.........</t>
  </si>
  <si>
    <t>DEL FRQS</t>
  </si>
  <si>
    <t>ALIAS OF REF FREQ...............</t>
  </si>
  <si>
    <t>RAT FRQS</t>
  </si>
  <si>
    <t>RF FREQ BY CHANNEL (MHZ)........</t>
  </si>
  <si>
    <t>(all these reference frequency information should be somehow condensed)</t>
  </si>
  <si>
    <t>Observed delay uSEC in 2 part ..</t>
  </si>
  <si>
    <t>(if possible keep delay in one double variable, don't split in two parts</t>
  </si>
  <si>
    <t>OBS RATE ( S per S )............</t>
  </si>
  <si>
    <t>Single band delay (Microsec)....</t>
  </si>
  <si>
    <t>Group delay ambiguity (SEC).....</t>
  </si>
  <si>
    <t>AMP,PHS&lt;BY CHAN(0-1) (-180to180)</t>
  </si>
  <si>
    <t>PC RATE BY STA (uSEC per S )....</t>
  </si>
  <si>
    <t>Delay residual (SEC) ...........</t>
  </si>
  <si>
    <t>Delay error (SEC) ..............</t>
  </si>
  <si>
    <t>Rate resid SEC per SEC .........</t>
  </si>
  <si>
    <t>Rate error (sec per sec) .......</t>
  </si>
  <si>
    <t>CORR COEF (0 --&gt; 1 ) ...........</t>
  </si>
  <si>
    <t>Total phase degrees mod 360 ....</t>
  </si>
  <si>
    <t>Single band delay residual .....</t>
  </si>
  <si>
    <t>Signal to noise ratio .... .....</t>
  </si>
  <si>
    <t>TOT phase ref to cen of earth...</t>
  </si>
  <si>
    <t>Start time of 1st AP in sec ....</t>
  </si>
  <si>
    <t>(use abs. epoch!)</t>
  </si>
  <si>
    <t>Stop time of last AP in sec ....</t>
  </si>
  <si>
    <t>SB delay error (uSEC) ..........</t>
  </si>
  <si>
    <t>Temp in C at local WX station ..</t>
  </si>
  <si>
    <t>Pressure in MB at site .........</t>
  </si>
  <si>
    <t>REL.HUM. at local WX ST (50%=.5)</t>
  </si>
  <si>
    <t>Cable calibration data .........</t>
  </si>
  <si>
    <t>ION correction (add to theo) SEC</t>
  </si>
  <si>
    <t>IONSIGMA</t>
  </si>
  <si>
    <t>ION corr to sigma   - SEC  .....</t>
  </si>
  <si>
    <t>APCLOFST</t>
  </si>
  <si>
    <t>Apriori clock offset microsec ..</t>
  </si>
  <si>
    <t>U,V in FR per arc SEC ..........</t>
  </si>
  <si>
    <t>Rate derivatives mHz per arcSEC.</t>
  </si>
  <si>
    <t>Elevation array definition .....</t>
  </si>
  <si>
    <t>Azimuth array definition .......</t>
  </si>
  <si>
    <t>EPOCH UTC YMDHM.................</t>
  </si>
  <si>
    <t>NO. OF U-L pairs in integration.</t>
  </si>
  <si>
    <t>Delay unweight flag ............</t>
  </si>
  <si>
    <t>Rate  unweight flag ............</t>
  </si>
  <si>
    <t># DELAYS</t>
  </si>
  <si>
    <t>NO. of delays in this obs ......</t>
  </si>
  <si>
    <t># RATES</t>
  </si>
  <si>
    <t>NO. of rates  in this obs ......</t>
  </si>
  <si>
    <t>NO. of ambiguities .............</t>
  </si>
  <si>
    <t>PC AMP,PHS,FRQ,BY STA,CHANNEL ..</t>
  </si>
  <si>
    <t>ION corr code  -1,0,1, or 2 ....</t>
  </si>
  <si>
    <t>SAMP rate(KHz),FRAMES/PP,PP/AP..</t>
  </si>
  <si>
    <t>REF and REM site names..........</t>
  </si>
  <si>
    <t>Frnge quality index 0 ---&gt; 9....</t>
  </si>
  <si>
    <t>VLB1FILE</t>
  </si>
  <si>
    <t>Correlator file name ...........</t>
  </si>
  <si>
    <t>(basically important information, but only if this file is accessible for everybody; e.g. via a http address)</t>
  </si>
  <si>
    <t>FREQ to WH.PHASE is referred ...</t>
  </si>
  <si>
    <t>(again ref. freq.)</t>
  </si>
  <si>
    <t>RATOBSVM</t>
  </si>
  <si>
    <t>OBS rate at central epoch ......</t>
  </si>
  <si>
    <t xml:space="preserve">FR. AMP from INCOH INT of CHAN  </t>
  </si>
  <si>
    <t>Frnge search parameters ........</t>
  </si>
  <si>
    <t>PROB of false DET from frnge ...</t>
  </si>
  <si>
    <t xml:space="preserve">INCOH AMP from frnge plot SEGS  </t>
  </si>
  <si>
    <t>Resid PHS corrected to CEN of E.</t>
  </si>
  <si>
    <t>Epoch offset from center of run.</t>
  </si>
  <si>
    <t>Effective run duration sec .....</t>
  </si>
  <si>
    <t>Percent data discarded by frnge.</t>
  </si>
  <si>
    <t>TOTPCENT</t>
  </si>
  <si>
    <t>TOT phase at central epoch .....</t>
  </si>
  <si>
    <t>,</t>
  </si>
  <si>
    <t>DELOBSVM</t>
  </si>
  <si>
    <t>OBS delay at central epoch uS ..</t>
  </si>
  <si>
    <t>DLYEPO+1</t>
  </si>
  <si>
    <t>Phase delay at epoch+1 usec ....</t>
  </si>
  <si>
    <t>DLYEPOCH</t>
  </si>
  <si>
    <t>Phase delay at epoch   usec ....</t>
  </si>
  <si>
    <t>DLYEPO-1</t>
  </si>
  <si>
    <t>Phase delay at epoch-1 usec ....</t>
  </si>
  <si>
    <t>UTC of frnge PROC YMDHMS........</t>
  </si>
  <si>
    <t>UTC at central epoch YMDHMS ....</t>
  </si>
  <si>
    <t>LOG ERR rate by STA, SB, channel</t>
  </si>
  <si>
    <t>Frequency group code ...........</t>
  </si>
  <si>
    <t>Tape quality code ..............</t>
  </si>
  <si>
    <t>SNR</t>
  </si>
  <si>
    <t>Baseline</t>
  </si>
  <si>
    <t>Met</t>
  </si>
  <si>
    <t>UT1</t>
  </si>
  <si>
    <t>L</t>
  </si>
  <si>
    <t>T</t>
  </si>
  <si>
    <t xml:space="preserve">N </t>
  </si>
  <si>
    <t>AxisType</t>
  </si>
  <si>
    <t>K</t>
  </si>
  <si>
    <t>Directory</t>
  </si>
  <si>
    <t>StationXYZ</t>
  </si>
  <si>
    <t>S</t>
  </si>
  <si>
    <t>AxisTilt</t>
  </si>
  <si>
    <t>See also INTERVAL</t>
  </si>
  <si>
    <t>Wrapper</t>
  </si>
  <si>
    <t>NumChannels</t>
  </si>
  <si>
    <t>Descriptor_override</t>
  </si>
  <si>
    <t>M</t>
  </si>
  <si>
    <t>Radian</t>
  </si>
  <si>
    <t>Meter</t>
  </si>
  <si>
    <t>SourceReference</t>
  </si>
  <si>
    <t>NGS</t>
  </si>
  <si>
    <t>AzTheo</t>
  </si>
  <si>
    <t>ElTheo</t>
  </si>
  <si>
    <t>radian</t>
  </si>
  <si>
    <t>Tolerance</t>
  </si>
  <si>
    <t>%</t>
  </si>
  <si>
    <t>PhaseDelay</t>
  </si>
  <si>
    <t>Phase Corr Iono</t>
  </si>
  <si>
    <t>Phase Corr RMS</t>
  </si>
  <si>
    <t>Cal_kCable</t>
  </si>
  <si>
    <t>ScanName</t>
  </si>
  <si>
    <t>Part_kAxisOffset</t>
  </si>
  <si>
    <t>Cal_kAxisOffset</t>
  </si>
  <si>
    <t>Solve</t>
  </si>
  <si>
    <t>Part_kNMFDry</t>
  </si>
  <si>
    <t>Part_kNMFWet</t>
  </si>
  <si>
    <t>Part_kNMFGrad</t>
  </si>
  <si>
    <t>DelayFlag</t>
  </si>
  <si>
    <t>RateFlag</t>
  </si>
  <si>
    <t>NMFDry</t>
  </si>
  <si>
    <t>NMFWet</t>
  </si>
  <si>
    <t>AxisOffset</t>
  </si>
  <si>
    <t>Tsys</t>
  </si>
  <si>
    <t>1.d-13 1.d-16  Flip</t>
  </si>
  <si>
    <t>1.d-14   2.d-18 Flip</t>
  </si>
  <si>
    <t>D1</t>
  </si>
  <si>
    <t>D3</t>
  </si>
  <si>
    <t>k</t>
  </si>
  <si>
    <t>1.d-11</t>
  </si>
  <si>
    <t>1.d-12</t>
  </si>
  <si>
    <t>SunXYZ</t>
  </si>
  <si>
    <t>EarthXYZ</t>
  </si>
  <si>
    <t>MoonXYZ</t>
  </si>
  <si>
    <t>Ephemeris</t>
  </si>
  <si>
    <t>ObsEdit</t>
  </si>
  <si>
    <t>ObsPart</t>
  </si>
  <si>
    <t>GroupDelay</t>
  </si>
  <si>
    <t>GroupRate</t>
  </si>
  <si>
    <t>NameOver</t>
  </si>
  <si>
    <t>GroupDelaySig</t>
  </si>
  <si>
    <t>GroupRateSig</t>
  </si>
  <si>
    <t>SBDelay</t>
  </si>
  <si>
    <t>SBDelaySig</t>
  </si>
  <si>
    <t>QualityCode</t>
  </si>
  <si>
    <t>AmbigSize</t>
  </si>
  <si>
    <t>PolarMotion</t>
  </si>
  <si>
    <t>TempC</t>
  </si>
  <si>
    <t>AtmPres</t>
  </si>
  <si>
    <t>RelHum</t>
  </si>
  <si>
    <t>Part_kXYZ</t>
  </si>
  <si>
    <t>Dis_kOcnLoad</t>
  </si>
  <si>
    <t>Part_kGamma</t>
  </si>
  <si>
    <t>EffectiveDuration</t>
  </si>
  <si>
    <t>ProbFalseDetection</t>
  </si>
  <si>
    <t>GeocMBD</t>
  </si>
  <si>
    <t>NumSamples</t>
  </si>
  <si>
    <t>UVFperAsec</t>
  </si>
  <si>
    <t>TapeCode</t>
  </si>
  <si>
    <t>NumStation</t>
  </si>
  <si>
    <t>NumSource</t>
  </si>
  <si>
    <t>NumObs</t>
  </si>
  <si>
    <t>BBCIndex</t>
  </si>
  <si>
    <t>LOFreq</t>
  </si>
  <si>
    <t>ChanAmpPhase</t>
  </si>
  <si>
    <t>NumAp</t>
  </si>
  <si>
    <t>Polarization</t>
  </si>
  <si>
    <t>GeocPhase</t>
  </si>
  <si>
    <t>ChannelFreq</t>
  </si>
  <si>
    <t>ChannelID</t>
  </si>
  <si>
    <t>GeocRate</t>
  </si>
  <si>
    <t>GeocSBD</t>
  </si>
  <si>
    <t>GeocResidPhase</t>
  </si>
  <si>
    <t>CableSign</t>
  </si>
  <si>
    <t>StationNameCable</t>
  </si>
  <si>
    <t>Fourfit_CmdString</t>
  </si>
  <si>
    <t>Fourfit_ControlFile</t>
  </si>
  <si>
    <t>Xwobble</t>
  </si>
  <si>
    <t>Ywobble</t>
  </si>
  <si>
    <t>Part_kRaDec</t>
  </si>
  <si>
    <t>PhaseCalOffset</t>
  </si>
  <si>
    <t>PhaseCalAmpPhase</t>
  </si>
  <si>
    <t>SampleRate</t>
  </si>
  <si>
    <t>Parallax</t>
  </si>
  <si>
    <t>UTCMidObs</t>
  </si>
  <si>
    <t>StopOffset</t>
  </si>
  <si>
    <t>StartOffset</t>
  </si>
  <si>
    <t>UTCScan</t>
  </si>
  <si>
    <t>UTCCorr</t>
  </si>
  <si>
    <t>UT1Ortho</t>
  </si>
  <si>
    <t>WobOrtho</t>
  </si>
  <si>
    <t>ObsCal</t>
  </si>
  <si>
    <t>BITSAMPL</t>
  </si>
  <si>
    <t>UTCProc</t>
  </si>
  <si>
    <t>RunCode</t>
  </si>
  <si>
    <t>UTCVLB2</t>
  </si>
  <si>
    <t>1.5d-12 1.d-15</t>
  </si>
  <si>
    <t>Rot_kCF2J2K</t>
  </si>
  <si>
    <t>Crust-fixed to J2000 Rot. Matrix and deriviatives</t>
  </si>
  <si>
    <t>Cal_kOcean</t>
  </si>
  <si>
    <t>Part_kPrecession</t>
  </si>
  <si>
    <t>Precession</t>
  </si>
  <si>
    <t>OcnLoad</t>
  </si>
  <si>
    <t>OcnLoadHoriz</t>
  </si>
  <si>
    <t>OcnLoadVert</t>
  </si>
  <si>
    <t>Cal_kWobble</t>
  </si>
  <si>
    <t>CableCal</t>
  </si>
  <si>
    <t>X Y Z</t>
  </si>
  <si>
    <t>Gamma</t>
  </si>
  <si>
    <t>Xwobble Ywobble</t>
  </si>
  <si>
    <t>NMFGrad_EW NMFGrad_NS</t>
  </si>
  <si>
    <t>NutX  NutY</t>
  </si>
  <si>
    <t>NutPsi NutEps</t>
  </si>
  <si>
    <t>Nut_k2000XYS</t>
  </si>
  <si>
    <t>Nut_k2000PsiEps</t>
  </si>
  <si>
    <t>Nut_kWahr</t>
  </si>
  <si>
    <t>WahrPsi WahrEps</t>
  </si>
  <si>
    <t>1.d-16 1.d-21</t>
  </si>
  <si>
    <t>Duplicate</t>
  </si>
  <si>
    <t xml:space="preserve">1.d-16 1.d-20 2.d-24             </t>
  </si>
  <si>
    <t>Part_kNut2KXY</t>
  </si>
  <si>
    <t>Part_kNut2KPsiEps</t>
  </si>
  <si>
    <t>Part_kEOP</t>
  </si>
  <si>
    <t>Part_kParallax</t>
  </si>
  <si>
    <t># phase ambiguities for X-band</t>
  </si>
  <si>
    <t>NameVec</t>
  </si>
  <si>
    <t>Ra Dec</t>
  </si>
  <si>
    <t>Comment</t>
  </si>
  <si>
    <t xml:space="preserve">UT1 LOD </t>
  </si>
  <si>
    <t>FractC</t>
  </si>
  <si>
    <t>Cal_kPoleTide</t>
  </si>
  <si>
    <t>Cal_kEarthTide</t>
  </si>
  <si>
    <t>EarthTide</t>
  </si>
  <si>
    <t>PoleTide</t>
  </si>
  <si>
    <t>microsecond</t>
  </si>
  <si>
    <t>Edit</t>
  </si>
  <si>
    <t>IonGroupSigma</t>
  </si>
  <si>
    <t>IonPhaseSigma</t>
  </si>
  <si>
    <t>UserSup</t>
  </si>
  <si>
    <t>IonBits</t>
  </si>
  <si>
    <t>IonCode</t>
  </si>
  <si>
    <t>FeedCorrection</t>
  </si>
  <si>
    <t>Cal_kFeedCorrection</t>
  </si>
  <si>
    <t xml:space="preserve">1.d-16 1.d-20  </t>
  </si>
  <si>
    <t>2.d0 1.d-3  1.d-6</t>
  </si>
  <si>
    <t>Cal_kWahr</t>
  </si>
  <si>
    <t>Wahr</t>
  </si>
  <si>
    <t>Cal_kWobNut</t>
  </si>
  <si>
    <t>WobNut</t>
  </si>
  <si>
    <t>TiltRemover</t>
  </si>
  <si>
    <t>Cal_kUnphaseCal</t>
  </si>
  <si>
    <t>UnPhaseCal</t>
  </si>
  <si>
    <t>Cal_kNMFDry</t>
  </si>
  <si>
    <t>Cal_kNMFWet</t>
  </si>
  <si>
    <t>Cal_kTiltRemover</t>
  </si>
  <si>
    <t>MHz</t>
  </si>
  <si>
    <t>Mhz</t>
  </si>
  <si>
    <t>Single band delay</t>
  </si>
  <si>
    <t>Single band delay error</t>
  </si>
  <si>
    <t>Rate Observable</t>
  </si>
  <si>
    <t>Delay Measurement Sigma</t>
  </si>
  <si>
    <t>Rate Measurement Sigma</t>
  </si>
  <si>
    <t>Frequency to which phase is referenced</t>
  </si>
  <si>
    <t>Effective Group Delay Ionospheric Frequency</t>
  </si>
  <si>
    <t>Effective Phase Delay Ionospheric Frequency</t>
  </si>
  <si>
    <t>RateTheoretical</t>
  </si>
  <si>
    <t>DelayTheoretical</t>
  </si>
  <si>
    <t>SBDelay_bS</t>
  </si>
  <si>
    <t>GroupDelay_bS</t>
  </si>
  <si>
    <t>GroupRate_bS</t>
  </si>
  <si>
    <t>SBDelay_bX</t>
  </si>
  <si>
    <t>GroupDelay_bX</t>
  </si>
  <si>
    <t>GroupRate_bX</t>
  </si>
  <si>
    <t>Phase</t>
  </si>
  <si>
    <t>degree</t>
  </si>
  <si>
    <t>second</t>
  </si>
  <si>
    <t>second/second</t>
  </si>
  <si>
    <t>Delay observable produced by fringing.</t>
  </si>
  <si>
    <t>meter</t>
  </si>
  <si>
    <t>N</t>
  </si>
  <si>
    <t>GroupDelayFull_bS</t>
  </si>
  <si>
    <t>GroupDelayFull</t>
  </si>
  <si>
    <t>GroupDelayFull_bX</t>
  </si>
  <si>
    <t>Delay Observable with ambiguities resolved and added.</t>
  </si>
  <si>
    <t>PhaseDelayFull_bS</t>
  </si>
  <si>
    <t>PhaseDelayFull_bX</t>
  </si>
  <si>
    <t>Number of phase ambiguities</t>
  </si>
  <si>
    <t>Number of group delay ambiguities</t>
  </si>
  <si>
    <t>Group delay ambiguity spacing</t>
  </si>
  <si>
    <t>Phase delay resolved with ambiguities added.</t>
  </si>
  <si>
    <t>Phase delay sigma.</t>
  </si>
  <si>
    <t xml:space="preserve">Total phase   </t>
  </si>
  <si>
    <t>NOTE: Split into 3 variables.</t>
  </si>
  <si>
    <t>FeedHorn</t>
  </si>
  <si>
    <t>Feedhorn correction for phase delay</t>
  </si>
  <si>
    <t>PhaseDelaySig_bX</t>
  </si>
  <si>
    <t>x</t>
  </si>
  <si>
    <t>Earth tide module data (la. h l)</t>
  </si>
  <si>
    <t>FJD TAI-UTC (sec) rate off.(sec)</t>
  </si>
  <si>
    <t>Final wobble X Y component value</t>
  </si>
  <si>
    <t>FJD  A1-UTC (sec) rate off.(sec)</t>
  </si>
  <si>
    <t>UT1 pole interp.reference epochs</t>
  </si>
  <si>
    <t>First last UTC tag in input file</t>
  </si>
  <si>
    <t>First last UTC tag  4 digit year</t>
  </si>
  <si>
    <t>J2000 source RAs  decs (rd rd).</t>
  </si>
  <si>
    <t>Axis type (1-eq 2-xy 3-azel 4 5)</t>
  </si>
  <si>
    <t>Effective freqs  opposite band</t>
  </si>
  <si>
    <t>Delay formal err  opposite band</t>
  </si>
  <si>
    <t>Parallax partial/contr  1 parsec</t>
  </si>
  <si>
    <t>U V in FR per arcsec  from CALC</t>
  </si>
  <si>
    <t>Delay observable  opposite band</t>
  </si>
  <si>
    <t>Rate observable  opposite band</t>
  </si>
  <si>
    <t>Rate formal err  opposite band</t>
  </si>
  <si>
    <t>Ion corr code. -1=no good  0=OK</t>
  </si>
  <si>
    <t>Amp(0-1)  phs by chan(-180to180)</t>
  </si>
  <si>
    <t>IAU2000A Nutation Psi Eps Partls</t>
  </si>
  <si>
    <t>IAU2000A Nutation X Y Partials</t>
  </si>
  <si>
    <t>Phase formal err  opposite band</t>
  </si>
  <si>
    <t>Phase observable  opposite band</t>
  </si>
  <si>
    <t>Quality code  opposite band</t>
  </si>
  <si>
    <t>SB delay error S-band  mks</t>
  </si>
  <si>
    <t>IAU200A Nut. - Dpsi  Deps  Rates</t>
  </si>
  <si>
    <t>CIP Coordinates X Y S  and Rates</t>
  </si>
  <si>
    <t>Wahr nut vals  - Dpsi Deps&amp;rates</t>
  </si>
  <si>
    <t>Feedhorn rot. angle  ref and rem</t>
  </si>
  <si>
    <t>Log err rate by sta  sb  channel</t>
  </si>
  <si>
    <t xml:space="preserve">FRNGE(YYMMDD)  Fourfit(x.x) ver. </t>
  </si>
  <si>
    <t>TSYS TMP (K) 14CH AND IF1 IF2</t>
  </si>
  <si>
    <t>Obs2Scan</t>
  </si>
  <si>
    <t>Obs2Baseline</t>
  </si>
  <si>
    <t>Bad Phase Cal Delay. Removed from Obs.</t>
  </si>
  <si>
    <t>OBs</t>
  </si>
  <si>
    <t>PhaseFlag</t>
  </si>
  <si>
    <t>NMF dry atm. EW Gradient Partials</t>
  </si>
  <si>
    <t>NMF dry atm. NS Gradient Partials</t>
  </si>
  <si>
    <t>NMFGradEW</t>
  </si>
  <si>
    <t>NMFGradNS</t>
  </si>
  <si>
    <t>NMF Wet Partial</t>
  </si>
  <si>
    <t>79AUG03XX</t>
  </si>
  <si>
    <t>08MAY15XF</t>
  </si>
  <si>
    <t>10MAR04XE</t>
  </si>
  <si>
    <t>80APR11XQ</t>
  </si>
  <si>
    <t>07MAY17XE</t>
  </si>
  <si>
    <t>95OCT10XE</t>
  </si>
  <si>
    <t>95MAR07XE</t>
  </si>
  <si>
    <t>00JUL05XE</t>
  </si>
  <si>
    <t>91MAR25DX</t>
  </si>
  <si>
    <t>10FEB11XE</t>
  </si>
  <si>
    <t>80DEC19XA</t>
  </si>
  <si>
    <t>88OCT14XI</t>
  </si>
  <si>
    <t>81JAN13XA</t>
  </si>
  <si>
    <t>99MAR11XX</t>
  </si>
  <si>
    <t>92MAY05XH</t>
  </si>
  <si>
    <t>82JUN20XA</t>
  </si>
  <si>
    <t>06JAN18XG</t>
  </si>
  <si>
    <t>89SEP29DX</t>
  </si>
  <si>
    <t>84JUL18DX</t>
  </si>
  <si>
    <t>89FEB22DX</t>
  </si>
  <si>
    <t>08MAR13XF</t>
  </si>
  <si>
    <t>96AUG26XA</t>
  </si>
  <si>
    <t>92JUN08XN</t>
  </si>
  <si>
    <t>94JUL08XV</t>
  </si>
  <si>
    <t>97DEC03XN</t>
  </si>
  <si>
    <t>EXPNAME</t>
  </si>
  <si>
    <t>99OCT18XA</t>
  </si>
  <si>
    <t>00OCT17XE</t>
  </si>
  <si>
    <t>S2FLAG</t>
  </si>
  <si>
    <t>S2 or MKIII Flag</t>
  </si>
  <si>
    <t>02MAR13XG</t>
  </si>
  <si>
    <t>06AUG02XG</t>
  </si>
  <si>
    <t>RAD DEG</t>
  </si>
  <si>
    <t>08APR17XF</t>
  </si>
  <si>
    <t>RAD ASEC</t>
  </si>
  <si>
    <t>RAD TSEC</t>
  </si>
  <si>
    <t>93FEB15XI</t>
  </si>
  <si>
    <t>88FEB09DX</t>
  </si>
  <si>
    <t>CCOR ERR</t>
  </si>
  <si>
    <t>Corr. Coeff. formal error</t>
  </si>
  <si>
    <t>TPHA ERR</t>
  </si>
  <si>
    <t>STR TIME</t>
  </si>
  <si>
    <t>DURATION</t>
  </si>
  <si>
    <t>UTC ERR</t>
  </si>
  <si>
    <t>VFDWELL</t>
  </si>
  <si>
    <t>VIRTFREQ</t>
  </si>
  <si>
    <t>Sky Frequencies</t>
  </si>
  <si>
    <t>S2EFFREQ</t>
  </si>
  <si>
    <t>S2REFREQ</t>
  </si>
  <si>
    <t>S2PHEFRQ</t>
  </si>
  <si>
    <t>Effective phase frequency</t>
  </si>
  <si>
    <t>VFRQPCAM</t>
  </si>
  <si>
    <t>Phase cal tone Amplitudes</t>
  </si>
  <si>
    <t>VFRQPCPH</t>
  </si>
  <si>
    <t>PHASE cal tone Phases</t>
  </si>
  <si>
    <t>VFRQPCFR</t>
  </si>
  <si>
    <t>VFRQAM</t>
  </si>
  <si>
    <t>VFRQPH</t>
  </si>
  <si>
    <t>Channel Phase (degrees)</t>
  </si>
  <si>
    <t>#VFREQS</t>
  </si>
  <si>
    <t>VFRQ#APS</t>
  </si>
  <si>
    <t>04MAY12XA</t>
  </si>
  <si>
    <t>FirstDB</t>
  </si>
  <si>
    <t>LastDB</t>
  </si>
  <si>
    <t>JPL EPOCH 1950 or 2000 .........</t>
  </si>
  <si>
    <t>Stations with WVR calib ........</t>
  </si>
  <si>
    <t>Ocean amp. radial comp.-meters..</t>
  </si>
  <si>
    <t>Corona model parameters.........</t>
  </si>
  <si>
    <t>Diurnal polar motion scale fact.</t>
  </si>
  <si>
    <t>TWO PI .........................</t>
  </si>
  <si>
    <t>Radians per arc second .........</t>
  </si>
  <si>
    <t>Radians per time second ........</t>
  </si>
  <si>
    <t>Second per day .................</t>
  </si>
  <si>
    <t>Observing program (exp.) name</t>
  </si>
  <si>
    <t>Radians per degree .............</t>
  </si>
  <si>
    <t>Microfiche, B tape number.......</t>
  </si>
  <si>
    <t>Delay type, 1=group, 2=phase ...</t>
  </si>
  <si>
    <t>FRNGE runtime comments..........</t>
  </si>
  <si>
    <t>Automatic suppression status</t>
  </si>
  <si>
    <t>User observation suppression sts</t>
  </si>
  <si>
    <t>User observation recovery status</t>
  </si>
  <si>
    <t>UTC of FRNGE proc YMDHMS........</t>
  </si>
  <si>
    <t>Trk table by sta,sideb,channel..</t>
  </si>
  <si>
    <t>corr. ext by sideb, channel.....</t>
  </si>
  <si>
    <t>YDDD of COREL by sta,channel....</t>
  </si>
  <si>
    <t>FRNGE extent number.............</t>
  </si>
  <si>
    <t>Delay+rate uncal if flag=1......</t>
  </si>
  <si>
    <t>FRNGE program version YYMMDD....</t>
  </si>
  <si>
    <t>Run,code, e.g., "329-1300"......</t>
  </si>
  <si>
    <t>Ref sta clock error microsec....</t>
  </si>
  <si>
    <t>Correlator baseline number......</t>
  </si>
  <si>
    <t>FRNGE error flag 0=OK...........</t>
  </si>
  <si>
    <t>WVR line of sight &amp; ZENITH(sec)</t>
  </si>
  <si>
    <t>Phase cal delay (sec)...........</t>
  </si>
  <si>
    <t>BRT TEMP (K) OF WVR ,F1,F2......</t>
  </si>
  <si>
    <t>F1, F2 VOLT          ...........</t>
  </si>
  <si>
    <t>REFERENCE1,2 WVR TEMP (K).......</t>
  </si>
  <si>
    <t>TSYS TMP (K) 14CH,AND IF1,IF2...</t>
  </si>
  <si>
    <t>Obs delay at central epoch us...</t>
  </si>
  <si>
    <t>Total fringe phase error (deg)</t>
  </si>
  <si>
    <t>Interval since start time (sec).</t>
  </si>
  <si>
    <t>Scan duration (sec).............</t>
  </si>
  <si>
    <t>A priori UTC error site 1 (sec)</t>
  </si>
  <si>
    <t>Dwell time in each channel (sec)</t>
  </si>
  <si>
    <t>Effective group freq for ion.</t>
  </si>
  <si>
    <t>Effective frequency for rate</t>
  </si>
  <si>
    <t>Phase cal tone Frequencies</t>
  </si>
  <si>
    <t>Normalized channel amplitude</t>
  </si>
  <si>
    <t>No. of BBC frequencies in Band</t>
  </si>
  <si>
    <t>No. of accum. periods in Channel</t>
  </si>
  <si>
    <t>Number of bits per sample.......</t>
  </si>
  <si>
    <t>1=Run resulted from AUTOEDIT....</t>
  </si>
  <si>
    <t>Original COREL file name........</t>
  </si>
  <si>
    <t>Site Occupation Number..........</t>
  </si>
  <si>
    <t>X</t>
  </si>
  <si>
    <t>RIKSN</t>
  </si>
  <si>
    <t>Time_Dim</t>
  </si>
  <si>
    <t>Consensus theoretical delay</t>
  </si>
  <si>
    <t>WVR</t>
  </si>
  <si>
    <t>#</t>
  </si>
  <si>
    <t xml:space="preserve">DummyName </t>
  </si>
  <si>
    <t>Part_kPoletide</t>
  </si>
  <si>
    <t>Xpole Ypole</t>
  </si>
  <si>
    <t>Apriori clock contribution to delay, rate.</t>
  </si>
  <si>
    <t>Consensus theoretical rate</t>
  </si>
  <si>
    <t>YMDHM</t>
  </si>
  <si>
    <t>Second</t>
  </si>
  <si>
    <t>Seconds part of time-tag</t>
  </si>
  <si>
    <t>Year, Month, Day, Hour, Minute part of time-tag</t>
  </si>
  <si>
    <t>Pre Calc10 Nuation Partial</t>
  </si>
  <si>
    <t>Part_kNutPsiEps</t>
  </si>
  <si>
    <t>Part_kBend</t>
  </si>
  <si>
    <t>Bend</t>
  </si>
  <si>
    <t>Part of (CLK_CFLG, CC_SITS,CLK_CNST)</t>
  </si>
  <si>
    <t>Part of (ATM_CFLG, AC_SITES, ATM_CNST) Set</t>
  </si>
  <si>
    <t>GradOffsetConstraint</t>
  </si>
  <si>
    <t>GradRateConstraint</t>
  </si>
  <si>
    <t>Gradient Offset Constraint</t>
  </si>
  <si>
    <t>Gradient Rate Constraint</t>
  </si>
  <si>
    <t>UT1 Offset Constraint</t>
  </si>
  <si>
    <t>UT1OffsetConstraint</t>
  </si>
  <si>
    <t>Polar Motion Offset Constraint</t>
  </si>
  <si>
    <t>WobOffsetConstraint</t>
  </si>
  <si>
    <t>ReferenceClock</t>
  </si>
  <si>
    <t>Part of (CLKBREAK, BRK_STAT,BRK_EPOC, BRK_NUMB).</t>
  </si>
  <si>
    <t>GroupBLWeights</t>
  </si>
  <si>
    <t>PhaseBLWeights</t>
  </si>
  <si>
    <t>ClockBreak</t>
  </si>
  <si>
    <t>AtmRateConstraint</t>
  </si>
  <si>
    <t>ClockRateConstraint</t>
  </si>
  <si>
    <t>ClockInterval</t>
  </si>
  <si>
    <t>AtmInterval</t>
  </si>
  <si>
    <t>BaselineClock</t>
  </si>
  <si>
    <t>CalcEop</t>
  </si>
  <si>
    <t>UT1Origin</t>
  </si>
  <si>
    <t>WobbleOrigin</t>
  </si>
  <si>
    <t>WobValues</t>
  </si>
  <si>
    <t>WobArrayInfo</t>
  </si>
  <si>
    <t>UT1Values</t>
  </si>
  <si>
    <t>UT1ArrayInfo</t>
  </si>
  <si>
    <t>Array: (FJD of start, spacing in days, number points, Scaling (should be 1))</t>
  </si>
  <si>
    <t xml:space="preserve">Array: (FJD of start, spacing in days, number points) </t>
  </si>
  <si>
    <t>UT1IntrpMode</t>
  </si>
  <si>
    <t>WobIntrpMode</t>
  </si>
  <si>
    <t>CalcWobModule</t>
  </si>
  <si>
    <t>CalcUt1Module</t>
  </si>
  <si>
    <t>ClockBreakSite</t>
  </si>
  <si>
    <t>ClockBreakEpoch</t>
  </si>
  <si>
    <t>SelectionStatus</t>
  </si>
  <si>
    <t>BaselineSelection</t>
  </si>
  <si>
    <t>Baseline selection bit maped array. 1=some obs, etc.</t>
  </si>
  <si>
    <t>SourceSelection</t>
  </si>
  <si>
    <t>Source selection status bit-mapped array.</t>
  </si>
  <si>
    <t>ObsCalFlag</t>
  </si>
  <si>
    <t>Bit set indicate that calibration is recommended.</t>
  </si>
  <si>
    <t>StatCalFlag</t>
  </si>
  <si>
    <t>ObsCalName</t>
  </si>
  <si>
    <t>StatCalName</t>
  </si>
  <si>
    <t>ClockBreakFlag</t>
  </si>
  <si>
    <t>FlybyName</t>
  </si>
  <si>
    <t>FlybyFlag</t>
  </si>
  <si>
    <t>CalSiteName</t>
  </si>
  <si>
    <t>Nut2000Psi Nut2000Eps</t>
  </si>
  <si>
    <t>Nut2000X Nut2000Y Nut2000S</t>
  </si>
  <si>
    <t>Nut2000PsiEps</t>
  </si>
  <si>
    <t>Nut2000XYS</t>
  </si>
  <si>
    <t>NutWahrPsiEps</t>
  </si>
  <si>
    <t>Coordinate time at site 1</t>
  </si>
  <si>
    <t>Day</t>
  </si>
  <si>
    <t>List of baseline dependent clocks</t>
  </si>
  <si>
    <t>ClockRateName</t>
  </si>
  <si>
    <t>AtmRateSite</t>
  </si>
  <si>
    <t>Fixed axis tilt</t>
  </si>
  <si>
    <t>Source2000RaDec</t>
  </si>
  <si>
    <t>J2000 Source RA and Dec</t>
  </si>
  <si>
    <t>EccentricityType</t>
  </si>
  <si>
    <t>EccentricityVector</t>
  </si>
  <si>
    <t>EccentricityMonument</t>
  </si>
  <si>
    <t>EccentricityMap</t>
  </si>
  <si>
    <t>Cal_kEccentricityMap</t>
  </si>
  <si>
    <t>Adding this maps the observables to the  monument.</t>
  </si>
  <si>
    <t>Eccentricity monument name</t>
  </si>
  <si>
    <t>Eccentricity taken from eccentricity file.</t>
  </si>
  <si>
    <t>iUTCInterval</t>
  </si>
  <si>
    <t xml:space="preserve">First and last UTC time tag in input file. </t>
  </si>
  <si>
    <t>YMDHM time tag of scan</t>
  </si>
  <si>
    <t>Seconds part of time tag for scan</t>
  </si>
  <si>
    <t>MJD time tag of scan</t>
  </si>
  <si>
    <t>Fractional day time tag of scan</t>
  </si>
  <si>
    <t>ScanName=UTC TimeTag + SourceName</t>
  </si>
  <si>
    <t>ScanNameFull</t>
  </si>
  <si>
    <t>ScanTimeYMDHM</t>
  </si>
  <si>
    <t>ScanTimeMJD</t>
  </si>
  <si>
    <t>ScanTimeDayFrac</t>
  </si>
  <si>
    <t>Scan2Source</t>
  </si>
  <si>
    <t>Scan2Station</t>
  </si>
  <si>
    <t>Station2Scan</t>
  </si>
  <si>
    <t>Cross reference from observation to baseline</t>
  </si>
  <si>
    <t>Cross reference from observation to scan</t>
  </si>
  <si>
    <t>Number of scans per station.</t>
  </si>
  <si>
    <t>Cross reference scans to station</t>
  </si>
  <si>
    <t>Cross reference scan to source</t>
  </si>
  <si>
    <t>Cross reference station-scan to schedule-scan</t>
  </si>
  <si>
    <t>StationTimeSecond</t>
  </si>
  <si>
    <t>StationTimeYMDHM</t>
  </si>
  <si>
    <t>ScanTimeSecond</t>
  </si>
  <si>
    <t>NumScansPerStation</t>
  </si>
  <si>
    <t>DayFrac</t>
  </si>
  <si>
    <t>MJD</t>
  </si>
  <si>
    <t>RecordingMode</t>
  </si>
  <si>
    <t>ExpDescription</t>
  </si>
  <si>
    <t>ExpSerialNumber</t>
  </si>
  <si>
    <t>ExpName</t>
  </si>
  <si>
    <t>Correlator</t>
  </si>
  <si>
    <t>CorrelatorType</t>
  </si>
  <si>
    <t>Either NUM4 OBS or NUMB OBS is required</t>
  </si>
  <si>
    <t>WVRDelay</t>
  </si>
  <si>
    <t>WVRTemp</t>
  </si>
  <si>
    <t>ns</t>
  </si>
  <si>
    <t>WVRQcode</t>
  </si>
  <si>
    <t>WVRTempRef</t>
  </si>
  <si>
    <t>IonoStations</t>
  </si>
  <si>
    <t>IonoSolveFlag</t>
  </si>
  <si>
    <t>Bit flag indicating station has iono correction</t>
  </si>
  <si>
    <t>Stations with ionocorrection</t>
  </si>
  <si>
    <t>IonoSolveFlag and IonoStations contain info in NAMFIL array JSITI</t>
  </si>
  <si>
    <t>Station depedendent calibratipns (Cable, Phase,  etc…)</t>
  </si>
  <si>
    <t>Available obs dependent calibrations (poletide, earthdide, …)</t>
  </si>
  <si>
    <t>Original Units</t>
  </si>
  <si>
    <t>CalcInfo</t>
  </si>
  <si>
    <t>Constant</t>
  </si>
  <si>
    <t>obsolete</t>
  </si>
  <si>
    <t>constant</t>
  </si>
  <si>
    <t>redundant</t>
  </si>
  <si>
    <t>OceanAmpEW</t>
  </si>
  <si>
    <t>OceanAmpNS</t>
  </si>
  <si>
    <t>ATIMessage</t>
  </si>
  <si>
    <t>ATMMessage</t>
  </si>
  <si>
    <t>AxisOffsetMessage</t>
  </si>
  <si>
    <t>CalcVersion</t>
  </si>
  <si>
    <t>CalcFlagNames</t>
  </si>
  <si>
    <t>CalcFlagValues</t>
  </si>
  <si>
    <t>CoronaData</t>
  </si>
  <si>
    <t>CTIMessage</t>
  </si>
  <si>
    <t>i</t>
  </si>
  <si>
    <t>EarthTideMessage</t>
  </si>
  <si>
    <t>EarthTideData</t>
  </si>
  <si>
    <t>ATIFlag</t>
  </si>
  <si>
    <t>ATMFlag</t>
  </si>
  <si>
    <t>AxisOffsetFlag</t>
  </si>
  <si>
    <t>CTIFlag</t>
  </si>
  <si>
    <t>EarthTideFlag</t>
  </si>
  <si>
    <t>NutationFlag</t>
  </si>
  <si>
    <t>OceanAmpUp</t>
  </si>
  <si>
    <t>OceanMessage</t>
  </si>
  <si>
    <t>OceanPhaseEW</t>
  </si>
  <si>
    <t>OceanPhaseNS</t>
  </si>
  <si>
    <t>OceanPhaseUp</t>
  </si>
  <si>
    <t>FeedhornMessage</t>
  </si>
  <si>
    <t>PepMessage</t>
  </si>
  <si>
    <t>ParallaxFlag</t>
  </si>
  <si>
    <t>ParallaxMessage</t>
  </si>
  <si>
    <t>PrecessionFlag</t>
  </si>
  <si>
    <t>PrecessionData</t>
  </si>
  <si>
    <t>PrecessionMessage</t>
  </si>
  <si>
    <t>PoleTideFlag</t>
  </si>
  <si>
    <t>PoleTideMessage</t>
  </si>
  <si>
    <t>RelativityFlag</t>
  </si>
  <si>
    <t>RelativityMessage</t>
  </si>
  <si>
    <t>SiteMessage</t>
  </si>
  <si>
    <t>SiteZenithDelay</t>
  </si>
  <si>
    <t>OceanHorizontalPhase</t>
  </si>
  <si>
    <t>OceanHorizontalAmp</t>
  </si>
  <si>
    <t>OceanUpAmp</t>
  </si>
  <si>
    <t>OceanUpPhase</t>
  </si>
  <si>
    <t>StarParallaxFlag</t>
  </si>
  <si>
    <t>StarMessage</t>
  </si>
  <si>
    <t>TheoryMessage</t>
  </si>
  <si>
    <t>UT1FLag</t>
  </si>
  <si>
    <t>NutationMessage</t>
  </si>
  <si>
    <t>WobbleFlag</t>
  </si>
  <si>
    <t>First</t>
  </si>
  <si>
    <t>Last</t>
  </si>
  <si>
    <t>11OCT17XA</t>
  </si>
  <si>
    <t>11JUN23XF</t>
  </si>
  <si>
    <t>11SEP26XA</t>
  </si>
  <si>
    <t>&gt;&gt;&gt;</t>
  </si>
  <si>
    <t>&gt;&gt;&gt;&gt;&gt;Begi</t>
  </si>
  <si>
    <t>t</t>
  </si>
  <si>
    <t>10DEC07XA</t>
  </si>
  <si>
    <t>Apriori clock offset microsec...</t>
  </si>
  <si>
    <t>Des</t>
  </si>
  <si>
    <t>80SEP26X_</t>
  </si>
  <si>
    <t>80SEP29X_</t>
  </si>
  <si>
    <t>80OCT16X_</t>
  </si>
  <si>
    <t>81JUN16X_</t>
  </si>
  <si>
    <t>80OCT17X_</t>
  </si>
  <si>
    <t>80OCT19X_</t>
  </si>
  <si>
    <t>91JAN30X_</t>
  </si>
  <si>
    <t>81JUL01X_</t>
  </si>
  <si>
    <t>81NOV18X_</t>
  </si>
  <si>
    <t>86OCT16X_</t>
  </si>
  <si>
    <t>81NOV19X_</t>
  </si>
  <si>
    <t>82JUN16X_</t>
  </si>
  <si>
    <t>82JUN21X_</t>
  </si>
  <si>
    <t>83FEB21X_</t>
  </si>
  <si>
    <t>83MAY11X_</t>
  </si>
  <si>
    <t>83AUG30X_</t>
  </si>
  <si>
    <t>83OCT29X_</t>
  </si>
  <si>
    <t>84AUG30X_</t>
  </si>
  <si>
    <t>94JAN16X_</t>
  </si>
  <si>
    <t>94JAN20X_</t>
  </si>
  <si>
    <t>80APR13X_</t>
  </si>
  <si>
    <t>82OCT25X_</t>
  </si>
  <si>
    <t>84OCT31X_</t>
  </si>
  <si>
    <t>80JUL26X_</t>
  </si>
  <si>
    <t>91NOV27X_</t>
  </si>
  <si>
    <t>81MAY13X_</t>
  </si>
  <si>
    <t>80SEP28X_</t>
  </si>
  <si>
    <t>89OCT31X_</t>
  </si>
  <si>
    <t>81JUN17X_</t>
  </si>
  <si>
    <t>84MAY08X_</t>
  </si>
  <si>
    <t>83JUN06X_</t>
  </si>
  <si>
    <t>83AUG01X_</t>
  </si>
  <si>
    <t>83SEP07X_</t>
  </si>
  <si>
    <t>82JUN07X_</t>
  </si>
  <si>
    <t>80OCT02X_</t>
  </si>
  <si>
    <t>83MAY05X_</t>
  </si>
  <si>
    <t>Check to see if in lcode_mapping</t>
  </si>
  <si>
    <t>AmbigSize_bS</t>
  </si>
  <si>
    <t>AmbigSize_bX</t>
  </si>
  <si>
    <t>NumLagsUsed</t>
  </si>
  <si>
    <t>TAIminusUTC</t>
  </si>
  <si>
    <t>A1minusTAI</t>
  </si>
  <si>
    <t>A1minusUTC</t>
  </si>
  <si>
    <t>TimeUTC</t>
  </si>
  <si>
    <t xml:space="preserve">New Lcode  </t>
  </si>
  <si>
    <t>Source</t>
  </si>
  <si>
    <t>Aplength</t>
  </si>
  <si>
    <t>NGSQualityFlag</t>
  </si>
  <si>
    <t>Zero means good. A Combination of DelayFlag and IonCode</t>
  </si>
  <si>
    <t>Dir</t>
  </si>
  <si>
    <t>1.0d-13   2.d-18 Flip</t>
  </si>
  <si>
    <t>Scanname in database</t>
  </si>
  <si>
    <t>StopSec</t>
  </si>
  <si>
    <t>StationCrossRef</t>
  </si>
  <si>
    <t>StationNameCrossRef</t>
  </si>
  <si>
    <t>StationNameApriori</t>
  </si>
  <si>
    <t>SourceCrossRef</t>
  </si>
  <si>
    <t>SourceNameCrossRef</t>
  </si>
  <si>
    <t>Site names array in alphabetical order</t>
  </si>
  <si>
    <t>Source names in RA order.</t>
  </si>
  <si>
    <t>Eccentricity type: XY or NE</t>
  </si>
  <si>
    <t>Site names in alphabetical order</t>
  </si>
  <si>
    <t>ObsCrossRef</t>
  </si>
  <si>
    <t>Source names.</t>
  </si>
  <si>
    <t>DataFlag</t>
  </si>
  <si>
    <t>CableDataFlag</t>
  </si>
  <si>
    <t>New</t>
  </si>
  <si>
    <t>IonDataFlag</t>
  </si>
  <si>
    <t>0=OK, -1=Missing,  -2=bad</t>
  </si>
  <si>
    <t>0=OK, -1=Missing,  -2=bad, 1=Used Near pt</t>
  </si>
  <si>
    <t/>
  </si>
  <si>
    <t>Obsolete. Replaced by IonDataFlag</t>
  </si>
  <si>
    <t>RateDataFlag_X</t>
  </si>
  <si>
    <t>RateDataFlag_S</t>
  </si>
  <si>
    <t>PhaseDataFlag_X</t>
  </si>
  <si>
    <t>0=OK, -1=Missing,  -2=bad,-3=sigma small, -4=sigma big</t>
  </si>
  <si>
    <t>PhaseDataFlag_S</t>
  </si>
  <si>
    <t>PhaseDelayRaw_bX</t>
  </si>
  <si>
    <t>PhaseDelayRaw</t>
  </si>
  <si>
    <t>Unresolved phase delay</t>
  </si>
  <si>
    <t>NumScan</t>
  </si>
  <si>
    <t>Number of Scans (Integer*4)</t>
  </si>
  <si>
    <t>History</t>
  </si>
  <si>
    <t>Description of cable-cal processing</t>
  </si>
  <si>
    <t>CableCalHistory</t>
  </si>
  <si>
    <t>Obsolete</t>
  </si>
  <si>
    <t>Observables</t>
  </si>
  <si>
    <t>Cal_kBend</t>
  </si>
  <si>
    <t>Cal_kBendSun</t>
  </si>
  <si>
    <t>BendSun</t>
  </si>
  <si>
    <t>ObsTheoretical</t>
  </si>
  <si>
    <t>CrossReference</t>
  </si>
  <si>
    <t>CorCofErr</t>
  </si>
  <si>
    <t>UTCErr</t>
  </si>
  <si>
    <t>TotalFringeErr</t>
  </si>
  <si>
    <t>TimeSinceStart</t>
  </si>
  <si>
    <t>NumBBCFreqs</t>
  </si>
  <si>
    <t>NumAccum</t>
  </si>
  <si>
    <t>PrincipalInvestigator</t>
  </si>
  <si>
    <t>F12VOLT</t>
  </si>
  <si>
    <t>Apriori</t>
  </si>
  <si>
    <t>AtmSetup</t>
  </si>
  <si>
    <t>ClockSetup</t>
  </si>
  <si>
    <t>EopSetup</t>
  </si>
  <si>
    <t>ClockApriori</t>
  </si>
  <si>
    <t>SourceApriori</t>
  </si>
  <si>
    <t>StationApriori</t>
  </si>
  <si>
    <t>BaselineClockSetup</t>
  </si>
  <si>
    <t>CalibrationSetup</t>
  </si>
  <si>
    <t>EOPApriori</t>
  </si>
  <si>
    <t>IonoSetup</t>
  </si>
  <si>
    <t>Include Calc</t>
  </si>
  <si>
    <t>ObsDerived</t>
  </si>
  <si>
    <t>IonGroup</t>
  </si>
  <si>
    <t>IonPhase</t>
  </si>
  <si>
    <t>NumGroupAmbig_bS</t>
  </si>
  <si>
    <t>NumGroupAmbig_bX</t>
  </si>
  <si>
    <t>NumGroupAmbig</t>
  </si>
  <si>
    <t>NumPhaseAmbig</t>
  </si>
  <si>
    <t>NumPhaseAmbig_bS</t>
  </si>
  <si>
    <t>NumPhaseAmbig_bX</t>
  </si>
  <si>
    <t>ClockAprioriRate</t>
  </si>
  <si>
    <t>ClockAprioriOffset</t>
  </si>
  <si>
    <t>DomesNumber</t>
  </si>
  <si>
    <t>Cal_kClockApriori</t>
  </si>
  <si>
    <t>OceanLoad</t>
  </si>
  <si>
    <t>PoleTideOldRestore</t>
  </si>
  <si>
    <t>Cal_kPoleTideOldRestore</t>
  </si>
  <si>
    <t>SourceNameApriori</t>
  </si>
  <si>
    <t>Cal_kIonGroup_bX</t>
  </si>
  <si>
    <t>Cal_kIonPhase_bX</t>
  </si>
  <si>
    <t>Ion_bX</t>
  </si>
  <si>
    <t>Cal_kHFEOP-IERS2003</t>
  </si>
  <si>
    <t>BaselineWeights</t>
  </si>
  <si>
    <t>Baselines</t>
  </si>
  <si>
    <t>Cal_kBendSunHigher</t>
  </si>
  <si>
    <t>BendSunHigher</t>
  </si>
  <si>
    <t>DelayDataFlag_bS</t>
  </si>
  <si>
    <t>DelayDataFlag_bX</t>
  </si>
  <si>
    <t>DelayDataFlag</t>
  </si>
  <si>
    <t>Effective Group Rate Ionospheric Frequency</t>
  </si>
  <si>
    <t>FreqGroupIon</t>
  </si>
  <si>
    <t>FreqPhaseIon</t>
  </si>
  <si>
    <t>FreqRateIon</t>
  </si>
  <si>
    <t>FreqGroupIonNoWt</t>
  </si>
  <si>
    <t>FreqPhaseIonNoWt</t>
  </si>
  <si>
    <t>FreqRateIonNoWt</t>
  </si>
  <si>
    <t>Effective Group Delay Ionospheric Frequency. All channels equal wt.</t>
  </si>
  <si>
    <t>Effective Phase Delay Ionospheric Frequency. All channels equal wt.</t>
  </si>
  <si>
    <t>Effective Group Rate Ionospheric Frequency. All channels equal wt.</t>
  </si>
  <si>
    <t>Group delay and rate re-weighting constants.</t>
  </si>
  <si>
    <t>Cal_kOceanLoad</t>
  </si>
  <si>
    <t>Cal_kParallax</t>
  </si>
  <si>
    <t>ClockAprioriSite</t>
  </si>
  <si>
    <t>CorrInfo_bX</t>
  </si>
  <si>
    <t>RefFreq_bS</t>
  </si>
  <si>
    <t>RefFreq_bX</t>
  </si>
  <si>
    <t>RefFreq</t>
  </si>
  <si>
    <t>EffFreq_bS</t>
  </si>
  <si>
    <t>EffFreq_bX</t>
  </si>
  <si>
    <t>SNR_bS</t>
  </si>
  <si>
    <t>SNR_bX</t>
  </si>
  <si>
    <t>QualityCode_bS</t>
  </si>
  <si>
    <t>QualityCode_bX</t>
  </si>
  <si>
    <t>Correlation_bS</t>
  </si>
  <si>
    <t>Correlation</t>
  </si>
  <si>
    <t>Correlation_bX</t>
  </si>
  <si>
    <t>StationList</t>
  </si>
  <si>
    <t>SourceList</t>
  </si>
  <si>
    <t>Pressure in hPa at site</t>
  </si>
  <si>
    <t>hPa</t>
  </si>
  <si>
    <t>Celsius</t>
  </si>
  <si>
    <t>Phase_bS</t>
  </si>
  <si>
    <t>PhaseSig</t>
  </si>
  <si>
    <t>PhaseDataFlag</t>
  </si>
  <si>
    <t>Phase_bX</t>
  </si>
  <si>
    <t>Site partials: dtau/dr_1=-dtau/dr_2</t>
  </si>
  <si>
    <t>Partial:  -dtau/d(UT1)</t>
  </si>
  <si>
    <t>OceanFlag</t>
  </si>
  <si>
    <t>OceanStations</t>
  </si>
  <si>
    <t>TidalUT1Flag</t>
  </si>
  <si>
    <t>V</t>
  </si>
  <si>
    <t>Feedhorn rotation angle.</t>
  </si>
  <si>
    <t>FeedRotation</t>
  </si>
  <si>
    <t>Ephemeris_kDE405JPL</t>
  </si>
  <si>
    <t>OBSOLETE</t>
  </si>
  <si>
    <t>Desc</t>
  </si>
  <si>
    <t>DescOver</t>
  </si>
  <si>
    <t>LCODE</t>
  </si>
  <si>
    <t>OpenDB_variable_name</t>
  </si>
  <si>
    <t>Description</t>
  </si>
  <si>
    <t>Nut</t>
  </si>
  <si>
    <t>Rot</t>
  </si>
  <si>
    <t>Cal</t>
  </si>
  <si>
    <t>Dis</t>
  </si>
  <si>
    <t>Part</t>
  </si>
  <si>
    <t>PhaseDelayFull</t>
  </si>
  <si>
    <t>EffFreq</t>
  </si>
  <si>
    <t>CorrInfo</t>
  </si>
  <si>
    <t>Ion</t>
  </si>
  <si>
    <t>Size of group delay ambiguties</t>
  </si>
  <si>
    <t>Calibration file</t>
  </si>
  <si>
    <t>A prioiri EOP used by Calc</t>
  </si>
  <si>
    <t>A priori Clock</t>
  </si>
  <si>
    <t>Clock Break setup</t>
  </si>
  <si>
    <t>Constraints for solution.</t>
  </si>
  <si>
    <t>Solution setup.</t>
  </si>
  <si>
    <t>Correlation coefficient</t>
  </si>
  <si>
    <t>Informatation about correlation</t>
  </si>
  <si>
    <t>Obs or Station</t>
  </si>
  <si>
    <t>Measured Phase</t>
  </si>
  <si>
    <t>Noise to add to solution</t>
  </si>
  <si>
    <t>Fully resolved phase delay</t>
  </si>
  <si>
    <t>Correlator quality code</t>
  </si>
  <si>
    <t>Theoretical Rate</t>
  </si>
  <si>
    <t>Effective frequency for Phase</t>
  </si>
  <si>
    <t>Rotation matrix</t>
  </si>
  <si>
    <t>Observed SB-delay</t>
  </si>
  <si>
    <t>Obs/Scan/Station</t>
  </si>
  <si>
    <t>Obs/Station</t>
  </si>
  <si>
    <t>Source observed during scan</t>
  </si>
  <si>
    <t>Apriori source information</t>
  </si>
  <si>
    <t>Mixed</t>
  </si>
  <si>
    <t>Links Scans to Sources</t>
  </si>
  <si>
    <t>A priori station information</t>
  </si>
  <si>
    <t>Links stations to scans</t>
  </si>
  <si>
    <t>Time-tag of scan</t>
  </si>
  <si>
    <t>System temperature</t>
  </si>
  <si>
    <t>WVR data</t>
  </si>
  <si>
    <t>Time of Scan</t>
  </si>
  <si>
    <t>Observed SNR</t>
  </si>
  <si>
    <t>Observable</t>
  </si>
  <si>
    <t>Pointing</t>
  </si>
  <si>
    <t>Baseline array</t>
  </si>
  <si>
    <t>Additive noise constants</t>
  </si>
  <si>
    <t>Information about calc run</t>
  </si>
  <si>
    <t>Theoretical Delay</t>
  </si>
  <si>
    <t>Station displacment</t>
  </si>
  <si>
    <t>Editing criteria</t>
  </si>
  <si>
    <t>A priori EOP used by Calc</t>
  </si>
  <si>
    <t>Effective pahse frequency</t>
  </si>
  <si>
    <t>Is the data good</t>
  </si>
  <si>
    <t>Postion of Sun, moon, …</t>
  </si>
  <si>
    <t>Rotation of feed horn</t>
  </si>
  <si>
    <t>Measured group delay</t>
  </si>
  <si>
    <t>Measured group rate</t>
  </si>
  <si>
    <t>Information about the session as a whole.</t>
  </si>
  <si>
    <t>Ion information used by solve</t>
  </si>
  <si>
    <t>Meteorological data</t>
  </si>
  <si>
    <t>Quality flag</t>
  </si>
  <si>
    <t>Nutation values</t>
  </si>
  <si>
    <t>Miscelanneous Solve Lcodes</t>
  </si>
  <si>
    <t>Partials</t>
  </si>
  <si>
    <t>Fully resolved group delay</t>
  </si>
  <si>
    <t>Number group delay ambiguities</t>
  </si>
  <si>
    <t>Links observations to scans</t>
  </si>
  <si>
    <t>Stub</t>
  </si>
  <si>
    <t>Name Use</t>
  </si>
  <si>
    <t>Corel bas/apr accel (1/sec**2).</t>
  </si>
  <si>
    <t>Corel bas/apr delay rate (s/s).</t>
  </si>
  <si>
    <t>Physical BBC number by channel.</t>
  </si>
  <si>
    <t>Fourfit processing time YMDHMS.</t>
  </si>
  <si>
    <t>Tot geocenter delay rate (s/s).</t>
  </si>
  <si>
    <t>Corel instrumental delay (sec).</t>
  </si>
  <si>
    <t>Incoh amp from FRNGE plot segs.</t>
  </si>
  <si>
    <t>Fr. amp from incoh int of chan.</t>
  </si>
  <si>
    <t>Corel index numbers by sb freq.</t>
  </si>
  <si>
    <t>LO frequencies per cha/sta MHz.</t>
  </si>
  <si>
    <t xml:space="preserve">Samp rate(kHz) Frames/PP PP/AP. </t>
  </si>
  <si>
    <t xml:space="preserve">Trk table by sta sideb channel. </t>
  </si>
  <si>
    <t>Offset nominal stop time (sec).</t>
  </si>
  <si>
    <t>Agency/contact_person/PI name.</t>
  </si>
  <si>
    <t>Control file name for fourfit.</t>
  </si>
  <si>
    <t>Rate derivatives mHz per asec.</t>
  </si>
  <si>
    <t>Earth barycentric coordinates.</t>
  </si>
  <si>
    <t xml:space="preserve">Apriori clock offset microsec. </t>
  </si>
  <si>
    <t xml:space="preserve">1=Run resulted from AUTOEDIT. </t>
  </si>
  <si>
    <t xml:space="preserve">Obs delay at central epoch us. </t>
  </si>
  <si>
    <t>Tot phase ref to cen of Earth.</t>
  </si>
  <si>
    <t>Tot geocenter sbd delay (sec).</t>
  </si>
  <si>
    <t>PC amp phs frq by sta channel.</t>
  </si>
  <si>
    <t>Polarization per sta/chan R/L.</t>
  </si>
  <si>
    <t>Prob of false det from FRNGE.</t>
  </si>
  <si>
    <t>Measure of uniformity of data.</t>
  </si>
  <si>
    <t>Ref sta clock epoch microsec.</t>
  </si>
  <si>
    <t xml:space="preserve">YDDD of COREL by sta channel. </t>
  </si>
  <si>
    <t>Experiment Serial Number.</t>
  </si>
  <si>
    <t>BRT TEMP (K) OF WVR ,F1,F2.</t>
  </si>
  <si>
    <t>REFERENCE1,2 WVR TEMP (K).</t>
  </si>
  <si>
    <t>Delay rate unweight flag.</t>
  </si>
  <si>
    <t>Corel bas/apr delay (sec).</t>
  </si>
  <si>
    <t xml:space="preserve">Number of bits per sample. </t>
  </si>
  <si>
    <t>RF freq by channel (MHz).</t>
  </si>
  <si>
    <t xml:space="preserve">Correlator baseline number. </t>
  </si>
  <si>
    <t>Correlator root file name.</t>
  </si>
  <si>
    <t xml:space="preserve">Phase delay at epoch+1 sec. </t>
  </si>
  <si>
    <t xml:space="preserve">Phase delay at epoch-1 sec. </t>
  </si>
  <si>
    <t>Effective run duration sec.</t>
  </si>
  <si>
    <t>Fourfit error flag blank=OK.</t>
  </si>
  <si>
    <t xml:space="preserve">Original COREL file name. </t>
  </si>
  <si>
    <t>PC rate by sta ( us per s).</t>
  </si>
  <si>
    <t xml:space="preserve">Obs rate at central epoch . </t>
  </si>
  <si>
    <t>Rate resid (sec per sec).</t>
  </si>
  <si>
    <t xml:space="preserve">Run code  e.g.  "329-1300". </t>
  </si>
  <si>
    <t>Single band delay residual.</t>
  </si>
  <si>
    <t>Elev angles calc by COREL.</t>
  </si>
  <si>
    <t>Stop  time in sec past hour.</t>
  </si>
  <si>
    <t xml:space="preserve">Tot phase at central epoch. </t>
  </si>
  <si>
    <t>UTC time tag of correlation.</t>
  </si>
  <si>
    <t>UTC at central epoch YMDHMS.</t>
  </si>
  <si>
    <t>Nominal scan time YMDHMS.</t>
  </si>
  <si>
    <t xml:space="preserve">UTC of FRNGE proc YMDHMS. </t>
  </si>
  <si>
    <t xml:space="preserve">corr. ext by sideb  channel. </t>
  </si>
  <si>
    <t>Experiment description.</t>
  </si>
  <si>
    <t>F1, F2 VOLT          .</t>
  </si>
  <si>
    <t>Corr coeff (0 --&gt; 1).</t>
  </si>
  <si>
    <t>Delay residual (sec).</t>
  </si>
  <si>
    <t>Scan duration (sec).</t>
  </si>
  <si>
    <t>Fourfit output filename.</t>
  </si>
  <si>
    <t>Fourfit version number.</t>
  </si>
  <si>
    <t>Frequency group code.</t>
  </si>
  <si>
    <t xml:space="preserve">Site Occupation Number. </t>
  </si>
  <si>
    <t>Sample rate (Hz).</t>
  </si>
  <si>
    <t>Tape quality code.</t>
  </si>
  <si>
    <t xml:space="preserve">Correlator file name. </t>
  </si>
  <si>
    <t xml:space="preserve">FRNGE extent number. </t>
  </si>
  <si>
    <t>Signal to noise  ratio.</t>
  </si>
  <si>
    <t>Radio source name.</t>
  </si>
  <si>
    <t>Correlator name.</t>
  </si>
  <si>
    <t>Experiment name.</t>
  </si>
  <si>
    <t>Recoding mode.</t>
  </si>
  <si>
    <t>Stations with a priori clock model</t>
  </si>
  <si>
    <t>Required?</t>
  </si>
  <si>
    <t>Cross reference from observation to baseline. Stations assumed alphabetical.</t>
  </si>
  <si>
    <t>Microfiche, B tape number.</t>
  </si>
  <si>
    <t>JPL EPOCH 1950 or 2000 .</t>
  </si>
  <si>
    <t>Julian date at midnight.</t>
  </si>
  <si>
    <t>Radians per arc second .</t>
  </si>
  <si>
    <t>Two-letters site codes .</t>
  </si>
  <si>
    <t>Observed group delay in sec.</t>
  </si>
  <si>
    <t>Group delay ambiguity (sec).</t>
  </si>
  <si>
    <t>Total phase degrees mod 360.</t>
  </si>
  <si>
    <t>SB delay error microseconds.</t>
  </si>
  <si>
    <t>ALIAS OF REF FREQ.</t>
  </si>
  <si>
    <t>Radians per degree .</t>
  </si>
  <si>
    <t>Second per day .</t>
  </si>
  <si>
    <t>TWO PI .</t>
  </si>
  <si>
    <t>Delay err (sec).</t>
  </si>
  <si>
    <t>NO. of delays in this obs .</t>
  </si>
  <si>
    <t>NO. of rates  in this obs .</t>
  </si>
  <si>
    <t>FRNGE runtime comments.</t>
  </si>
  <si>
    <t xml:space="preserve">Delay type  1=grp  2=phs. </t>
  </si>
  <si>
    <t>Phase delay at epoch   usec .</t>
  </si>
  <si>
    <t>Single band delay (microsec).</t>
  </si>
  <si>
    <t>Phase cal status: 0/1/2 .</t>
  </si>
  <si>
    <t>Radians per time second .</t>
  </si>
  <si>
    <t>Delay+rate uncal if flag=1.</t>
  </si>
  <si>
    <t>Stations with WVR calib .</t>
  </si>
  <si>
    <t>Ocean amp. radial comp.-meters.</t>
  </si>
  <si>
    <t>Scan name .</t>
  </si>
  <si>
    <t>Observed delay us in 2 parts.</t>
  </si>
  <si>
    <t>Rate formal error(sec per sec).</t>
  </si>
  <si>
    <t>FRNGE quality  index 0 --&gt; 9.</t>
  </si>
  <si>
    <t>openDBVar</t>
  </si>
  <si>
    <t>OpenDB Name</t>
  </si>
  <si>
    <t>Description.</t>
  </si>
  <si>
    <t>Dimension</t>
  </si>
  <si>
    <t>AxisOffsetCal</t>
  </si>
  <si>
    <t>AxisOffsetPart</t>
  </si>
  <si>
    <t>BendPart</t>
  </si>
  <si>
    <t>BendCal</t>
  </si>
  <si>
    <t>FourFitCmdCString</t>
  </si>
  <si>
    <t>FourfitControlFile</t>
  </si>
  <si>
    <t>ParallaxPart</t>
  </si>
  <si>
    <t>ParallaxCal</t>
  </si>
  <si>
    <t>WobPart</t>
  </si>
  <si>
    <t>NumClockRefSite</t>
  </si>
  <si>
    <t>BaselineSelectionFlag</t>
  </si>
  <si>
    <t>SourceSelectionFlag</t>
  </si>
  <si>
    <t>XYZPart</t>
  </si>
  <si>
    <t>GroupBLWeightName</t>
  </si>
  <si>
    <t>BendSunCal</t>
  </si>
  <si>
    <t>BendSunHigherCal</t>
  </si>
  <si>
    <t>UT1OrthoCal</t>
  </si>
  <si>
    <t>WobblePart</t>
  </si>
  <si>
    <t>WobOrthoCal</t>
  </si>
  <si>
    <t>WobNutCal</t>
  </si>
  <si>
    <t>ClockAprioriCal</t>
  </si>
  <si>
    <t>EarthTideCal</t>
  </si>
  <si>
    <t>EccentricityMapCal</t>
  </si>
  <si>
    <t>IonGroupCal</t>
  </si>
  <si>
    <t>IonGroupCalSigma</t>
  </si>
  <si>
    <t>IonPhaseCal</t>
  </si>
  <si>
    <t>IonPhaseCalSigma</t>
  </si>
  <si>
    <t>OceanLoadCal</t>
  </si>
  <si>
    <t>Obs dependent ocean loading</t>
  </si>
  <si>
    <t>OceanLoadDis</t>
  </si>
  <si>
    <t>OceanLoadHorizCal</t>
  </si>
  <si>
    <t>OceanLoadVertCal</t>
  </si>
  <si>
    <t>PoleTideCal</t>
  </si>
  <si>
    <t>PoleTideOldRestoreCal</t>
  </si>
  <si>
    <t>TiltRemoverCal</t>
  </si>
  <si>
    <t>XwobbleCal</t>
  </si>
  <si>
    <t>YwobbleCal</t>
  </si>
  <si>
    <t>UT1Part</t>
  </si>
  <si>
    <t>GammaPart</t>
  </si>
  <si>
    <t>NMFDryPart</t>
  </si>
  <si>
    <t>NMFDryCal</t>
  </si>
  <si>
    <t>NMFGradEWPart</t>
  </si>
  <si>
    <t>NMFGradNSPart</t>
  </si>
  <si>
    <t>NMFWetPart</t>
  </si>
  <si>
    <t>NMFWetCal</t>
  </si>
  <si>
    <t>Nut2000PsiEpsPart</t>
  </si>
  <si>
    <t>Nut2KXYPart</t>
  </si>
  <si>
    <t>NutPsiEpsPart</t>
  </si>
  <si>
    <t>RaDecPart</t>
  </si>
  <si>
    <t>FeedCorrectionCal</t>
  </si>
  <si>
    <t>NutWahrCal</t>
  </si>
  <si>
    <t>PrecessionPart</t>
  </si>
  <si>
    <t>UnPhaseCalFlag</t>
  </si>
  <si>
    <t>Feedhorn correction for phase delay= FeedRotSite1-FeedRotSite2</t>
  </si>
  <si>
    <t>ObsCalTheo</t>
  </si>
  <si>
    <t>FeedRotNet</t>
  </si>
  <si>
    <t>Change the sign db2openDB</t>
  </si>
  <si>
    <t>Misc</t>
  </si>
  <si>
    <t>LeapSecond</t>
  </si>
  <si>
    <t>Leap second</t>
  </si>
  <si>
    <t>NEED THIS</t>
  </si>
  <si>
    <t>1.d-4</t>
  </si>
  <si>
    <t>1.d-6 1.d-9</t>
  </si>
  <si>
    <t>1.d-6</t>
  </si>
  <si>
    <t>1.d-8  2.d-11</t>
  </si>
  <si>
    <t>1.d-6 1.d-9  Flip</t>
  </si>
  <si>
    <t xml:space="preserve">1.d-15  2.d-18  </t>
  </si>
  <si>
    <t>DataFlag_S</t>
  </si>
  <si>
    <t>DataFlag_X</t>
  </si>
  <si>
    <t>DataFlag_bS</t>
  </si>
  <si>
    <t>DataFlag_bX</t>
  </si>
  <si>
    <t>NUT06XYS</t>
  </si>
  <si>
    <t>2000/2006 Nut/Prec X,Y, S &amp; Rates</t>
  </si>
  <si>
    <t>Nut2006XYSPart</t>
  </si>
  <si>
    <t>NUT06XYP</t>
  </si>
  <si>
    <t>2000/2006 Nut/Prec X,Y Partials</t>
  </si>
  <si>
    <t>OceanPoleTideCoef</t>
  </si>
  <si>
    <t>OPTLCOEF</t>
  </si>
  <si>
    <t>Ocean Pole Tide loading Coefficients</t>
  </si>
  <si>
    <t>OPTLCONT</t>
  </si>
  <si>
    <t>Ocean Pole Tide Load Contribution</t>
  </si>
  <si>
    <t>UT1LIBRA</t>
  </si>
  <si>
    <t>WOBLIBRA</t>
  </si>
  <si>
    <t>HF UT1 libration contribution</t>
  </si>
  <si>
    <t>NutationPsi NutationEps</t>
  </si>
  <si>
    <t>NutationX NutationY</t>
  </si>
  <si>
    <t>XPoleTide YPoleTide</t>
  </si>
  <si>
    <t>CalcERP</t>
  </si>
  <si>
    <t>ERPSetup</t>
  </si>
  <si>
    <t>ERPApriori</t>
  </si>
  <si>
    <t>Hi Freq Wobble Libration Contribution</t>
  </si>
  <si>
    <t>Hi Freq UT1 Libration Contribution</t>
  </si>
  <si>
    <t>IonoBits</t>
  </si>
  <si>
    <t>NutationX NutationY NutationS</t>
  </si>
  <si>
    <t>IonoGroupCalDataFlag</t>
  </si>
  <si>
    <t>FreqGroupIonoNoWt_bX</t>
  </si>
  <si>
    <t>FreqPhaseIonoNoWt_bX</t>
  </si>
  <si>
    <t>FreqRateIonoNoWt_bX</t>
  </si>
  <si>
    <t>FreqGroupIono_bS</t>
  </si>
  <si>
    <t>FreqPhaseIono_bS</t>
  </si>
  <si>
    <t>FreqRateIono_bS</t>
  </si>
  <si>
    <t>FreqGroupIono</t>
  </si>
  <si>
    <t>FreqPhaseIono</t>
  </si>
  <si>
    <t>FreqRateIono</t>
  </si>
  <si>
    <t>FreqRateIono_bX</t>
  </si>
  <si>
    <t>EffFreq_kNoAmpWt_bX</t>
  </si>
  <si>
    <t>NutationEQX_kIAU2000</t>
  </si>
  <si>
    <t>NutationEQX_kWahr</t>
  </si>
  <si>
    <t>NutationNRO_kIAU2000</t>
  </si>
  <si>
    <t>NutationNRO_kIAU2006</t>
  </si>
  <si>
    <t>Cal-EarthTide_kIERS2003</t>
  </si>
  <si>
    <t>Cal-EarthTide</t>
  </si>
  <si>
    <t>Cal-EccentricityMap</t>
  </si>
  <si>
    <t>Cal-FeedCorrection</t>
  </si>
  <si>
    <t>Cal-UT1Ortho</t>
  </si>
  <si>
    <t>Cal-WobOrtho</t>
  </si>
  <si>
    <t>Cal-HiFreqLibration_kIERS2006</t>
  </si>
  <si>
    <t>Cal-HiFreqLibrationPM</t>
  </si>
  <si>
    <t>Cal-HiFreqLibration_kIERS2010</t>
  </si>
  <si>
    <t>Cal-HiFreqLibrationUT1</t>
  </si>
  <si>
    <t>Cal-AxisOffset</t>
  </si>
  <si>
    <t>Cal-Bend</t>
  </si>
  <si>
    <t>Cal-BendSun</t>
  </si>
  <si>
    <t>Cal-BendSunHigher</t>
  </si>
  <si>
    <t>Cal-Cable</t>
  </si>
  <si>
    <t>Cal-CableDataFlag</t>
  </si>
  <si>
    <t>Cal-CableHistory</t>
  </si>
  <si>
    <t>Cal-NutationEQX_kWahr</t>
  </si>
  <si>
    <t>Cal-Nutation</t>
  </si>
  <si>
    <t>Cal-OceanLoad</t>
  </si>
  <si>
    <t>Cal-StationOceanLoadHoriz</t>
  </si>
  <si>
    <t>Cal-StationOceanLoadVert</t>
  </si>
  <si>
    <t>Cal-OceanPoleTideLoad</t>
  </si>
  <si>
    <t>Cal-Parallax</t>
  </si>
  <si>
    <t>Cal-PoleTide_kIERS2003</t>
  </si>
  <si>
    <t>Cal-PoleTide</t>
  </si>
  <si>
    <t>Cal-PoleTideOldRestore</t>
  </si>
  <si>
    <t>Cal-SlantPathIonoGroup_bX</t>
  </si>
  <si>
    <t>Cal-SlantPathIonoPhase_bX</t>
  </si>
  <si>
    <t>Cal-SlantPathTropDry_kNMF</t>
  </si>
  <si>
    <t>Cal-SlantPathTropDry</t>
  </si>
  <si>
    <t>Cal-SlantPathTropWet_kNMF</t>
  </si>
  <si>
    <t>Cal-SlantPathTropWet</t>
  </si>
  <si>
    <t>Cal-TiltRemover</t>
  </si>
  <si>
    <t>Cal-UnPhase</t>
  </si>
  <si>
    <t>Cal-Wobble</t>
  </si>
  <si>
    <t>Cal-Xwobble</t>
  </si>
  <si>
    <t>Cal-Ywobble</t>
  </si>
  <si>
    <t>Cal-StationOceanLoad</t>
  </si>
  <si>
    <t>Part-AxisOffset</t>
  </si>
  <si>
    <t>Part-Bend</t>
  </si>
  <si>
    <t>Part-ERP</t>
  </si>
  <si>
    <t>Part-Gamma</t>
  </si>
  <si>
    <t>Part-HorizonGrad_kNMF</t>
  </si>
  <si>
    <t>Part-Nutation_kpreCalc10</t>
  </si>
  <si>
    <t>Part-NutationEQX_kIAU2000</t>
  </si>
  <si>
    <t>Part-NutationNRO_kIAU2000</t>
  </si>
  <si>
    <t>Part-NutationNRO_kIAU2006</t>
  </si>
  <si>
    <t>Part-Parallax</t>
  </si>
  <si>
    <t>Part-Poletide_kIERS2006</t>
  </si>
  <si>
    <t>Part-Precession</t>
  </si>
  <si>
    <t>Part-RaDec</t>
  </si>
  <si>
    <t>Part-XYZ</t>
  </si>
  <si>
    <t>Part-ZenithPathTropDry_kNMF</t>
  </si>
  <si>
    <t>Part-ZenithPathTropWet_kNMF</t>
  </si>
  <si>
    <t>Part-UT1</t>
  </si>
  <si>
    <t>Part-Wobble</t>
  </si>
  <si>
    <t>Part-HorizonGrad</t>
  </si>
  <si>
    <t>Part-HorizonGrad-EW</t>
  </si>
  <si>
    <t>Part-HorizonGrad-NS</t>
  </si>
  <si>
    <t>Part-PoleTide</t>
  </si>
  <si>
    <t>Part-ZenithPathTropDry</t>
  </si>
  <si>
    <t>Part-ZenithPathTropWet</t>
  </si>
  <si>
    <t>Cal-Unphase</t>
  </si>
  <si>
    <t>NumClockRefStations</t>
  </si>
  <si>
    <t>IonoStationList</t>
  </si>
  <si>
    <t>RefClockStationList</t>
  </si>
  <si>
    <t>AprioriStationList</t>
  </si>
  <si>
    <t>AprioriSourceList</t>
  </si>
  <si>
    <t>ATIControl</t>
  </si>
  <si>
    <t>ATMControl</t>
  </si>
  <si>
    <t>AxisOffsetControl</t>
  </si>
  <si>
    <t>CalcControlNames</t>
  </si>
  <si>
    <t>CalcControlValues</t>
  </si>
  <si>
    <t>CTIControl</t>
  </si>
  <si>
    <t>EarthTideControl</t>
  </si>
  <si>
    <t>NutationControl</t>
  </si>
  <si>
    <t>OceanControl</t>
  </si>
  <si>
    <t>ParallaxControl</t>
  </si>
  <si>
    <t>PoleTideControl</t>
  </si>
  <si>
    <t>PrecessionControl</t>
  </si>
  <si>
    <t>RelativityControl</t>
  </si>
  <si>
    <t>StarParallaxControl</t>
  </si>
  <si>
    <t>TidalUT1Control</t>
  </si>
  <si>
    <t>UT1Control</t>
  </si>
  <si>
    <t>WobbleControl</t>
  </si>
  <si>
    <t>OceanStationsFlag</t>
  </si>
  <si>
    <t>ClockRateConstraintStationList</t>
  </si>
  <si>
    <t>CrossRefSourceList</t>
  </si>
  <si>
    <t>CrossRefStationList</t>
  </si>
  <si>
    <t>CableStationList</t>
  </si>
  <si>
    <t>ClockBreakStationList</t>
  </si>
  <si>
    <t>GroupBLWeightStationList</t>
  </si>
  <si>
    <t>Rot-CF2J2K</t>
  </si>
  <si>
    <t>AprioriClock</t>
  </si>
  <si>
    <t>Cal-AprioriClock</t>
  </si>
  <si>
    <t>List of Antennas</t>
  </si>
  <si>
    <t>Antenna</t>
  </si>
  <si>
    <t>AntennaStationList</t>
  </si>
  <si>
    <t>Clock</t>
  </si>
  <si>
    <t>Eccentricity</t>
  </si>
  <si>
    <t>EccentricityStationList</t>
  </si>
  <si>
    <t>AtmRateStationList</t>
  </si>
  <si>
    <t>BaselineClockList</t>
  </si>
  <si>
    <t>FlybyList</t>
  </si>
  <si>
    <t>ObsCalList</t>
  </si>
  <si>
    <t>StatCalStationList</t>
  </si>
  <si>
    <t>StatCalList</t>
  </si>
  <si>
    <t>Cal-SlantPathIonoGroup</t>
  </si>
  <si>
    <t>Cal-SlantPathIonoGroupDataFlag</t>
  </si>
  <si>
    <t>Cal-SlantPathIonoGroupSigma</t>
  </si>
  <si>
    <t>Cal-SlantPathIonoPhase</t>
  </si>
  <si>
    <t>Cal-HiFreqERP_kIERS2003</t>
  </si>
  <si>
    <t>HF  wobble libration contribution</t>
  </si>
  <si>
    <t>Part-NutationNRO</t>
  </si>
  <si>
    <t>Part-NutationEQX</t>
  </si>
  <si>
    <t>NutationEQX</t>
  </si>
  <si>
    <t>NutationNRO</t>
  </si>
  <si>
    <t>Dis-OceanLoad</t>
  </si>
  <si>
    <t>RateDataFlag</t>
  </si>
  <si>
    <t>AprioriClockOffset</t>
  </si>
  <si>
    <t>AprioriClockRate</t>
  </si>
  <si>
    <t>AprioriClockStationList</t>
  </si>
  <si>
    <t>AntennaAxisOffset</t>
  </si>
  <si>
    <t>AntennaAxisTilt</t>
  </si>
  <si>
    <t>AntennaAxisType</t>
  </si>
  <si>
    <t>AprioriSource2000RaDec</t>
  </si>
  <si>
    <t>AprioriSourceReference</t>
  </si>
  <si>
    <t>AprioriStationDomesNumber</t>
  </si>
  <si>
    <t>AprioriStationIERZSArray</t>
  </si>
  <si>
    <t>AprioriStationXYZ</t>
  </si>
  <si>
    <t>AprioriStationTectonicPlate</t>
  </si>
  <si>
    <t>Cal-SlantPathIonoPhaseSigma</t>
  </si>
  <si>
    <t>NUT2006A</t>
  </si>
  <si>
    <t>NutationEQX_kIAU2006</t>
  </si>
  <si>
    <t>IAU2006A Nut. - Dpsi  Deps  Rates</t>
  </si>
  <si>
    <t>IAU2000A Nut. - Dpsi  Deps  Rates</t>
  </si>
  <si>
    <t>OCE_OLD</t>
  </si>
  <si>
    <t>Old Ocean loading contribution.</t>
  </si>
  <si>
    <t>Cal-OceanLoadOld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</si>
</sst>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7" fillId="32" borderId="0" applyNumberFormat="0" applyBorder="0" applyAlignment="0" applyProtection="0"/>
    <xf numFmtId="0" fontId="8" fillId="33" borderId="2" applyNumberFormat="0" applyAlignment="0" applyProtection="0"/>
    <xf numFmtId="0" fontId="9" fillId="34" borderId="3" applyNumberFormat="0" applyAlignment="0" applyProtection="0"/>
    <xf numFmtId="0" fontId="10" fillId="0" borderId="0" applyNumberFormat="0" applyFill="0" applyBorder="0" applyAlignment="0" applyProtection="0"/>
    <xf numFmtId="0" fontId="11" fillId="35" borderId="0" applyNumberFormat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15" fillId="36" borderId="2" applyNumberFormat="0" applyAlignment="0" applyProtection="0"/>
    <xf numFmtId="0" fontId="16" fillId="0" borderId="7" applyNumberFormat="0" applyFill="0" applyAlignment="0" applyProtection="0"/>
    <xf numFmtId="0" fontId="17" fillId="37" borderId="0" applyNumberFormat="0" applyBorder="0" applyAlignment="0" applyProtection="0"/>
    <xf numFmtId="0" fontId="2" fillId="38" borderId="8" applyNumberFormat="0" applyFont="0" applyAlignment="0" applyProtection="0"/>
    <xf numFmtId="0" fontId="18" fillId="33" borderId="9" applyNumberFormat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0" borderId="0" applyNumberFormat="0" applyFill="0" applyBorder="0" applyAlignment="0" applyProtection="0"/>
  </cellStyleXfs>
  <cellXfs count="32">
    <xf numFmtId="0" fontId="0" fillId="0" borderId="0" xfId="0"/>
    <xf numFmtId="0" fontId="0" fillId="2" borderId="0" xfId="0" applyFill="1"/>
    <xf numFmtId="0" fontId="0" fillId="3" borderId="0" xfId="0" applyFill="1"/>
    <xf numFmtId="0" fontId="3" fillId="0" borderId="0" xfId="0" applyFont="1"/>
    <xf numFmtId="0" fontId="0" fillId="0" borderId="0" xfId="0" applyFill="1"/>
    <xf numFmtId="0" fontId="3" fillId="0" borderId="0" xfId="0" applyFont="1" applyFill="1"/>
    <xf numFmtId="0" fontId="0" fillId="4" borderId="0" xfId="0" applyFill="1"/>
    <xf numFmtId="0" fontId="0" fillId="5" borderId="0" xfId="0" applyFill="1"/>
    <xf numFmtId="0" fontId="0" fillId="0" borderId="0" xfId="0" applyBorder="1"/>
    <xf numFmtId="0" fontId="0" fillId="6" borderId="0" xfId="0" applyFill="1"/>
    <xf numFmtId="0" fontId="3" fillId="6" borderId="0" xfId="0" applyFont="1" applyFill="1"/>
    <xf numFmtId="0" fontId="1" fillId="0" borderId="0" xfId="0" applyFont="1"/>
    <xf numFmtId="0" fontId="22" fillId="0" borderId="1" xfId="0" applyFont="1" applyBorder="1"/>
    <xf numFmtId="0" fontId="22" fillId="7" borderId="1" xfId="0" applyFont="1" applyFill="1" applyBorder="1"/>
    <xf numFmtId="0" fontId="22" fillId="0" borderId="1" xfId="0" quotePrefix="1" applyFont="1" applyBorder="1"/>
    <xf numFmtId="0" fontId="22" fillId="0" borderId="1" xfId="0" applyFont="1" applyFill="1" applyBorder="1"/>
    <xf numFmtId="0" fontId="22" fillId="0" borderId="1" xfId="0" applyFont="1" applyBorder="1" applyAlignment="1">
      <alignment horizontal="right"/>
    </xf>
    <xf numFmtId="0" fontId="22" fillId="0" borderId="0" xfId="0" quotePrefix="1" applyFont="1" applyBorder="1"/>
    <xf numFmtId="0" fontId="23" fillId="7" borderId="1" xfId="0" applyFont="1" applyFill="1" applyBorder="1"/>
    <xf numFmtId="0" fontId="22" fillId="0" borderId="0" xfId="0" applyFont="1" applyBorder="1"/>
    <xf numFmtId="0" fontId="22" fillId="0" borderId="0" xfId="0" applyFont="1" applyFill="1" applyBorder="1"/>
    <xf numFmtId="0" fontId="22" fillId="0" borderId="1" xfId="0" applyFont="1" applyBorder="1" applyAlignment="1">
      <alignment wrapText="1"/>
    </xf>
    <xf numFmtId="0" fontId="23" fillId="7" borderId="1" xfId="0" applyFont="1" applyFill="1" applyBorder="1" applyAlignment="1">
      <alignment wrapText="1"/>
    </xf>
    <xf numFmtId="0" fontId="22" fillId="7" borderId="1" xfId="0" applyFont="1" applyFill="1" applyBorder="1" applyAlignment="1">
      <alignment wrapText="1"/>
    </xf>
    <xf numFmtId="0" fontId="22" fillId="0" borderId="0" xfId="0" applyFont="1" applyBorder="1" applyAlignment="1">
      <alignment wrapText="1"/>
    </xf>
    <xf numFmtId="0" fontId="22" fillId="0" borderId="0" xfId="0" applyFont="1" applyFill="1" applyBorder="1" applyAlignment="1">
      <alignment wrapText="1"/>
    </xf>
    <xf numFmtId="0" fontId="23" fillId="0" borderId="0" xfId="0" applyFont="1" applyFill="1" applyBorder="1" applyAlignment="1">
      <alignment wrapText="1"/>
    </xf>
    <xf numFmtId="0" fontId="22" fillId="39" borderId="1" xfId="0" applyFont="1" applyFill="1" applyBorder="1"/>
    <xf numFmtId="0" fontId="22" fillId="39" borderId="0" xfId="0" applyFont="1" applyFill="1" applyBorder="1"/>
    <xf numFmtId="0" fontId="23" fillId="0" borderId="1" xfId="0" applyFont="1" applyFill="1" applyBorder="1"/>
    <xf numFmtId="0" fontId="0" fillId="39" borderId="0" xfId="0" applyFill="1"/>
    <xf numFmtId="0" fontId="22" fillId="40" borderId="1" xfId="0" applyFont="1" applyFill="1" applyBorder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119">
    <dxf>
      <fill>
        <patternFill>
          <bgColor theme="6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6" tint="0.39994506668294322"/>
        </patternFill>
      </fill>
    </dxf>
    <dxf>
      <font>
        <color auto="1"/>
      </font>
      <fill>
        <patternFill>
          <bgColor theme="6" tint="0.39994506668294322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6" tint="-0.499984740745262"/>
        </patternFill>
      </fill>
    </dxf>
    <dxf>
      <fill>
        <patternFill>
          <bgColor theme="6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99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99"/>
        </patternFill>
      </fill>
    </dxf>
    <dxf>
      <fill>
        <patternFill>
          <bgColor rgb="FFFFC000"/>
        </patternFill>
      </fill>
    </dxf>
    <dxf>
      <fill>
        <patternFill>
          <bgColor indexed="45"/>
        </patternFill>
      </fill>
    </dxf>
    <dxf>
      <fill>
        <patternFill>
          <bgColor indexed="14"/>
        </patternFill>
      </fill>
    </dxf>
    <dxf>
      <fill>
        <patternFill>
          <bgColor indexed="10"/>
        </patternFill>
      </fill>
    </dxf>
    <dxf>
      <fill>
        <patternFill>
          <bgColor indexed="45"/>
        </patternFill>
      </fill>
    </dxf>
    <dxf>
      <fill>
        <patternFill>
          <bgColor indexed="14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theme="6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6" tint="0.39994506668294322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theme="6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99"/>
        </patternFill>
      </fill>
    </dxf>
    <dxf>
      <fill>
        <patternFill>
          <bgColor rgb="FFFFC000"/>
        </patternFill>
      </fill>
    </dxf>
    <dxf>
      <fill>
        <patternFill>
          <bgColor indexed="45"/>
        </patternFill>
      </fill>
    </dxf>
    <dxf>
      <fill>
        <patternFill>
          <bgColor indexed="14"/>
        </patternFill>
      </fill>
    </dxf>
    <dxf>
      <fill>
        <patternFill>
          <bgColor indexed="1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6" tint="0.39994506668294322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theme="6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99"/>
        </patternFill>
      </fill>
    </dxf>
    <dxf>
      <fill>
        <patternFill>
          <bgColor rgb="FFFFC000"/>
        </patternFill>
      </fill>
    </dxf>
    <dxf>
      <fill>
        <patternFill>
          <bgColor indexed="45"/>
        </patternFill>
      </fill>
    </dxf>
    <dxf>
      <fill>
        <patternFill>
          <bgColor indexed="14"/>
        </patternFill>
      </fill>
    </dxf>
    <dxf>
      <fill>
        <patternFill>
          <bgColor indexed="10"/>
        </patternFill>
      </fill>
    </dxf>
    <dxf>
      <fill>
        <patternFill>
          <bgColor rgb="FF00B050"/>
        </patternFill>
      </fill>
    </dxf>
    <dxf>
      <fill>
        <patternFill>
          <bgColor indexed="45"/>
        </patternFill>
      </fill>
    </dxf>
    <dxf>
      <fill>
        <patternFill>
          <bgColor indexed="14"/>
        </patternFill>
      </fill>
    </dxf>
    <dxf>
      <fill>
        <patternFill>
          <bgColor indexed="10"/>
        </patternFill>
      </fill>
    </dxf>
    <dxf>
      <fill>
        <patternFill>
          <bgColor rgb="FF00B050"/>
        </patternFill>
      </fill>
    </dxf>
    <dxf>
      <fill>
        <patternFill>
          <bgColor indexed="45"/>
        </patternFill>
      </fill>
    </dxf>
    <dxf>
      <fill>
        <patternFill>
          <bgColor indexed="14"/>
        </patternFill>
      </fill>
    </dxf>
    <dxf>
      <fill>
        <patternFill>
          <bgColor indexed="10"/>
        </patternFill>
      </fill>
    </dxf>
    <dxf>
      <fill>
        <patternFill>
          <bgColor rgb="FF00B050"/>
        </patternFill>
      </fill>
    </dxf>
    <dxf>
      <fill>
        <patternFill>
          <bgColor indexed="45"/>
        </patternFill>
      </fill>
    </dxf>
    <dxf>
      <fill>
        <patternFill>
          <bgColor indexed="14"/>
        </patternFill>
      </fill>
    </dxf>
    <dxf>
      <fill>
        <patternFill>
          <bgColor indexed="10"/>
        </patternFill>
      </fill>
    </dxf>
    <dxf>
      <fill>
        <patternFill>
          <bgColor rgb="FF00B050"/>
        </patternFill>
      </fill>
    </dxf>
    <dxf>
      <fill>
        <patternFill>
          <bgColor indexed="45"/>
        </patternFill>
      </fill>
    </dxf>
    <dxf>
      <fill>
        <patternFill>
          <bgColor indexed="14"/>
        </patternFill>
      </fill>
    </dxf>
    <dxf>
      <fill>
        <patternFill>
          <bgColor indexed="1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indexed="45"/>
        </patternFill>
      </fill>
    </dxf>
    <dxf>
      <fill>
        <patternFill>
          <bgColor indexed="14"/>
        </patternFill>
      </fill>
    </dxf>
    <dxf>
      <fill>
        <patternFill>
          <bgColor indexed="10"/>
        </patternFill>
      </fill>
    </dxf>
    <dxf>
      <fill>
        <patternFill>
          <bgColor rgb="FF00B050"/>
        </patternFill>
      </fill>
    </dxf>
    <dxf>
      <fill>
        <patternFill>
          <bgColor indexed="45"/>
        </patternFill>
      </fill>
    </dxf>
    <dxf>
      <fill>
        <patternFill>
          <bgColor indexed="14"/>
        </patternFill>
      </fill>
    </dxf>
    <dxf>
      <fill>
        <patternFill>
          <bgColor indexed="10"/>
        </patternFill>
      </fill>
    </dxf>
    <dxf>
      <fill>
        <patternFill>
          <bgColor rgb="FF00B050"/>
        </patternFill>
      </fill>
    </dxf>
    <dxf>
      <fill>
        <patternFill>
          <bgColor indexed="45"/>
        </patternFill>
      </fill>
    </dxf>
    <dxf>
      <fill>
        <patternFill>
          <bgColor indexed="14"/>
        </patternFill>
      </fill>
    </dxf>
    <dxf>
      <fill>
        <patternFill>
          <bgColor indexed="1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6" tint="0.39994506668294322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theme="6" tint="-0.49998474074526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99"/>
        </patternFill>
      </fill>
    </dxf>
    <dxf>
      <fill>
        <patternFill>
          <bgColor rgb="FFFFC000"/>
        </patternFill>
      </fill>
    </dxf>
    <dxf>
      <fill>
        <patternFill>
          <bgColor indexed="45"/>
        </patternFill>
      </fill>
    </dxf>
    <dxf>
      <fill>
        <patternFill>
          <bgColor indexed="14"/>
        </patternFill>
      </fill>
    </dxf>
    <dxf>
      <fill>
        <patternFill>
          <bgColor indexed="1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507"/>
  <sheetViews>
    <sheetView tabSelected="1" workbookViewId="0">
      <pane xSplit="1" ySplit="3" topLeftCell="D74" activePane="bottomRight" state="frozen"/>
      <selection pane="topRight" activeCell="B1" sqref="B1"/>
      <selection pane="bottomLeft" activeCell="A3" sqref="A3"/>
      <selection pane="bottomRight" activeCell="D104" sqref="D104"/>
    </sheetView>
  </sheetViews>
  <sheetFormatPr defaultColWidth="9.140625" defaultRowHeight="12.75" x14ac:dyDescent="0.2"/>
  <cols>
    <col min="1" max="1" width="6.42578125" style="19" customWidth="1"/>
    <col min="2" max="2" width="3.42578125" style="19" customWidth="1"/>
    <col min="3" max="3" width="20.42578125" style="19" customWidth="1"/>
    <col min="4" max="4" width="18.42578125" style="17" customWidth="1"/>
    <col min="5" max="5" width="4.7109375" style="19" customWidth="1"/>
    <col min="6" max="8" width="2.7109375" style="19" customWidth="1"/>
    <col min="9" max="9" width="2.28515625" style="19" customWidth="1"/>
    <col min="10" max="10" width="32.28515625" style="19" customWidth="1"/>
    <col min="11" max="11" width="8.28515625" style="19" customWidth="1"/>
    <col min="12" max="12" width="17.28515625" style="24" customWidth="1"/>
    <col min="13" max="13" width="7.42578125" style="19" customWidth="1"/>
    <col min="14" max="14" width="14.28515625" style="19" customWidth="1"/>
    <col min="15" max="15" width="13" style="19" customWidth="1"/>
    <col min="16" max="16" width="31.140625" style="19" customWidth="1"/>
    <col min="17" max="17" width="13.28515625" style="19" customWidth="1"/>
    <col min="18" max="18" width="29.7109375" style="19" customWidth="1"/>
    <col min="19" max="19" width="23.140625" style="19" customWidth="1"/>
    <col min="20" max="20" width="31.7109375" style="24" customWidth="1"/>
    <col min="21" max="21" width="9.7109375" style="19" customWidth="1"/>
    <col min="22" max="22" width="8.85546875" style="19" customWidth="1"/>
    <col min="23" max="23" width="10" style="19" customWidth="1"/>
    <col min="24" max="24" width="12.140625" style="19" customWidth="1"/>
    <col min="25" max="25" width="10.7109375" style="19" customWidth="1"/>
    <col min="26" max="16384" width="9.140625" style="19"/>
  </cols>
  <sheetData>
    <row r="1" spans="1:27" x14ac:dyDescent="0.2">
      <c r="A1" s="12">
        <v>1</v>
      </c>
      <c r="B1" s="14">
        <v>2</v>
      </c>
      <c r="C1" s="12">
        <v>3</v>
      </c>
      <c r="D1" s="14">
        <v>4</v>
      </c>
      <c r="E1" s="12">
        <v>5</v>
      </c>
      <c r="F1" s="14">
        <v>6</v>
      </c>
      <c r="G1" s="12">
        <v>7</v>
      </c>
      <c r="H1" s="14">
        <v>8</v>
      </c>
      <c r="I1" s="12">
        <v>9</v>
      </c>
      <c r="J1" s="14">
        <v>10</v>
      </c>
      <c r="K1" s="12">
        <v>11</v>
      </c>
      <c r="L1" s="14">
        <v>12</v>
      </c>
      <c r="M1" s="12">
        <v>13</v>
      </c>
      <c r="N1" s="14">
        <v>14</v>
      </c>
      <c r="O1" s="12">
        <v>15</v>
      </c>
      <c r="P1" s="14">
        <v>16</v>
      </c>
      <c r="Q1" s="12">
        <v>17</v>
      </c>
      <c r="R1" s="14">
        <v>18</v>
      </c>
      <c r="S1" s="12">
        <v>19</v>
      </c>
      <c r="T1" s="14">
        <v>20</v>
      </c>
      <c r="U1" s="12">
        <v>21</v>
      </c>
      <c r="V1" s="14">
        <v>22</v>
      </c>
      <c r="W1" s="12">
        <v>23</v>
      </c>
      <c r="X1" s="14">
        <v>24</v>
      </c>
      <c r="Y1" s="12">
        <v>25</v>
      </c>
      <c r="Z1" s="14">
        <v>26</v>
      </c>
    </row>
    <row r="2" spans="1:27" x14ac:dyDescent="0.2">
      <c r="A2" s="12" t="s">
        <v>1833</v>
      </c>
      <c r="B2" s="12" t="s">
        <v>1460</v>
      </c>
      <c r="C2" s="12" t="s">
        <v>2389</v>
      </c>
      <c r="D2" s="14" t="s">
        <v>1071</v>
      </c>
      <c r="E2" s="12" t="s">
        <v>1502</v>
      </c>
      <c r="F2" s="12" t="s">
        <v>1123</v>
      </c>
      <c r="G2" s="12" t="s">
        <v>1503</v>
      </c>
      <c r="H2" s="12" t="s">
        <v>1461</v>
      </c>
      <c r="I2" s="12" t="s">
        <v>589</v>
      </c>
      <c r="J2" s="12" t="s">
        <v>1068</v>
      </c>
      <c r="K2" s="12" t="s">
        <v>221</v>
      </c>
      <c r="L2" s="22" t="s">
        <v>1603</v>
      </c>
      <c r="M2" s="18" t="s">
        <v>1829</v>
      </c>
      <c r="N2" s="18" t="s">
        <v>1470</v>
      </c>
      <c r="O2" s="12" t="s">
        <v>2075</v>
      </c>
      <c r="P2" s="18" t="s">
        <v>115</v>
      </c>
      <c r="Q2" s="18" t="s">
        <v>2137</v>
      </c>
      <c r="R2" s="18" t="s">
        <v>1515</v>
      </c>
      <c r="S2" s="18" t="s">
        <v>1601</v>
      </c>
      <c r="T2" s="22" t="s">
        <v>1472</v>
      </c>
      <c r="U2" s="18" t="s">
        <v>1830</v>
      </c>
      <c r="V2" s="18" t="s">
        <v>1962</v>
      </c>
      <c r="W2" s="18" t="s">
        <v>1481</v>
      </c>
      <c r="X2" s="12" t="s">
        <v>1776</v>
      </c>
      <c r="Y2" s="12" t="s">
        <v>1777</v>
      </c>
      <c r="Z2" s="12"/>
      <c r="AA2" s="19" t="s">
        <v>2391</v>
      </c>
    </row>
    <row r="3" spans="1:27" x14ac:dyDescent="0.2">
      <c r="A3" s="12">
        <v>293</v>
      </c>
      <c r="B3" s="12">
        <v>2</v>
      </c>
      <c r="C3" s="12" t="str">
        <f t="shared" ref="C3:C66" si="0">IF(R3="-",D3,R3)</f>
        <v xml:space="preserve">DummyName </v>
      </c>
      <c r="D3" s="14" t="s">
        <v>896</v>
      </c>
      <c r="E3" s="12">
        <v>3</v>
      </c>
      <c r="F3" s="12">
        <v>1</v>
      </c>
      <c r="G3" s="12">
        <v>1</v>
      </c>
      <c r="H3" s="12" t="s">
        <v>447</v>
      </c>
      <c r="I3" s="12">
        <v>4</v>
      </c>
      <c r="J3" s="12" t="s">
        <v>1682</v>
      </c>
      <c r="K3" s="12" t="s">
        <v>1347</v>
      </c>
      <c r="L3" s="23" t="s">
        <v>1342</v>
      </c>
      <c r="M3" s="13" t="s">
        <v>1464</v>
      </c>
      <c r="N3" s="13" t="s">
        <v>1342</v>
      </c>
      <c r="O3" s="12" t="s">
        <v>1342</v>
      </c>
      <c r="P3" s="12" t="s">
        <v>1342</v>
      </c>
      <c r="Q3" s="12" t="s">
        <v>1342</v>
      </c>
      <c r="R3" s="13" t="s">
        <v>1834</v>
      </c>
      <c r="S3" s="13" t="s">
        <v>1342</v>
      </c>
      <c r="T3" s="23" t="s">
        <v>1668</v>
      </c>
      <c r="U3" s="13" t="s">
        <v>1342</v>
      </c>
      <c r="V3" s="13" t="s">
        <v>1631</v>
      </c>
      <c r="W3" s="13" t="s">
        <v>1342</v>
      </c>
      <c r="X3" s="12" t="str">
        <f>VLOOKUP($D3,global_toc!$C:$K,7,FALSE)</f>
        <v>79AUG03XX</v>
      </c>
      <c r="Y3" s="12" t="str">
        <f>VLOOKUP($D3,global_toc!$C:$K,8,FALSE)</f>
        <v>11OCT17XA</v>
      </c>
      <c r="Z3" s="12">
        <f>VLOOKUP($D3,global_toc!$C:$K,9,FALSE)</f>
        <v>3180</v>
      </c>
      <c r="AA3" s="19" t="str">
        <f t="shared" ref="AA3:AA66" si="1">IF(T3="-",J3,T3)</f>
        <v>NOTE: Split into 3 variables.</v>
      </c>
    </row>
    <row r="4" spans="1:27" ht="25.5" x14ac:dyDescent="0.2">
      <c r="A4" s="12">
        <v>492</v>
      </c>
      <c r="B4" s="12">
        <v>2</v>
      </c>
      <c r="C4" s="12" t="str">
        <f t="shared" si="0"/>
        <v>UNCALDLY</v>
      </c>
      <c r="D4" s="12" t="s">
        <v>1240</v>
      </c>
      <c r="E4" s="12">
        <v>1</v>
      </c>
      <c r="F4" s="12">
        <v>1</v>
      </c>
      <c r="G4" s="12">
        <v>1</v>
      </c>
      <c r="H4" s="12" t="s">
        <v>447</v>
      </c>
      <c r="I4" s="12">
        <v>1</v>
      </c>
      <c r="J4" s="12" t="s">
        <v>53</v>
      </c>
      <c r="K4" s="12" t="s">
        <v>1347</v>
      </c>
      <c r="L4" s="23" t="s">
        <v>2453</v>
      </c>
      <c r="M4" s="13" t="s">
        <v>1464</v>
      </c>
      <c r="N4" s="13" t="s">
        <v>1342</v>
      </c>
      <c r="O4" s="12" t="s">
        <v>1342</v>
      </c>
      <c r="P4" s="12" t="s">
        <v>1342</v>
      </c>
      <c r="Q4" s="12" t="s">
        <v>1342</v>
      </c>
      <c r="R4" s="13" t="s">
        <v>1342</v>
      </c>
      <c r="S4" s="13" t="s">
        <v>1342</v>
      </c>
      <c r="T4" s="23" t="s">
        <v>1706</v>
      </c>
      <c r="U4" s="13" t="s">
        <v>1342</v>
      </c>
      <c r="V4" s="13" t="s">
        <v>1342</v>
      </c>
      <c r="W4" s="13" t="s">
        <v>1342</v>
      </c>
      <c r="X4" s="12" t="str">
        <f>VLOOKUP($D4,global_toc!$C:$K,7,FALSE)</f>
        <v>83JUN06X_</v>
      </c>
      <c r="Y4" s="12" t="str">
        <f>VLOOKUP($D4,global_toc!$C:$K,8,FALSE)</f>
        <v>84OCT31X_</v>
      </c>
      <c r="Z4" s="19">
        <f>VLOOKUP($D4,global_toc!$C:$K,9,FALSE)</f>
        <v>11</v>
      </c>
      <c r="AA4" s="19" t="str">
        <f t="shared" si="1"/>
        <v>Bad Phase Cal Delay. Removed from Obs.</v>
      </c>
    </row>
    <row r="5" spans="1:27" ht="25.5" x14ac:dyDescent="0.2">
      <c r="A5" s="12">
        <v>118</v>
      </c>
      <c r="B5" s="12">
        <v>1</v>
      </c>
      <c r="C5" s="12" t="str">
        <f t="shared" si="0"/>
        <v>CLK_CFLG</v>
      </c>
      <c r="D5" s="14" t="s">
        <v>704</v>
      </c>
      <c r="E5" s="12">
        <v>1</v>
      </c>
      <c r="F5" s="12">
        <v>1</v>
      </c>
      <c r="G5" s="12">
        <v>1</v>
      </c>
      <c r="H5" s="12" t="s">
        <v>589</v>
      </c>
      <c r="I5" s="12">
        <v>4</v>
      </c>
      <c r="J5" s="12" t="s">
        <v>705</v>
      </c>
      <c r="K5" s="12" t="s">
        <v>1340</v>
      </c>
      <c r="L5" s="23" t="s">
        <v>1847</v>
      </c>
      <c r="M5" s="13" t="s">
        <v>1467</v>
      </c>
      <c r="N5" s="13" t="s">
        <v>1342</v>
      </c>
      <c r="O5" s="12" t="s">
        <v>1342</v>
      </c>
      <c r="P5" s="12" t="s">
        <v>1342</v>
      </c>
      <c r="Q5" s="12" t="s">
        <v>1342</v>
      </c>
      <c r="R5" s="13" t="s">
        <v>1342</v>
      </c>
      <c r="S5" s="13" t="s">
        <v>1342</v>
      </c>
      <c r="T5" s="23" t="s">
        <v>1342</v>
      </c>
      <c r="U5" s="13" t="s">
        <v>1342</v>
      </c>
      <c r="V5" s="13" t="s">
        <v>1342</v>
      </c>
      <c r="W5" s="13" t="s">
        <v>1342</v>
      </c>
      <c r="X5" s="12" t="str">
        <f>VLOOKUP($D5,global_toc!$C:$K,7,FALSE)</f>
        <v>79AUG03XX</v>
      </c>
      <c r="Y5" s="12" t="str">
        <f>VLOOKUP($D5,global_toc!$C:$K,8,FALSE)</f>
        <v>11OCT17XA</v>
      </c>
      <c r="Z5" s="12">
        <f>VLOOKUP($D5,global_toc!$C:$K,9,FALSE)</f>
        <v>5029</v>
      </c>
      <c r="AA5" s="19" t="str">
        <f t="shared" si="1"/>
        <v>Clock constraint use flag.</v>
      </c>
    </row>
    <row r="6" spans="1:27" x14ac:dyDescent="0.2">
      <c r="A6" s="12">
        <v>119</v>
      </c>
      <c r="B6" s="12">
        <v>1</v>
      </c>
      <c r="C6" s="12" t="str">
        <f t="shared" si="0"/>
        <v>EXPNAME</v>
      </c>
      <c r="D6" s="12" t="s">
        <v>1739</v>
      </c>
      <c r="E6" s="12">
        <v>16</v>
      </c>
      <c r="F6" s="12">
        <v>1</v>
      </c>
      <c r="G6" s="12">
        <v>1</v>
      </c>
      <c r="H6" s="12" t="s">
        <v>589</v>
      </c>
      <c r="I6" s="12">
        <v>3</v>
      </c>
      <c r="J6" s="12" t="s">
        <v>1787</v>
      </c>
      <c r="K6" s="12" t="s">
        <v>1340</v>
      </c>
      <c r="L6" s="23" t="s">
        <v>1342</v>
      </c>
      <c r="M6" s="13" t="s">
        <v>1467</v>
      </c>
      <c r="N6" s="13" t="s">
        <v>1342</v>
      </c>
      <c r="O6" s="12" t="s">
        <v>1342</v>
      </c>
      <c r="P6" s="12" t="s">
        <v>1342</v>
      </c>
      <c r="Q6" s="12" t="s">
        <v>1342</v>
      </c>
      <c r="R6" s="13" t="s">
        <v>1342</v>
      </c>
      <c r="S6" s="13" t="s">
        <v>1342</v>
      </c>
      <c r="T6" s="23" t="s">
        <v>1342</v>
      </c>
      <c r="U6" s="13" t="s">
        <v>1342</v>
      </c>
      <c r="V6" s="13" t="s">
        <v>1342</v>
      </c>
      <c r="W6" s="13" t="s">
        <v>1342</v>
      </c>
      <c r="X6" s="12" t="str">
        <f>VLOOKUP($D6,global_toc!$C:$K,7,FALSE)</f>
        <v>99OCT18XA</v>
      </c>
      <c r="Y6" s="12" t="str">
        <f>VLOOKUP($D6,global_toc!$C:$K,8,FALSE)</f>
        <v>00OCT17XE</v>
      </c>
      <c r="Z6" s="12">
        <f>VLOOKUP($D6,global_toc!$C:$K,9,FALSE)</f>
        <v>51</v>
      </c>
      <c r="AA6" s="19" t="str">
        <f t="shared" si="1"/>
        <v>Observing program (exp.) name</v>
      </c>
    </row>
    <row r="7" spans="1:27" x14ac:dyDescent="0.2">
      <c r="A7" s="12">
        <v>122</v>
      </c>
      <c r="B7" s="12">
        <v>1</v>
      </c>
      <c r="C7" s="12" t="str">
        <f t="shared" si="0"/>
        <v>Correlator</v>
      </c>
      <c r="D7" s="14" t="s">
        <v>588</v>
      </c>
      <c r="E7" s="12">
        <v>16</v>
      </c>
      <c r="F7" s="12">
        <v>1</v>
      </c>
      <c r="G7" s="12">
        <v>1</v>
      </c>
      <c r="H7" s="12" t="s">
        <v>589</v>
      </c>
      <c r="I7" s="12">
        <v>1</v>
      </c>
      <c r="J7" s="12" t="s">
        <v>2354</v>
      </c>
      <c r="K7" s="12" t="s">
        <v>1340</v>
      </c>
      <c r="L7" s="23" t="s">
        <v>1342</v>
      </c>
      <c r="M7" s="13" t="s">
        <v>1464</v>
      </c>
      <c r="N7" s="13" t="s">
        <v>1477</v>
      </c>
      <c r="O7" s="12" t="s">
        <v>1342</v>
      </c>
      <c r="P7" s="12" t="s">
        <v>116</v>
      </c>
      <c r="Q7" s="12" t="s">
        <v>1342</v>
      </c>
      <c r="R7" s="13" t="s">
        <v>1947</v>
      </c>
      <c r="S7" s="13" t="s">
        <v>1342</v>
      </c>
      <c r="T7" s="23" t="s">
        <v>1342</v>
      </c>
      <c r="U7" s="13" t="s">
        <v>1342</v>
      </c>
      <c r="V7" s="13" t="s">
        <v>1342</v>
      </c>
      <c r="W7" s="13" t="s">
        <v>1342</v>
      </c>
      <c r="X7" s="12" t="str">
        <f>VLOOKUP($D7,global_toc!$C:$K,7,FALSE)</f>
        <v>97DEC03XN</v>
      </c>
      <c r="Y7" s="12" t="str">
        <f>VLOOKUP($D7,global_toc!$C:$K,8,FALSE)</f>
        <v>11OCT17XA</v>
      </c>
      <c r="Z7" s="12">
        <f>VLOOKUP($D7,global_toc!$C:$K,9,FALSE)</f>
        <v>1701</v>
      </c>
      <c r="AA7" s="19" t="str">
        <f t="shared" si="1"/>
        <v>Correlator name.</v>
      </c>
    </row>
    <row r="8" spans="1:27" x14ac:dyDescent="0.2">
      <c r="A8" s="12">
        <v>123</v>
      </c>
      <c r="B8" s="12">
        <v>1</v>
      </c>
      <c r="C8" s="12" t="str">
        <f t="shared" si="0"/>
        <v>CorrelatorType</v>
      </c>
      <c r="D8" s="14" t="s">
        <v>591</v>
      </c>
      <c r="E8" s="12">
        <v>4</v>
      </c>
      <c r="F8" s="12">
        <v>1</v>
      </c>
      <c r="G8" s="12">
        <v>1</v>
      </c>
      <c r="H8" s="12" t="s">
        <v>589</v>
      </c>
      <c r="I8" s="12">
        <v>1</v>
      </c>
      <c r="J8" s="12" t="s">
        <v>592</v>
      </c>
      <c r="K8" s="12" t="s">
        <v>1340</v>
      </c>
      <c r="L8" s="23" t="s">
        <v>1342</v>
      </c>
      <c r="M8" s="13" t="s">
        <v>1464</v>
      </c>
      <c r="N8" s="13" t="s">
        <v>1477</v>
      </c>
      <c r="O8" s="12" t="s">
        <v>1342</v>
      </c>
      <c r="P8" s="12" t="s">
        <v>116</v>
      </c>
      <c r="Q8" s="12" t="s">
        <v>1342</v>
      </c>
      <c r="R8" s="13" t="s">
        <v>1948</v>
      </c>
      <c r="S8" s="13" t="s">
        <v>1342</v>
      </c>
      <c r="T8" s="23" t="s">
        <v>1342</v>
      </c>
      <c r="U8" s="13" t="s">
        <v>1342</v>
      </c>
      <c r="V8" s="13" t="s">
        <v>1342</v>
      </c>
      <c r="W8" s="13" t="s">
        <v>1342</v>
      </c>
      <c r="X8" s="12" t="str">
        <f>VLOOKUP($D8,global_toc!$C:$K,7,FALSE)</f>
        <v>94JUL08XV</v>
      </c>
      <c r="Y8" s="12" t="str">
        <f>VLOOKUP($D8,global_toc!$C:$K,8,FALSE)</f>
        <v>11OCT17XA</v>
      </c>
      <c r="Z8" s="12">
        <f>VLOOKUP($D8,global_toc!$C:$K,9,FALSE)</f>
        <v>1784</v>
      </c>
      <c r="AA8" s="19" t="str">
        <f t="shared" si="1"/>
        <v>Correlator type: MK3/MK4/K4 etc.</v>
      </c>
    </row>
    <row r="9" spans="1:27" x14ac:dyDescent="0.2">
      <c r="A9" s="12">
        <v>125</v>
      </c>
      <c r="B9" s="12">
        <v>1</v>
      </c>
      <c r="C9" s="12" t="str">
        <f t="shared" si="0"/>
        <v>ExpDescription</v>
      </c>
      <c r="D9" s="14" t="s">
        <v>595</v>
      </c>
      <c r="E9" s="12">
        <v>40</v>
      </c>
      <c r="F9" s="12">
        <v>1</v>
      </c>
      <c r="G9" s="12">
        <v>1</v>
      </c>
      <c r="H9" s="12" t="s">
        <v>589</v>
      </c>
      <c r="I9" s="12">
        <v>1</v>
      </c>
      <c r="J9" s="12" t="s">
        <v>2339</v>
      </c>
      <c r="K9" s="12" t="s">
        <v>1340</v>
      </c>
      <c r="L9" s="23" t="s">
        <v>1342</v>
      </c>
      <c r="M9" s="13" t="s">
        <v>1464</v>
      </c>
      <c r="N9" s="13" t="s">
        <v>1477</v>
      </c>
      <c r="O9" s="12" t="s">
        <v>1342</v>
      </c>
      <c r="P9" s="12" t="s">
        <v>116</v>
      </c>
      <c r="Q9" s="12" t="s">
        <v>1342</v>
      </c>
      <c r="R9" s="13" t="s">
        <v>1944</v>
      </c>
      <c r="S9" s="13" t="s">
        <v>1342</v>
      </c>
      <c r="T9" s="23" t="s">
        <v>1342</v>
      </c>
      <c r="U9" s="13" t="s">
        <v>1342</v>
      </c>
      <c r="V9" s="13" t="s">
        <v>1342</v>
      </c>
      <c r="W9" s="13" t="s">
        <v>1342</v>
      </c>
      <c r="X9" s="12" t="str">
        <f>VLOOKUP($D9,global_toc!$C:$K,7,FALSE)</f>
        <v>97DEC03XN</v>
      </c>
      <c r="Y9" s="12" t="str">
        <f>VLOOKUP($D9,global_toc!$C:$K,8,FALSE)</f>
        <v>11OCT17XA</v>
      </c>
      <c r="Z9" s="12">
        <f>VLOOKUP($D9,global_toc!$C:$K,9,FALSE)</f>
        <v>1651</v>
      </c>
      <c r="AA9" s="19" t="str">
        <f t="shared" si="1"/>
        <v>Experiment description.</v>
      </c>
    </row>
    <row r="10" spans="1:27" x14ac:dyDescent="0.2">
      <c r="A10" s="12">
        <v>124</v>
      </c>
      <c r="B10" s="12">
        <v>1</v>
      </c>
      <c r="C10" s="12" t="str">
        <f t="shared" si="0"/>
        <v>ExpName</v>
      </c>
      <c r="D10" s="14" t="s">
        <v>593</v>
      </c>
      <c r="E10" s="12">
        <v>16</v>
      </c>
      <c r="F10" s="12">
        <v>1</v>
      </c>
      <c r="G10" s="12">
        <v>1</v>
      </c>
      <c r="H10" s="12" t="s">
        <v>589</v>
      </c>
      <c r="I10" s="12">
        <v>1</v>
      </c>
      <c r="J10" s="12" t="s">
        <v>2355</v>
      </c>
      <c r="K10" s="12" t="s">
        <v>1340</v>
      </c>
      <c r="L10" s="23" t="s">
        <v>1342</v>
      </c>
      <c r="M10" s="13" t="s">
        <v>1464</v>
      </c>
      <c r="N10" s="13" t="s">
        <v>1477</v>
      </c>
      <c r="O10" s="12" t="s">
        <v>1342</v>
      </c>
      <c r="P10" s="12" t="s">
        <v>116</v>
      </c>
      <c r="Q10" s="12" t="s">
        <v>1342</v>
      </c>
      <c r="R10" s="13" t="s">
        <v>1946</v>
      </c>
      <c r="S10" s="13" t="s">
        <v>1342</v>
      </c>
      <c r="T10" s="23" t="s">
        <v>1342</v>
      </c>
      <c r="U10" s="13" t="s">
        <v>1342</v>
      </c>
      <c r="V10" s="13" t="s">
        <v>1342</v>
      </c>
      <c r="W10" s="13" t="s">
        <v>1342</v>
      </c>
      <c r="X10" s="12" t="str">
        <f>VLOOKUP($D10,global_toc!$C:$K,7,FALSE)</f>
        <v>97DEC03XN</v>
      </c>
      <c r="Y10" s="12" t="str">
        <f>VLOOKUP($D10,global_toc!$C:$K,8,FALSE)</f>
        <v>11OCT17XA</v>
      </c>
      <c r="Z10" s="12">
        <f>VLOOKUP($D10,global_toc!$C:$K,9,FALSE)</f>
        <v>1651</v>
      </c>
      <c r="AA10" s="19" t="str">
        <f t="shared" si="1"/>
        <v>Experiment name.</v>
      </c>
    </row>
    <row r="11" spans="1:27" x14ac:dyDescent="0.2">
      <c r="A11" s="12">
        <v>126</v>
      </c>
      <c r="B11" s="12">
        <v>1</v>
      </c>
      <c r="C11" s="12" t="str">
        <f t="shared" si="0"/>
        <v>ExpSerialNumber</v>
      </c>
      <c r="D11" s="14" t="s">
        <v>543</v>
      </c>
      <c r="E11" s="12">
        <v>1</v>
      </c>
      <c r="F11" s="12">
        <v>1</v>
      </c>
      <c r="G11" s="12">
        <v>1</v>
      </c>
      <c r="H11" s="12" t="s">
        <v>544</v>
      </c>
      <c r="I11" s="12">
        <v>1</v>
      </c>
      <c r="J11" s="12" t="s">
        <v>2312</v>
      </c>
      <c r="K11" s="12" t="s">
        <v>1340</v>
      </c>
      <c r="L11" s="23" t="s">
        <v>1342</v>
      </c>
      <c r="M11" s="13" t="s">
        <v>1464</v>
      </c>
      <c r="N11" s="13" t="s">
        <v>1477</v>
      </c>
      <c r="O11" s="12" t="s">
        <v>1342</v>
      </c>
      <c r="P11" s="12" t="s">
        <v>116</v>
      </c>
      <c r="Q11" s="12" t="s">
        <v>1342</v>
      </c>
      <c r="R11" s="13" t="s">
        <v>1945</v>
      </c>
      <c r="S11" s="13" t="s">
        <v>1342</v>
      </c>
      <c r="T11" s="23" t="s">
        <v>1342</v>
      </c>
      <c r="U11" s="13" t="s">
        <v>1342</v>
      </c>
      <c r="V11" s="13" t="s">
        <v>1342</v>
      </c>
      <c r="W11" s="13" t="s">
        <v>1342</v>
      </c>
      <c r="X11" s="12" t="str">
        <f>VLOOKUP($D11,global_toc!$C:$K,7,FALSE)</f>
        <v>94JUL08XV</v>
      </c>
      <c r="Y11" s="12" t="str">
        <f>VLOOKUP($D11,global_toc!$C:$K,8,FALSE)</f>
        <v>11OCT17XA</v>
      </c>
      <c r="Z11" s="12">
        <f>VLOOKUP($D11,global_toc!$C:$K,9,FALSE)</f>
        <v>1734</v>
      </c>
      <c r="AA11" s="19" t="str">
        <f t="shared" si="1"/>
        <v>Experiment Serial Number.</v>
      </c>
    </row>
    <row r="12" spans="1:27" ht="25.5" x14ac:dyDescent="0.2">
      <c r="A12" s="12">
        <v>128</v>
      </c>
      <c r="B12" s="12">
        <v>1</v>
      </c>
      <c r="C12" s="12" t="str">
        <f t="shared" si="0"/>
        <v>iUTCInterval</v>
      </c>
      <c r="D12" s="14" t="s">
        <v>554</v>
      </c>
      <c r="E12" s="12">
        <v>5</v>
      </c>
      <c r="F12" s="12">
        <v>2</v>
      </c>
      <c r="G12" s="12">
        <v>1</v>
      </c>
      <c r="H12" s="12" t="s">
        <v>544</v>
      </c>
      <c r="I12" s="12">
        <v>1</v>
      </c>
      <c r="J12" s="12" t="s">
        <v>1679</v>
      </c>
      <c r="K12" s="12" t="s">
        <v>1340</v>
      </c>
      <c r="L12" s="23" t="s">
        <v>1469</v>
      </c>
      <c r="M12" s="13" t="s">
        <v>1464</v>
      </c>
      <c r="N12" s="13" t="s">
        <v>1477</v>
      </c>
      <c r="O12" s="12" t="s">
        <v>1342</v>
      </c>
      <c r="P12" s="12" t="s">
        <v>116</v>
      </c>
      <c r="Q12" s="12" t="s">
        <v>1342</v>
      </c>
      <c r="R12" s="13" t="s">
        <v>1917</v>
      </c>
      <c r="S12" s="13" t="s">
        <v>1342</v>
      </c>
      <c r="T12" s="23" t="s">
        <v>1918</v>
      </c>
      <c r="U12" s="13" t="s">
        <v>1342</v>
      </c>
      <c r="V12" s="13" t="s">
        <v>1342</v>
      </c>
      <c r="W12" s="13" t="s">
        <v>1342</v>
      </c>
      <c r="X12" s="12" t="str">
        <f>VLOOKUP($D12,global_toc!$C:$K,7,FALSE)</f>
        <v>89FEB22DX</v>
      </c>
      <c r="Y12" s="12" t="str">
        <f>VLOOKUP($D12,global_toc!$C:$K,8,FALSE)</f>
        <v>11OCT17XA</v>
      </c>
      <c r="Z12" s="12">
        <f>VLOOKUP($D12,global_toc!$C:$K,9,FALSE)</f>
        <v>1915</v>
      </c>
      <c r="AA12" s="19" t="str">
        <f t="shared" si="1"/>
        <v xml:space="preserve">First and last UTC time tag in input file. </v>
      </c>
    </row>
    <row r="13" spans="1:27" ht="15.75" customHeight="1" x14ac:dyDescent="0.2">
      <c r="A13" s="12">
        <v>127</v>
      </c>
      <c r="B13" s="12">
        <v>1</v>
      </c>
      <c r="C13" s="12" t="str">
        <f t="shared" si="0"/>
        <v>iUTCInterval</v>
      </c>
      <c r="D13" s="14" t="s">
        <v>556</v>
      </c>
      <c r="E13" s="12">
        <v>5</v>
      </c>
      <c r="F13" s="12">
        <v>2</v>
      </c>
      <c r="G13" s="12">
        <v>1</v>
      </c>
      <c r="H13" s="12" t="s">
        <v>544</v>
      </c>
      <c r="I13" s="12">
        <v>1</v>
      </c>
      <c r="J13" s="12" t="s">
        <v>1678</v>
      </c>
      <c r="K13" s="12" t="s">
        <v>1340</v>
      </c>
      <c r="L13" s="23" t="s">
        <v>1342</v>
      </c>
      <c r="M13" s="13" t="s">
        <v>1464</v>
      </c>
      <c r="N13" s="13" t="s">
        <v>1477</v>
      </c>
      <c r="O13" s="12" t="s">
        <v>1342</v>
      </c>
      <c r="P13" s="12" t="s">
        <v>116</v>
      </c>
      <c r="Q13" s="12" t="s">
        <v>1342</v>
      </c>
      <c r="R13" s="13" t="s">
        <v>1917</v>
      </c>
      <c r="S13" s="13" t="s">
        <v>1342</v>
      </c>
      <c r="T13" s="23" t="s">
        <v>1918</v>
      </c>
      <c r="U13" s="13" t="s">
        <v>1342</v>
      </c>
      <c r="V13" s="13" t="s">
        <v>1342</v>
      </c>
      <c r="W13" s="13" t="s">
        <v>1342</v>
      </c>
      <c r="X13" s="12" t="str">
        <f>VLOOKUP($D13,global_toc!$C:$K,7,FALSE)</f>
        <v>79AUG03XX</v>
      </c>
      <c r="Y13" s="12" t="str">
        <f>VLOOKUP($D13,global_toc!$C:$K,8,FALSE)</f>
        <v>11OCT17XA</v>
      </c>
      <c r="Z13" s="12">
        <f>VLOOKUP($D13,global_toc!$C:$K,9,FALSE)</f>
        <v>5029</v>
      </c>
      <c r="AA13" s="19" t="str">
        <f t="shared" si="1"/>
        <v xml:space="preserve">First and last UTC time tag in input file. </v>
      </c>
    </row>
    <row r="14" spans="1:27" x14ac:dyDescent="0.2">
      <c r="A14" s="12">
        <v>130</v>
      </c>
      <c r="B14" s="12">
        <v>1</v>
      </c>
      <c r="C14" s="12" t="str">
        <f t="shared" si="0"/>
        <v>NumObs</v>
      </c>
      <c r="D14" s="14" t="s">
        <v>552</v>
      </c>
      <c r="E14" s="12">
        <v>1</v>
      </c>
      <c r="F14" s="12">
        <v>1</v>
      </c>
      <c r="G14" s="12">
        <v>1</v>
      </c>
      <c r="H14" s="12" t="s">
        <v>544</v>
      </c>
      <c r="I14" s="12">
        <v>4</v>
      </c>
      <c r="J14" s="12" t="s">
        <v>553</v>
      </c>
      <c r="K14" s="12" t="s">
        <v>1340</v>
      </c>
      <c r="L14" s="23" t="s">
        <v>1342</v>
      </c>
      <c r="M14" s="13" t="s">
        <v>1467</v>
      </c>
      <c r="N14" s="13" t="s">
        <v>1477</v>
      </c>
      <c r="O14" s="12" t="s">
        <v>1342</v>
      </c>
      <c r="P14" s="12" t="s">
        <v>116</v>
      </c>
      <c r="Q14" s="12" t="s">
        <v>1342</v>
      </c>
      <c r="R14" s="13" t="s">
        <v>1537</v>
      </c>
      <c r="S14" s="13" t="s">
        <v>1342</v>
      </c>
      <c r="T14" s="23" t="s">
        <v>1342</v>
      </c>
      <c r="U14" s="13" t="s">
        <v>1342</v>
      </c>
      <c r="V14" s="13" t="s">
        <v>1342</v>
      </c>
      <c r="W14" s="13" t="s">
        <v>1342</v>
      </c>
      <c r="X14" s="12" t="str">
        <f>VLOOKUP($D14,global_toc!$C:$K,7,FALSE)</f>
        <v>79AUG03XX</v>
      </c>
      <c r="Y14" s="12" t="str">
        <f>VLOOKUP($D14,global_toc!$C:$K,8,FALSE)</f>
        <v>11OCT17XA</v>
      </c>
      <c r="Z14" s="12">
        <f>VLOOKUP($D14,global_toc!$C:$K,9,FALSE)</f>
        <v>5029</v>
      </c>
      <c r="AA14" s="19" t="str">
        <f t="shared" si="1"/>
        <v>Number of observations in file.</v>
      </c>
    </row>
    <row r="15" spans="1:27" ht="38.25" x14ac:dyDescent="0.2">
      <c r="A15" s="12">
        <v>129</v>
      </c>
      <c r="B15" s="12">
        <v>1</v>
      </c>
      <c r="C15" s="12" t="str">
        <f t="shared" si="0"/>
        <v>NumObs</v>
      </c>
      <c r="D15" s="14" t="s">
        <v>730</v>
      </c>
      <c r="E15" s="12">
        <v>1</v>
      </c>
      <c r="F15" s="12">
        <v>1</v>
      </c>
      <c r="G15" s="12">
        <v>1</v>
      </c>
      <c r="H15" s="12" t="s">
        <v>731</v>
      </c>
      <c r="I15" s="12">
        <v>4</v>
      </c>
      <c r="J15" s="12" t="s">
        <v>732</v>
      </c>
      <c r="K15" s="12" t="s">
        <v>1340</v>
      </c>
      <c r="L15" s="23" t="s">
        <v>1949</v>
      </c>
      <c r="M15" s="13" t="s">
        <v>1467</v>
      </c>
      <c r="N15" s="13" t="s">
        <v>1477</v>
      </c>
      <c r="O15" s="12" t="s">
        <v>1342</v>
      </c>
      <c r="P15" s="12" t="s">
        <v>116</v>
      </c>
      <c r="Q15" s="12" t="s">
        <v>1342</v>
      </c>
      <c r="R15" s="13" t="s">
        <v>1537</v>
      </c>
      <c r="S15" s="13" t="s">
        <v>1342</v>
      </c>
      <c r="T15" s="23" t="s">
        <v>1342</v>
      </c>
      <c r="U15" s="13" t="s">
        <v>1342</v>
      </c>
      <c r="V15" s="13" t="s">
        <v>1342</v>
      </c>
      <c r="W15" s="13" t="s">
        <v>1342</v>
      </c>
      <c r="X15" s="12" t="str">
        <f>VLOOKUP($D15,global_toc!$C:$K,7,FALSE)</f>
        <v>79AUG03XX</v>
      </c>
      <c r="Y15" s="12" t="str">
        <f>VLOOKUP($D15,global_toc!$C:$K,8,FALSE)</f>
        <v>11OCT17XA</v>
      </c>
      <c r="Z15" s="12">
        <f>VLOOKUP($D15,global_toc!$C:$K,9,FALSE)</f>
        <v>2598</v>
      </c>
      <c r="AA15" s="19" t="str">
        <f t="shared" si="1"/>
        <v>Number of observations (I*4)</v>
      </c>
    </row>
    <row r="16" spans="1:27" x14ac:dyDescent="0.2">
      <c r="A16" s="12">
        <v>131</v>
      </c>
      <c r="B16" s="12" t="s">
        <v>1655</v>
      </c>
      <c r="C16" s="12" t="str">
        <f t="shared" si="0"/>
        <v>NumScan</v>
      </c>
      <c r="D16" s="14" t="s">
        <v>2106</v>
      </c>
      <c r="E16" s="12">
        <v>1</v>
      </c>
      <c r="F16" s="12">
        <v>1</v>
      </c>
      <c r="G16" s="12">
        <v>1</v>
      </c>
      <c r="H16" s="12" t="s">
        <v>731</v>
      </c>
      <c r="I16" s="12">
        <v>1</v>
      </c>
      <c r="J16" s="12" t="s">
        <v>2107</v>
      </c>
      <c r="K16" s="12" t="s">
        <v>1340</v>
      </c>
      <c r="L16" s="23" t="s">
        <v>1342</v>
      </c>
      <c r="M16" s="13" t="s">
        <v>1467</v>
      </c>
      <c r="N16" s="13" t="s">
        <v>1477</v>
      </c>
      <c r="O16" s="12" t="s">
        <v>1342</v>
      </c>
      <c r="P16" s="12" t="s">
        <v>116</v>
      </c>
      <c r="Q16" s="12" t="s">
        <v>1342</v>
      </c>
      <c r="R16" s="13" t="s">
        <v>2106</v>
      </c>
      <c r="S16" s="13" t="s">
        <v>1342</v>
      </c>
      <c r="T16" s="23" t="s">
        <v>1342</v>
      </c>
      <c r="U16" s="13" t="s">
        <v>1342</v>
      </c>
      <c r="V16" s="13" t="s">
        <v>1342</v>
      </c>
      <c r="W16" s="13" t="s">
        <v>1342</v>
      </c>
      <c r="X16" s="12" t="e">
        <f>VLOOKUP($D16,global_toc!$C:$K,7,FALSE)</f>
        <v>#N/A</v>
      </c>
      <c r="Y16" s="12" t="e">
        <f>VLOOKUP($D16,global_toc!$C:$K,8,FALSE)</f>
        <v>#N/A</v>
      </c>
      <c r="Z16" s="12" t="e">
        <f>VLOOKUP($D16,global_toc!$C:$K,9,FALSE)</f>
        <v>#N/A</v>
      </c>
      <c r="AA16" s="19" t="str">
        <f t="shared" si="1"/>
        <v>Number of Scans (Integer*4)</v>
      </c>
    </row>
    <row r="17" spans="1:27" x14ac:dyDescent="0.2">
      <c r="A17" s="12">
        <v>121</v>
      </c>
      <c r="B17" s="12">
        <v>1</v>
      </c>
      <c r="C17" s="12" t="str">
        <f t="shared" si="0"/>
        <v>NumSource</v>
      </c>
      <c r="D17" s="14" t="s">
        <v>550</v>
      </c>
      <c r="E17" s="12">
        <v>1</v>
      </c>
      <c r="F17" s="12">
        <v>1</v>
      </c>
      <c r="G17" s="12">
        <v>1</v>
      </c>
      <c r="H17" s="12" t="s">
        <v>544</v>
      </c>
      <c r="I17" s="12">
        <v>1</v>
      </c>
      <c r="J17" s="12" t="s">
        <v>551</v>
      </c>
      <c r="K17" s="12" t="s">
        <v>1340</v>
      </c>
      <c r="L17" s="23" t="s">
        <v>1342</v>
      </c>
      <c r="M17" s="13" t="s">
        <v>447</v>
      </c>
      <c r="N17" s="13" t="s">
        <v>1477</v>
      </c>
      <c r="O17" s="12" t="s">
        <v>1342</v>
      </c>
      <c r="P17" s="12" t="s">
        <v>116</v>
      </c>
      <c r="Q17" s="12" t="s">
        <v>1342</v>
      </c>
      <c r="R17" s="13" t="s">
        <v>1536</v>
      </c>
      <c r="S17" s="13" t="s">
        <v>1342</v>
      </c>
      <c r="T17" s="23" t="s">
        <v>1342</v>
      </c>
      <c r="U17" s="13" t="s">
        <v>1342</v>
      </c>
      <c r="V17" s="13" t="s">
        <v>1342</v>
      </c>
      <c r="W17" s="13" t="s">
        <v>1342</v>
      </c>
      <c r="X17" s="12" t="str">
        <f>VLOOKUP($D17,global_toc!$C:$K,7,FALSE)</f>
        <v>79AUG03XX</v>
      </c>
      <c r="Y17" s="12" t="str">
        <f>VLOOKUP($D17,global_toc!$C:$K,8,FALSE)</f>
        <v>11OCT17XA</v>
      </c>
      <c r="Z17" s="12">
        <f>VLOOKUP($D17,global_toc!$C:$K,9,FALSE)</f>
        <v>5029</v>
      </c>
      <c r="AA17" s="19" t="str">
        <f t="shared" si="1"/>
        <v>Number of radio sources.</v>
      </c>
    </row>
    <row r="18" spans="1:27" x14ac:dyDescent="0.2">
      <c r="A18" s="12">
        <v>120</v>
      </c>
      <c r="B18" s="12">
        <v>1</v>
      </c>
      <c r="C18" s="12" t="str">
        <f t="shared" si="0"/>
        <v>NumStation</v>
      </c>
      <c r="D18" s="14" t="s">
        <v>548</v>
      </c>
      <c r="E18" s="12">
        <v>1</v>
      </c>
      <c r="F18" s="12">
        <v>1</v>
      </c>
      <c r="G18" s="12">
        <v>1</v>
      </c>
      <c r="H18" s="12" t="s">
        <v>544</v>
      </c>
      <c r="I18" s="12">
        <v>1</v>
      </c>
      <c r="J18" s="12" t="s">
        <v>549</v>
      </c>
      <c r="K18" s="12" t="s">
        <v>1340</v>
      </c>
      <c r="L18" s="23" t="s">
        <v>1342</v>
      </c>
      <c r="M18" s="13" t="s">
        <v>447</v>
      </c>
      <c r="N18" s="13" t="s">
        <v>1477</v>
      </c>
      <c r="O18" s="12" t="s">
        <v>1342</v>
      </c>
      <c r="P18" s="12" t="s">
        <v>116</v>
      </c>
      <c r="Q18" s="12" t="s">
        <v>1342</v>
      </c>
      <c r="R18" s="13" t="s">
        <v>1535</v>
      </c>
      <c r="S18" s="13" t="s">
        <v>1342</v>
      </c>
      <c r="T18" s="23" t="s">
        <v>1342</v>
      </c>
      <c r="U18" s="13" t="s">
        <v>1342</v>
      </c>
      <c r="V18" s="13" t="s">
        <v>1342</v>
      </c>
      <c r="W18" s="13" t="s">
        <v>1342</v>
      </c>
      <c r="X18" s="12" t="str">
        <f>VLOOKUP($D18,global_toc!$C:$K,7,FALSE)</f>
        <v>79AUG03XX</v>
      </c>
      <c r="Y18" s="12" t="str">
        <f>VLOOKUP($D18,global_toc!$C:$K,8,FALSE)</f>
        <v>11OCT17XA</v>
      </c>
      <c r="Z18" s="12">
        <f>VLOOKUP($D18,global_toc!$C:$K,9,FALSE)</f>
        <v>5029</v>
      </c>
      <c r="AA18" s="19" t="str">
        <f t="shared" si="1"/>
        <v>Number of sites.</v>
      </c>
    </row>
    <row r="19" spans="1:27" x14ac:dyDescent="0.2">
      <c r="A19" s="12">
        <v>132</v>
      </c>
      <c r="B19" s="12">
        <v>1</v>
      </c>
      <c r="C19" s="12" t="str">
        <f t="shared" si="0"/>
        <v>PrincipalInvestigator</v>
      </c>
      <c r="D19" s="14" t="s">
        <v>601</v>
      </c>
      <c r="E19" s="12">
        <v>40</v>
      </c>
      <c r="F19" s="12">
        <v>1</v>
      </c>
      <c r="G19" s="12">
        <v>1</v>
      </c>
      <c r="H19" s="12" t="s">
        <v>589</v>
      </c>
      <c r="I19" s="12">
        <v>1</v>
      </c>
      <c r="J19" s="12" t="s">
        <v>2297</v>
      </c>
      <c r="K19" s="12" t="s">
        <v>1340</v>
      </c>
      <c r="L19" s="23" t="s">
        <v>1342</v>
      </c>
      <c r="M19" s="13" t="s">
        <v>1464</v>
      </c>
      <c r="N19" s="13" t="s">
        <v>1477</v>
      </c>
      <c r="O19" s="12" t="s">
        <v>1342</v>
      </c>
      <c r="P19" s="12" t="s">
        <v>116</v>
      </c>
      <c r="Q19" s="12" t="s">
        <v>1342</v>
      </c>
      <c r="R19" s="13" t="s">
        <v>2124</v>
      </c>
      <c r="S19" s="13" t="s">
        <v>1342</v>
      </c>
      <c r="T19" s="23" t="s">
        <v>1342</v>
      </c>
      <c r="U19" s="13" t="s">
        <v>1342</v>
      </c>
      <c r="V19" s="13" t="s">
        <v>1342</v>
      </c>
      <c r="W19" s="13" t="s">
        <v>1342</v>
      </c>
      <c r="X19" s="12" t="str">
        <f>VLOOKUP($D19,global_toc!$C:$K,7,FALSE)</f>
        <v>97DEC03XN</v>
      </c>
      <c r="Y19" s="12" t="str">
        <f>VLOOKUP($D19,global_toc!$C:$K,8,FALSE)</f>
        <v>11OCT17XA</v>
      </c>
      <c r="Z19" s="12">
        <f>VLOOKUP($D19,global_toc!$C:$K,9,FALSE)</f>
        <v>1651</v>
      </c>
      <c r="AA19" s="19" t="str">
        <f t="shared" si="1"/>
        <v>Agency/contact_person/PI name.</v>
      </c>
    </row>
    <row r="20" spans="1:27" x14ac:dyDescent="0.2">
      <c r="A20" s="12">
        <v>133</v>
      </c>
      <c r="B20" s="12">
        <v>1</v>
      </c>
      <c r="C20" s="12" t="str">
        <f t="shared" si="0"/>
        <v>RecordingMode</v>
      </c>
      <c r="D20" s="14" t="s">
        <v>603</v>
      </c>
      <c r="E20" s="12">
        <v>40</v>
      </c>
      <c r="F20" s="12">
        <v>1</v>
      </c>
      <c r="G20" s="12">
        <v>1</v>
      </c>
      <c r="H20" s="12" t="s">
        <v>589</v>
      </c>
      <c r="I20" s="12">
        <v>1</v>
      </c>
      <c r="J20" s="12" t="s">
        <v>2356</v>
      </c>
      <c r="K20" s="12" t="s">
        <v>1340</v>
      </c>
      <c r="L20" s="23" t="s">
        <v>1342</v>
      </c>
      <c r="M20" s="13" t="s">
        <v>1464</v>
      </c>
      <c r="N20" s="13" t="s">
        <v>1490</v>
      </c>
      <c r="O20" s="12" t="s">
        <v>1342</v>
      </c>
      <c r="P20" s="12" t="s">
        <v>116</v>
      </c>
      <c r="Q20" s="12" t="s">
        <v>1342</v>
      </c>
      <c r="R20" s="13" t="s">
        <v>1943</v>
      </c>
      <c r="S20" s="13" t="s">
        <v>1342</v>
      </c>
      <c r="T20" s="23" t="s">
        <v>1342</v>
      </c>
      <c r="U20" s="13" t="s">
        <v>1342</v>
      </c>
      <c r="V20" s="13" t="s">
        <v>1342</v>
      </c>
      <c r="W20" s="13" t="s">
        <v>1342</v>
      </c>
      <c r="X20" s="12" t="str">
        <f>VLOOKUP($D20,global_toc!$C:$K,7,FALSE)</f>
        <v>94JUL08XV</v>
      </c>
      <c r="Y20" s="12" t="str">
        <f>VLOOKUP($D20,global_toc!$C:$K,8,FALSE)</f>
        <v>11OCT17XA</v>
      </c>
      <c r="Z20" s="12">
        <f>VLOOKUP($D20,global_toc!$C:$K,9,FALSE)</f>
        <v>1734</v>
      </c>
      <c r="AA20" s="19" t="str">
        <f t="shared" si="1"/>
        <v>Recoding mode.</v>
      </c>
    </row>
    <row r="21" spans="1:27" x14ac:dyDescent="0.2">
      <c r="A21" s="12">
        <v>135</v>
      </c>
      <c r="B21" s="12" t="s">
        <v>1655</v>
      </c>
      <c r="C21" s="12" t="str">
        <f t="shared" si="0"/>
        <v>SourceList</v>
      </c>
      <c r="D21" s="12" t="s">
        <v>2194</v>
      </c>
      <c r="E21" s="12">
        <v>4</v>
      </c>
      <c r="F21" s="12">
        <v>70</v>
      </c>
      <c r="G21" s="12">
        <v>1</v>
      </c>
      <c r="H21" s="12" t="s">
        <v>589</v>
      </c>
      <c r="I21" s="12">
        <v>1</v>
      </c>
      <c r="J21" s="12" t="s">
        <v>610</v>
      </c>
      <c r="K21" s="12" t="s">
        <v>1340</v>
      </c>
      <c r="L21" s="23" t="s">
        <v>1342</v>
      </c>
      <c r="M21" s="13" t="s">
        <v>1464</v>
      </c>
      <c r="N21" s="13" t="s">
        <v>1477</v>
      </c>
      <c r="O21" s="12" t="s">
        <v>1342</v>
      </c>
      <c r="P21" s="12" t="s">
        <v>116</v>
      </c>
      <c r="Q21" s="12" t="s">
        <v>1342</v>
      </c>
      <c r="R21" s="12" t="s">
        <v>2194</v>
      </c>
      <c r="S21" s="13" t="s">
        <v>1342</v>
      </c>
      <c r="T21" s="23" t="s">
        <v>1342</v>
      </c>
      <c r="U21" s="13" t="s">
        <v>1342</v>
      </c>
      <c r="V21" s="13" t="s">
        <v>1342</v>
      </c>
      <c r="W21" s="13" t="s">
        <v>1342</v>
      </c>
      <c r="X21" s="12" t="e">
        <f>VLOOKUP($D21,global_toc!$C:$K,7,FALSE)</f>
        <v>#N/A</v>
      </c>
      <c r="Y21" s="12" t="e">
        <f>VLOOKUP($D21,global_toc!$C:$K,8,FALSE)</f>
        <v>#N/A</v>
      </c>
      <c r="Z21" s="12" t="e">
        <f>VLOOKUP($D21,global_toc!$C:$K,9,FALSE)</f>
        <v>#N/A</v>
      </c>
      <c r="AA21" s="19" t="str">
        <f t="shared" si="1"/>
        <v>Source names array.</v>
      </c>
    </row>
    <row r="22" spans="1:27" x14ac:dyDescent="0.2">
      <c r="A22" s="12">
        <v>134</v>
      </c>
      <c r="B22" s="12" t="s">
        <v>1655</v>
      </c>
      <c r="C22" s="12" t="str">
        <f t="shared" si="0"/>
        <v>StationList</v>
      </c>
      <c r="D22" s="12" t="s">
        <v>2193</v>
      </c>
      <c r="E22" s="12">
        <v>4</v>
      </c>
      <c r="F22" s="12">
        <v>11</v>
      </c>
      <c r="G22" s="12">
        <v>1</v>
      </c>
      <c r="H22" s="12" t="s">
        <v>589</v>
      </c>
      <c r="I22" s="12">
        <v>1</v>
      </c>
      <c r="J22" s="12" t="s">
        <v>608</v>
      </c>
      <c r="K22" s="12" t="s">
        <v>1340</v>
      </c>
      <c r="L22" s="23" t="s">
        <v>1342</v>
      </c>
      <c r="M22" s="13" t="s">
        <v>1464</v>
      </c>
      <c r="N22" s="13" t="s">
        <v>1477</v>
      </c>
      <c r="O22" s="12" t="s">
        <v>1342</v>
      </c>
      <c r="P22" s="12" t="s">
        <v>116</v>
      </c>
      <c r="Q22" s="12" t="s">
        <v>1342</v>
      </c>
      <c r="R22" s="12" t="s">
        <v>2193</v>
      </c>
      <c r="S22" s="13" t="s">
        <v>1342</v>
      </c>
      <c r="T22" s="23" t="s">
        <v>1342</v>
      </c>
      <c r="U22" s="13" t="s">
        <v>1342</v>
      </c>
      <c r="V22" s="13" t="s">
        <v>1342</v>
      </c>
      <c r="W22" s="13" t="s">
        <v>1342</v>
      </c>
      <c r="X22" s="12" t="e">
        <f>VLOOKUP($D22,global_toc!$C:$K,7,FALSE)</f>
        <v>#N/A</v>
      </c>
      <c r="Y22" s="12" t="e">
        <f>VLOOKUP($D22,global_toc!$C:$K,8,FALSE)</f>
        <v>#N/A</v>
      </c>
      <c r="Z22" s="12" t="e">
        <f>VLOOKUP($D22,global_toc!$C:$K,9,FALSE)</f>
        <v>#N/A</v>
      </c>
      <c r="AA22" s="19" t="str">
        <f t="shared" si="1"/>
        <v>Site names array.</v>
      </c>
    </row>
    <row r="23" spans="1:27" x14ac:dyDescent="0.2">
      <c r="A23" s="12">
        <v>266</v>
      </c>
      <c r="B23" s="12">
        <v>2</v>
      </c>
      <c r="C23" s="12" t="str">
        <f t="shared" si="0"/>
        <v>AzTheo</v>
      </c>
      <c r="D23" s="14" t="s">
        <v>805</v>
      </c>
      <c r="E23" s="12">
        <v>2</v>
      </c>
      <c r="F23" s="12">
        <v>2</v>
      </c>
      <c r="G23" s="12">
        <v>1</v>
      </c>
      <c r="H23" s="12" t="s">
        <v>447</v>
      </c>
      <c r="I23" s="12">
        <v>5</v>
      </c>
      <c r="J23" s="12" t="s">
        <v>806</v>
      </c>
      <c r="K23" s="12" t="s">
        <v>438</v>
      </c>
      <c r="L23" s="23" t="s">
        <v>1342</v>
      </c>
      <c r="M23" s="13" t="s">
        <v>1464</v>
      </c>
      <c r="N23" s="13" t="s">
        <v>1477</v>
      </c>
      <c r="O23" s="12" t="s">
        <v>1342</v>
      </c>
      <c r="P23" s="12" t="s">
        <v>117</v>
      </c>
      <c r="Q23" s="12" t="s">
        <v>1342</v>
      </c>
      <c r="R23" s="13" t="s">
        <v>1478</v>
      </c>
      <c r="S23" s="13" t="s">
        <v>1342</v>
      </c>
      <c r="T23" s="23" t="s">
        <v>1342</v>
      </c>
      <c r="U23" s="13">
        <v>2</v>
      </c>
      <c r="V23" s="13" t="s">
        <v>1480</v>
      </c>
      <c r="W23" s="13" t="s">
        <v>2457</v>
      </c>
      <c r="X23" s="12" t="str">
        <f>VLOOKUP($D23,global_toc!$C:$K,7,FALSE)</f>
        <v>79AUG03XX</v>
      </c>
      <c r="Y23" s="12" t="str">
        <f>VLOOKUP($D23,global_toc!$C:$K,8,FALSE)</f>
        <v>11OCT17XA</v>
      </c>
      <c r="Z23" s="12">
        <f>VLOOKUP($D23,global_toc!$C:$K,9,FALSE)</f>
        <v>5029</v>
      </c>
      <c r="AA23" s="19" t="str">
        <f t="shared" si="1"/>
        <v>Azimuth array definition</v>
      </c>
    </row>
    <row r="24" spans="1:27" x14ac:dyDescent="0.2">
      <c r="A24" s="12">
        <v>267</v>
      </c>
      <c r="B24" s="12">
        <v>2</v>
      </c>
      <c r="C24" s="12" t="str">
        <f t="shared" si="0"/>
        <v>ElTheo</v>
      </c>
      <c r="D24" s="14" t="s">
        <v>803</v>
      </c>
      <c r="E24" s="12">
        <v>2</v>
      </c>
      <c r="F24" s="12">
        <v>2</v>
      </c>
      <c r="G24" s="12">
        <v>1</v>
      </c>
      <c r="H24" s="12" t="s">
        <v>447</v>
      </c>
      <c r="I24" s="12">
        <v>5</v>
      </c>
      <c r="J24" s="12" t="s">
        <v>804</v>
      </c>
      <c r="K24" s="12" t="s">
        <v>438</v>
      </c>
      <c r="L24" s="23" t="s">
        <v>1342</v>
      </c>
      <c r="M24" s="13" t="s">
        <v>1464</v>
      </c>
      <c r="N24" s="13" t="s">
        <v>1477</v>
      </c>
      <c r="O24" s="12" t="s">
        <v>1342</v>
      </c>
      <c r="P24" s="12" t="s">
        <v>117</v>
      </c>
      <c r="Q24" s="12" t="s">
        <v>1342</v>
      </c>
      <c r="R24" s="13" t="s">
        <v>1479</v>
      </c>
      <c r="S24" s="13" t="s">
        <v>1342</v>
      </c>
      <c r="T24" s="23" t="s">
        <v>1342</v>
      </c>
      <c r="U24" s="13">
        <v>2</v>
      </c>
      <c r="V24" s="13" t="s">
        <v>1480</v>
      </c>
      <c r="W24" s="13" t="s">
        <v>2457</v>
      </c>
      <c r="X24" s="12" t="str">
        <f>VLOOKUP($D24,global_toc!$C:$K,7,FALSE)</f>
        <v>79AUG03XX</v>
      </c>
      <c r="Y24" s="12" t="str">
        <f>VLOOKUP($D24,global_toc!$C:$K,8,FALSE)</f>
        <v>11OCT17XA</v>
      </c>
      <c r="Z24" s="12">
        <f>VLOOKUP($D24,global_toc!$C:$K,9,FALSE)</f>
        <v>5029</v>
      </c>
      <c r="AA24" s="19" t="str">
        <f t="shared" si="1"/>
        <v>Elevation array definition</v>
      </c>
    </row>
    <row r="25" spans="1:27" x14ac:dyDescent="0.2">
      <c r="A25" s="12">
        <v>268</v>
      </c>
      <c r="B25" s="12">
        <v>2</v>
      </c>
      <c r="C25" s="12" t="str">
        <f t="shared" si="0"/>
        <v>Cal-AxisOffset</v>
      </c>
      <c r="D25" s="14" t="s">
        <v>809</v>
      </c>
      <c r="E25" s="12">
        <v>2</v>
      </c>
      <c r="F25" s="12">
        <v>2</v>
      </c>
      <c r="G25" s="12">
        <v>1</v>
      </c>
      <c r="H25" s="12" t="s">
        <v>447</v>
      </c>
      <c r="I25" s="12">
        <v>5</v>
      </c>
      <c r="J25" s="12" t="s">
        <v>810</v>
      </c>
      <c r="K25" s="12" t="s">
        <v>438</v>
      </c>
      <c r="L25" s="23" t="s">
        <v>1342</v>
      </c>
      <c r="M25" s="13" t="s">
        <v>1464</v>
      </c>
      <c r="N25" s="13" t="s">
        <v>1490</v>
      </c>
      <c r="O25" s="12" t="s">
        <v>1342</v>
      </c>
      <c r="P25" s="12" t="s">
        <v>2513</v>
      </c>
      <c r="Q25" s="12" t="s">
        <v>1247</v>
      </c>
      <c r="R25" s="13" t="s">
        <v>2513</v>
      </c>
      <c r="S25" s="13" t="s">
        <v>1342</v>
      </c>
      <c r="T25" s="23" t="s">
        <v>1342</v>
      </c>
      <c r="U25" s="13">
        <v>2</v>
      </c>
      <c r="V25" s="13" t="s">
        <v>1651</v>
      </c>
      <c r="W25" s="13" t="s">
        <v>2076</v>
      </c>
      <c r="X25" s="12" t="str">
        <f>VLOOKUP($D25,global_toc!$C:$K,7,FALSE)</f>
        <v>79AUG03XX</v>
      </c>
      <c r="Y25" s="12" t="str">
        <f>VLOOKUP($D25,global_toc!$C:$K,8,FALSE)</f>
        <v>11OCT17XA</v>
      </c>
      <c r="Z25" s="12">
        <f>VLOOKUP($D25,global_toc!$C:$K,9,FALSE)</f>
        <v>5029</v>
      </c>
      <c r="AA25" s="19" t="str">
        <f t="shared" si="1"/>
        <v>New Axis Offset Contributions</v>
      </c>
    </row>
    <row r="26" spans="1:27" x14ac:dyDescent="0.2">
      <c r="A26" s="12">
        <v>269</v>
      </c>
      <c r="B26" s="12">
        <v>2</v>
      </c>
      <c r="C26" s="12" t="str">
        <f t="shared" si="0"/>
        <v>Cal-Cable</v>
      </c>
      <c r="D26" s="14" t="s">
        <v>884</v>
      </c>
      <c r="E26" s="12">
        <v>2</v>
      </c>
      <c r="F26" s="12">
        <v>2</v>
      </c>
      <c r="G26" s="12">
        <v>1</v>
      </c>
      <c r="H26" s="12" t="s">
        <v>447</v>
      </c>
      <c r="I26" s="12">
        <v>3</v>
      </c>
      <c r="J26" s="12" t="s">
        <v>885</v>
      </c>
      <c r="K26" s="12" t="s">
        <v>438</v>
      </c>
      <c r="L26" s="23" t="s">
        <v>1342</v>
      </c>
      <c r="M26" s="13" t="s">
        <v>1464</v>
      </c>
      <c r="N26" s="13" t="s">
        <v>1477</v>
      </c>
      <c r="O26" s="12" t="s">
        <v>1342</v>
      </c>
      <c r="P26" s="12" t="s">
        <v>2517</v>
      </c>
      <c r="Q26" s="12" t="s">
        <v>1342</v>
      </c>
      <c r="R26" s="13" t="s">
        <v>2517</v>
      </c>
      <c r="S26" s="13" t="s">
        <v>1342</v>
      </c>
      <c r="T26" s="23" t="s">
        <v>1342</v>
      </c>
      <c r="U26" s="13">
        <v>1</v>
      </c>
      <c r="V26" s="13" t="s">
        <v>1651</v>
      </c>
      <c r="W26" s="13" t="s">
        <v>2459</v>
      </c>
      <c r="X26" s="12" t="str">
        <f>VLOOKUP($D26,global_toc!$C:$K,7,FALSE)</f>
        <v>79AUG03XX</v>
      </c>
      <c r="Y26" s="12" t="str">
        <f>VLOOKUP($D26,global_toc!$C:$K,8,FALSE)</f>
        <v>11OCT17XA</v>
      </c>
      <c r="Z26" s="12">
        <f>VLOOKUP($D26,global_toc!$C:$K,9,FALSE)</f>
        <v>5002</v>
      </c>
      <c r="AA26" s="19" t="str">
        <f t="shared" si="1"/>
        <v>Cable calibration data</v>
      </c>
    </row>
    <row r="27" spans="1:27" ht="25.5" x14ac:dyDescent="0.2">
      <c r="A27" s="12">
        <v>271</v>
      </c>
      <c r="B27" s="12" t="s">
        <v>1655</v>
      </c>
      <c r="C27" s="12" t="str">
        <f t="shared" si="0"/>
        <v>Cal-CableDataFlag</v>
      </c>
      <c r="D27" s="12" t="s">
        <v>2091</v>
      </c>
      <c r="E27" s="12">
        <v>1</v>
      </c>
      <c r="F27" s="12">
        <v>1</v>
      </c>
      <c r="G27" s="12">
        <v>1</v>
      </c>
      <c r="H27" s="12" t="s">
        <v>544</v>
      </c>
      <c r="I27" s="12">
        <v>3</v>
      </c>
      <c r="J27" s="12" t="s">
        <v>1342</v>
      </c>
      <c r="K27" s="12" t="s">
        <v>438</v>
      </c>
      <c r="L27" s="23" t="s">
        <v>1342</v>
      </c>
      <c r="M27" s="13" t="s">
        <v>1464</v>
      </c>
      <c r="N27" s="13" t="s">
        <v>1477</v>
      </c>
      <c r="O27" s="12" t="s">
        <v>1342</v>
      </c>
      <c r="P27" s="12" t="s">
        <v>2517</v>
      </c>
      <c r="Q27" s="12" t="s">
        <v>1342</v>
      </c>
      <c r="R27" s="13" t="s">
        <v>2518</v>
      </c>
      <c r="S27" s="13" t="s">
        <v>1342</v>
      </c>
      <c r="T27" s="23" t="s">
        <v>2095</v>
      </c>
      <c r="U27" s="13" t="s">
        <v>1342</v>
      </c>
      <c r="V27" s="13" t="s">
        <v>1342</v>
      </c>
      <c r="W27" s="13" t="s">
        <v>1342</v>
      </c>
      <c r="X27" s="12" t="e">
        <f>VLOOKUP($D27,global_toc!$C:$K,7,FALSE)</f>
        <v>#N/A</v>
      </c>
      <c r="Y27" s="12" t="e">
        <f>VLOOKUP($D27,global_toc!$C:$K,8,FALSE)</f>
        <v>#N/A</v>
      </c>
      <c r="Z27" s="12" t="e">
        <f>VLOOKUP($D27,global_toc!$C:$K,9,FALSE)</f>
        <v>#N/A</v>
      </c>
      <c r="AA27" s="19" t="str">
        <f t="shared" si="1"/>
        <v>0=OK, -1=Missing,  -2=bad, 1=Used Near pt</v>
      </c>
    </row>
    <row r="28" spans="1:27" x14ac:dyDescent="0.2">
      <c r="A28" s="12">
        <v>270</v>
      </c>
      <c r="B28" s="12" t="s">
        <v>1655</v>
      </c>
      <c r="C28" s="12" t="str">
        <f t="shared" si="0"/>
        <v>Cal-CableHistory</v>
      </c>
      <c r="D28" s="12" t="s">
        <v>2110</v>
      </c>
      <c r="E28" s="12">
        <v>30</v>
      </c>
      <c r="F28" s="12">
        <v>1</v>
      </c>
      <c r="G28" s="12">
        <v>1</v>
      </c>
      <c r="H28" s="12" t="s">
        <v>589</v>
      </c>
      <c r="I28" s="12" t="s">
        <v>1655</v>
      </c>
      <c r="J28" s="12" t="s">
        <v>2109</v>
      </c>
      <c r="K28" s="15" t="s">
        <v>438</v>
      </c>
      <c r="L28" s="23" t="s">
        <v>1342</v>
      </c>
      <c r="M28" s="13" t="s">
        <v>1464</v>
      </c>
      <c r="N28" s="13" t="s">
        <v>1490</v>
      </c>
      <c r="O28" s="12" t="s">
        <v>1342</v>
      </c>
      <c r="P28" s="12" t="s">
        <v>2517</v>
      </c>
      <c r="Q28" s="12" t="s">
        <v>1342</v>
      </c>
      <c r="R28" s="13" t="s">
        <v>2519</v>
      </c>
      <c r="S28" s="13" t="s">
        <v>1342</v>
      </c>
      <c r="T28" s="23" t="s">
        <v>1342</v>
      </c>
      <c r="U28" s="13" t="s">
        <v>1342</v>
      </c>
      <c r="V28" s="13" t="s">
        <v>1342</v>
      </c>
      <c r="W28" s="13" t="s">
        <v>1342</v>
      </c>
      <c r="X28" s="12" t="e">
        <f>VLOOKUP($D28,global_toc!$C:$K,7,FALSE)</f>
        <v>#N/A</v>
      </c>
      <c r="Y28" s="12" t="e">
        <f>VLOOKUP($D28,global_toc!$C:$K,8,FALSE)</f>
        <v>#N/A</v>
      </c>
      <c r="Z28" s="12" t="e">
        <f>VLOOKUP($D28,global_toc!$C:$K,9,FALSE)</f>
        <v>#N/A</v>
      </c>
      <c r="AA28" s="19" t="str">
        <f t="shared" si="1"/>
        <v>Description of cable-cal processing</v>
      </c>
    </row>
    <row r="29" spans="1:27" x14ac:dyDescent="0.2">
      <c r="A29" s="12">
        <v>272</v>
      </c>
      <c r="B29" s="12">
        <v>2</v>
      </c>
      <c r="C29" s="12" t="str">
        <f t="shared" si="0"/>
        <v>Cal-SlantPathTropDry</v>
      </c>
      <c r="D29" s="14" t="s">
        <v>797</v>
      </c>
      <c r="E29" s="12">
        <v>2</v>
      </c>
      <c r="F29" s="12">
        <v>2</v>
      </c>
      <c r="G29" s="12">
        <v>1</v>
      </c>
      <c r="H29" s="12" t="s">
        <v>447</v>
      </c>
      <c r="I29" s="12">
        <v>5</v>
      </c>
      <c r="J29" s="12" t="s">
        <v>798</v>
      </c>
      <c r="K29" s="12" t="s">
        <v>438</v>
      </c>
      <c r="L29" s="23" t="s">
        <v>1342</v>
      </c>
      <c r="M29" s="13" t="s">
        <v>1464</v>
      </c>
      <c r="N29" s="13" t="s">
        <v>1490</v>
      </c>
      <c r="O29" s="12" t="s">
        <v>1342</v>
      </c>
      <c r="P29" s="12" t="s">
        <v>2532</v>
      </c>
      <c r="Q29" s="12" t="s">
        <v>1247</v>
      </c>
      <c r="R29" s="13" t="s">
        <v>2533</v>
      </c>
      <c r="S29" s="13" t="s">
        <v>1342</v>
      </c>
      <c r="T29" s="23" t="s">
        <v>1342</v>
      </c>
      <c r="U29" s="13">
        <v>2</v>
      </c>
      <c r="V29" s="13" t="s">
        <v>1651</v>
      </c>
      <c r="W29" s="13" t="s">
        <v>1500</v>
      </c>
      <c r="X29" s="12" t="str">
        <f>VLOOKUP($D29,global_toc!$C:$K,7,FALSE)</f>
        <v>79AUG03XX</v>
      </c>
      <c r="Y29" s="12" t="str">
        <f>VLOOKUP($D29,global_toc!$C:$K,8,FALSE)</f>
        <v>11OCT17XA</v>
      </c>
      <c r="Z29" s="12">
        <f>VLOOKUP($D29,global_toc!$C:$K,9,FALSE)</f>
        <v>5029</v>
      </c>
      <c r="AA29" s="19" t="str">
        <f t="shared" si="1"/>
        <v>Nhmf (dry) atm. contribution</v>
      </c>
    </row>
    <row r="30" spans="1:27" x14ac:dyDescent="0.2">
      <c r="A30" s="12">
        <v>273</v>
      </c>
      <c r="B30" s="12">
        <v>2</v>
      </c>
      <c r="C30" s="12" t="str">
        <f t="shared" si="0"/>
        <v>Cal-SlantPathTropWet</v>
      </c>
      <c r="D30" s="14" t="s">
        <v>799</v>
      </c>
      <c r="E30" s="12">
        <v>2</v>
      </c>
      <c r="F30" s="12">
        <v>2</v>
      </c>
      <c r="G30" s="12">
        <v>1</v>
      </c>
      <c r="H30" s="12" t="s">
        <v>447</v>
      </c>
      <c r="I30" s="12">
        <v>5</v>
      </c>
      <c r="J30" s="12" t="s">
        <v>800</v>
      </c>
      <c r="K30" s="12" t="s">
        <v>438</v>
      </c>
      <c r="L30" s="23" t="s">
        <v>1342</v>
      </c>
      <c r="M30" s="13" t="s">
        <v>1464</v>
      </c>
      <c r="N30" s="13" t="s">
        <v>1490</v>
      </c>
      <c r="O30" s="12" t="s">
        <v>1342</v>
      </c>
      <c r="P30" s="12" t="s">
        <v>2534</v>
      </c>
      <c r="Q30" s="12" t="s">
        <v>1247</v>
      </c>
      <c r="R30" s="13" t="s">
        <v>2535</v>
      </c>
      <c r="S30" s="13" t="s">
        <v>1342</v>
      </c>
      <c r="T30" s="23" t="s">
        <v>1342</v>
      </c>
      <c r="U30" s="13">
        <v>2</v>
      </c>
      <c r="V30" s="13" t="s">
        <v>1651</v>
      </c>
      <c r="W30" s="13" t="s">
        <v>1500</v>
      </c>
      <c r="X30" s="12" t="str">
        <f>VLOOKUP($D30,global_toc!$C:$K,7,FALSE)</f>
        <v>79AUG03XX</v>
      </c>
      <c r="Y30" s="12" t="str">
        <f>VLOOKUP($D30,global_toc!$C:$K,8,FALSE)</f>
        <v>11OCT17XA</v>
      </c>
      <c r="Z30" s="12">
        <f>VLOOKUP($D30,global_toc!$C:$K,9,FALSE)</f>
        <v>5029</v>
      </c>
      <c r="AA30" s="19" t="str">
        <f t="shared" si="1"/>
        <v>Whmf (wet) atm. contribution</v>
      </c>
    </row>
    <row r="31" spans="1:27" x14ac:dyDescent="0.2">
      <c r="A31" s="12">
        <v>274</v>
      </c>
      <c r="B31" s="12">
        <v>2</v>
      </c>
      <c r="C31" s="12" t="str">
        <f t="shared" si="0"/>
        <v>Cal-StationOceanLoadHoriz</v>
      </c>
      <c r="D31" s="14" t="s">
        <v>831</v>
      </c>
      <c r="E31" s="12">
        <v>2</v>
      </c>
      <c r="F31" s="12">
        <v>2</v>
      </c>
      <c r="G31" s="12">
        <v>1</v>
      </c>
      <c r="H31" s="12" t="s">
        <v>447</v>
      </c>
      <c r="I31" s="12">
        <v>5</v>
      </c>
      <c r="J31" s="12" t="s">
        <v>832</v>
      </c>
      <c r="K31" s="12" t="s">
        <v>438</v>
      </c>
      <c r="L31" s="23" t="s">
        <v>1342</v>
      </c>
      <c r="M31" s="13" t="s">
        <v>1464</v>
      </c>
      <c r="N31" s="13" t="s">
        <v>1342</v>
      </c>
      <c r="O31" s="12" t="s">
        <v>1342</v>
      </c>
      <c r="P31" s="12" t="s">
        <v>2541</v>
      </c>
      <c r="Q31" s="12" t="s">
        <v>1247</v>
      </c>
      <c r="R31" s="13" t="s">
        <v>2523</v>
      </c>
      <c r="S31" s="13" t="s">
        <v>1342</v>
      </c>
      <c r="T31" s="23" t="s">
        <v>1342</v>
      </c>
      <c r="U31" s="13">
        <v>2</v>
      </c>
      <c r="V31" s="13" t="s">
        <v>1651</v>
      </c>
      <c r="W31" s="13" t="s">
        <v>2455</v>
      </c>
      <c r="X31" s="12" t="str">
        <f>VLOOKUP($D31,global_toc!$C:$K,7,FALSE)</f>
        <v>79AUG03XX</v>
      </c>
      <c r="Y31" s="12" t="str">
        <f>VLOOKUP($D31,global_toc!$C:$K,8,FALSE)</f>
        <v>11OCT17XA</v>
      </c>
      <c r="Z31" s="12">
        <f>VLOOKUP($D31,global_toc!$C:$K,9,FALSE)</f>
        <v>5029</v>
      </c>
      <c r="AA31" s="19" t="str">
        <f t="shared" si="1"/>
        <v>Site-dep ocean cont - horizontal</v>
      </c>
    </row>
    <row r="32" spans="1:27" x14ac:dyDescent="0.2">
      <c r="A32" s="12">
        <v>275</v>
      </c>
      <c r="B32" s="12">
        <v>2</v>
      </c>
      <c r="C32" s="12" t="str">
        <f t="shared" si="0"/>
        <v>Cal-StationOceanLoadVert</v>
      </c>
      <c r="D32" s="14" t="s">
        <v>833</v>
      </c>
      <c r="E32" s="12">
        <v>2</v>
      </c>
      <c r="F32" s="12">
        <v>2</v>
      </c>
      <c r="G32" s="12">
        <v>1</v>
      </c>
      <c r="H32" s="12" t="s">
        <v>447</v>
      </c>
      <c r="I32" s="12">
        <v>5</v>
      </c>
      <c r="J32" s="12" t="s">
        <v>834</v>
      </c>
      <c r="K32" s="12" t="s">
        <v>438</v>
      </c>
      <c r="L32" s="23" t="s">
        <v>1342</v>
      </c>
      <c r="M32" s="13" t="s">
        <v>1464</v>
      </c>
      <c r="N32" s="13" t="s">
        <v>1342</v>
      </c>
      <c r="O32" s="12" t="s">
        <v>1342</v>
      </c>
      <c r="P32" s="12" t="s">
        <v>2541</v>
      </c>
      <c r="Q32" s="12" t="s">
        <v>1247</v>
      </c>
      <c r="R32" s="13" t="s">
        <v>2524</v>
      </c>
      <c r="S32" s="13" t="s">
        <v>1342</v>
      </c>
      <c r="T32" s="23" t="s">
        <v>1342</v>
      </c>
      <c r="U32" s="13">
        <v>2</v>
      </c>
      <c r="V32" s="13" t="s">
        <v>1651</v>
      </c>
      <c r="W32" s="13" t="s">
        <v>2455</v>
      </c>
      <c r="X32" s="12" t="str">
        <f>VLOOKUP($D32,global_toc!$C:$K,7,FALSE)</f>
        <v>79AUG03XX</v>
      </c>
      <c r="Y32" s="12" t="str">
        <f>VLOOKUP($D32,global_toc!$C:$K,8,FALSE)</f>
        <v>11OCT17XA</v>
      </c>
      <c r="Z32" s="12">
        <f>VLOOKUP($D32,global_toc!$C:$K,9,FALSE)</f>
        <v>5029</v>
      </c>
      <c r="AA32" s="19" t="str">
        <f t="shared" si="1"/>
        <v>Site-dep ocean cont - vertical</v>
      </c>
    </row>
    <row r="33" spans="1:27" x14ac:dyDescent="0.2">
      <c r="A33" s="12">
        <v>276</v>
      </c>
      <c r="B33" s="12">
        <v>2</v>
      </c>
      <c r="C33" s="12" t="str">
        <f t="shared" si="0"/>
        <v>Dis-OceanLoad</v>
      </c>
      <c r="D33" s="14" t="s">
        <v>829</v>
      </c>
      <c r="E33" s="12">
        <v>3</v>
      </c>
      <c r="F33" s="12">
        <v>2</v>
      </c>
      <c r="G33" s="12">
        <v>2</v>
      </c>
      <c r="H33" s="12" t="s">
        <v>447</v>
      </c>
      <c r="I33" s="12">
        <v>5</v>
      </c>
      <c r="J33" s="12" t="s">
        <v>830</v>
      </c>
      <c r="K33" s="12" t="s">
        <v>438</v>
      </c>
      <c r="L33" s="23" t="s">
        <v>1342</v>
      </c>
      <c r="M33" s="13" t="s">
        <v>1464</v>
      </c>
      <c r="N33" s="13" t="s">
        <v>1342</v>
      </c>
      <c r="O33" s="12" t="s">
        <v>1342</v>
      </c>
      <c r="P33" s="12" t="s">
        <v>2621</v>
      </c>
      <c r="Q33" s="12" t="s">
        <v>1247</v>
      </c>
      <c r="R33" s="13" t="s">
        <v>2621</v>
      </c>
      <c r="S33" s="13" t="s">
        <v>1342</v>
      </c>
      <c r="T33" s="23" t="s">
        <v>1342</v>
      </c>
      <c r="U33" s="13">
        <v>2</v>
      </c>
      <c r="V33" s="13" t="s">
        <v>1654</v>
      </c>
      <c r="W33" s="13" t="s">
        <v>2455</v>
      </c>
      <c r="X33" s="12" t="str">
        <f>VLOOKUP($D33,global_toc!$C:$K,7,FALSE)</f>
        <v>79AUG03XX</v>
      </c>
      <c r="Y33" s="12" t="str">
        <f>VLOOKUP($D33,global_toc!$C:$K,8,FALSE)</f>
        <v>11OCT17XA</v>
      </c>
      <c r="Z33" s="12">
        <f>VLOOKUP($D33,global_toc!$C:$K,9,FALSE)</f>
        <v>5029</v>
      </c>
      <c r="AA33" s="19" t="str">
        <f t="shared" si="1"/>
        <v>Ocean load site depndnt displace</v>
      </c>
    </row>
    <row r="34" spans="1:27" x14ac:dyDescent="0.2">
      <c r="A34" s="12">
        <v>280</v>
      </c>
      <c r="B34" s="12">
        <v>2</v>
      </c>
      <c r="C34" s="12" t="str">
        <f t="shared" si="0"/>
        <v>FeedRotation</v>
      </c>
      <c r="D34" s="14" t="s">
        <v>811</v>
      </c>
      <c r="E34" s="12">
        <v>2</v>
      </c>
      <c r="F34" s="12">
        <v>1</v>
      </c>
      <c r="G34" s="12">
        <v>1</v>
      </c>
      <c r="H34" s="12" t="s">
        <v>447</v>
      </c>
      <c r="I34" s="12">
        <v>5</v>
      </c>
      <c r="J34" s="12" t="s">
        <v>1700</v>
      </c>
      <c r="K34" s="12" t="s">
        <v>438</v>
      </c>
      <c r="L34" s="23" t="s">
        <v>1342</v>
      </c>
      <c r="M34" s="13" t="s">
        <v>1504</v>
      </c>
      <c r="N34" s="13" t="s">
        <v>1342</v>
      </c>
      <c r="O34" s="12" t="s">
        <v>1342</v>
      </c>
      <c r="P34" s="12" t="s">
        <v>2209</v>
      </c>
      <c r="Q34" s="12" t="s">
        <v>1247</v>
      </c>
      <c r="R34" s="13" t="s">
        <v>2209</v>
      </c>
      <c r="S34" s="13" t="s">
        <v>1342</v>
      </c>
      <c r="T34" s="23" t="s">
        <v>2208</v>
      </c>
      <c r="U34" s="13">
        <v>1</v>
      </c>
      <c r="V34" s="13" t="s">
        <v>1650</v>
      </c>
      <c r="W34" s="13" t="s">
        <v>2456</v>
      </c>
      <c r="X34" s="12" t="str">
        <f>VLOOKUP($D34,global_toc!$C:$K,7,FALSE)</f>
        <v>79AUG03XX</v>
      </c>
      <c r="Y34" s="12" t="str">
        <f>VLOOKUP($D34,global_toc!$C:$K,8,FALSE)</f>
        <v>11OCT17XA</v>
      </c>
      <c r="Z34" s="12">
        <f>VLOOKUP($D34,global_toc!$C:$K,9,FALSE)</f>
        <v>5029</v>
      </c>
      <c r="AA34" s="19" t="str">
        <f t="shared" si="1"/>
        <v>Feedhorn rotation angle.</v>
      </c>
    </row>
    <row r="35" spans="1:27" x14ac:dyDescent="0.2">
      <c r="A35" s="12">
        <v>277</v>
      </c>
      <c r="B35" s="12">
        <v>2</v>
      </c>
      <c r="C35" s="12" t="str">
        <f t="shared" si="0"/>
        <v>AtmPres</v>
      </c>
      <c r="D35" s="14" t="s">
        <v>880</v>
      </c>
      <c r="E35" s="12">
        <v>2</v>
      </c>
      <c r="F35" s="12">
        <v>2</v>
      </c>
      <c r="G35" s="12">
        <v>1</v>
      </c>
      <c r="H35" s="12" t="s">
        <v>447</v>
      </c>
      <c r="I35" s="12">
        <v>3</v>
      </c>
      <c r="J35" s="12" t="s">
        <v>881</v>
      </c>
      <c r="K35" s="12" t="s">
        <v>438</v>
      </c>
      <c r="L35" s="23" t="s">
        <v>1342</v>
      </c>
      <c r="M35" s="13" t="s">
        <v>1464</v>
      </c>
      <c r="N35" s="13" t="s">
        <v>1477</v>
      </c>
      <c r="O35" s="12" t="s">
        <v>1342</v>
      </c>
      <c r="P35" s="12" t="s">
        <v>1458</v>
      </c>
      <c r="Q35" s="12" t="s">
        <v>1342</v>
      </c>
      <c r="R35" s="13" t="s">
        <v>1524</v>
      </c>
      <c r="S35" s="13" t="s">
        <v>1342</v>
      </c>
      <c r="T35" s="12" t="s">
        <v>2195</v>
      </c>
      <c r="U35" s="13">
        <v>1</v>
      </c>
      <c r="V35" s="13" t="s">
        <v>2196</v>
      </c>
      <c r="W35" s="13" t="s">
        <v>2454</v>
      </c>
      <c r="X35" s="12" t="str">
        <f>VLOOKUP($D35,global_toc!$C:$K,7,FALSE)</f>
        <v>79AUG03XX</v>
      </c>
      <c r="Y35" s="12" t="str">
        <f>VLOOKUP($D35,global_toc!$C:$K,8,FALSE)</f>
        <v>11OCT17XA</v>
      </c>
      <c r="Z35" s="12">
        <f>VLOOKUP($D35,global_toc!$C:$K,9,FALSE)</f>
        <v>5022</v>
      </c>
      <c r="AA35" s="19" t="str">
        <f t="shared" si="1"/>
        <v>Pressure in hPa at site</v>
      </c>
    </row>
    <row r="36" spans="1:27" x14ac:dyDescent="0.2">
      <c r="A36" s="12">
        <v>278</v>
      </c>
      <c r="B36" s="12">
        <v>2</v>
      </c>
      <c r="C36" s="12" t="str">
        <f t="shared" si="0"/>
        <v>RelHum</v>
      </c>
      <c r="D36" s="14" t="s">
        <v>882</v>
      </c>
      <c r="E36" s="12">
        <v>2</v>
      </c>
      <c r="F36" s="12">
        <v>2</v>
      </c>
      <c r="G36" s="12">
        <v>1</v>
      </c>
      <c r="H36" s="12" t="s">
        <v>447</v>
      </c>
      <c r="I36" s="12">
        <v>3</v>
      </c>
      <c r="J36" s="12" t="s">
        <v>883</v>
      </c>
      <c r="K36" s="12" t="s">
        <v>438</v>
      </c>
      <c r="L36" s="23" t="s">
        <v>1342</v>
      </c>
      <c r="M36" s="13" t="s">
        <v>1464</v>
      </c>
      <c r="N36" s="13" t="s">
        <v>1477</v>
      </c>
      <c r="O36" s="12" t="s">
        <v>1342</v>
      </c>
      <c r="P36" s="12" t="s">
        <v>1458</v>
      </c>
      <c r="Q36" s="12" t="s">
        <v>1342</v>
      </c>
      <c r="R36" s="13" t="s">
        <v>1525</v>
      </c>
      <c r="S36" s="13" t="s">
        <v>1342</v>
      </c>
      <c r="T36" s="23" t="s">
        <v>1342</v>
      </c>
      <c r="U36" s="13">
        <v>1</v>
      </c>
      <c r="V36" s="13" t="s">
        <v>1482</v>
      </c>
      <c r="W36" s="13" t="s">
        <v>2454</v>
      </c>
      <c r="X36" s="12" t="str">
        <f>VLOOKUP($D36,global_toc!$C:$K,7,FALSE)</f>
        <v>79AUG03XX</v>
      </c>
      <c r="Y36" s="12" t="str">
        <f>VLOOKUP($D36,global_toc!$C:$K,8,FALSE)</f>
        <v>11OCT17XA</v>
      </c>
      <c r="Z36" s="12">
        <f>VLOOKUP($D36,global_toc!$C:$K,9,FALSE)</f>
        <v>5022</v>
      </c>
      <c r="AA36" s="19" t="str">
        <f t="shared" si="1"/>
        <v>Rel.Hum. at local WX st (50%=.5)</v>
      </c>
    </row>
    <row r="37" spans="1:27" x14ac:dyDescent="0.2">
      <c r="A37" s="12">
        <v>279</v>
      </c>
      <c r="B37" s="12">
        <v>2</v>
      </c>
      <c r="C37" s="12" t="str">
        <f t="shared" si="0"/>
        <v>TempC</v>
      </c>
      <c r="D37" s="14" t="s">
        <v>878</v>
      </c>
      <c r="E37" s="12">
        <v>2</v>
      </c>
      <c r="F37" s="12">
        <v>2</v>
      </c>
      <c r="G37" s="12">
        <v>1</v>
      </c>
      <c r="H37" s="12" t="s">
        <v>447</v>
      </c>
      <c r="I37" s="12">
        <v>3</v>
      </c>
      <c r="J37" s="12" t="s">
        <v>879</v>
      </c>
      <c r="K37" s="12" t="s">
        <v>438</v>
      </c>
      <c r="L37" s="23" t="s">
        <v>1342</v>
      </c>
      <c r="M37" s="13" t="s">
        <v>1464</v>
      </c>
      <c r="N37" s="13" t="s">
        <v>1477</v>
      </c>
      <c r="O37" s="12" t="s">
        <v>1342</v>
      </c>
      <c r="P37" s="12" t="s">
        <v>1458</v>
      </c>
      <c r="Q37" s="12" t="s">
        <v>1342</v>
      </c>
      <c r="R37" s="13" t="s">
        <v>1523</v>
      </c>
      <c r="S37" s="13" t="s">
        <v>1342</v>
      </c>
      <c r="T37" s="23" t="s">
        <v>1342</v>
      </c>
      <c r="U37" s="13">
        <v>1</v>
      </c>
      <c r="V37" s="13" t="s">
        <v>2197</v>
      </c>
      <c r="W37" s="13" t="s">
        <v>2454</v>
      </c>
      <c r="X37" s="12" t="str">
        <f>VLOOKUP($D37,global_toc!$C:$K,7,FALSE)</f>
        <v>79AUG03XX</v>
      </c>
      <c r="Y37" s="12" t="str">
        <f>VLOOKUP($D37,global_toc!$C:$K,8,FALSE)</f>
        <v>11OCT17XA</v>
      </c>
      <c r="Z37" s="12">
        <f>VLOOKUP($D37,global_toc!$C:$K,9,FALSE)</f>
        <v>5022</v>
      </c>
      <c r="AA37" s="19" t="str">
        <f t="shared" si="1"/>
        <v>Temp in C at local WX station</v>
      </c>
    </row>
    <row r="38" spans="1:27" x14ac:dyDescent="0.2">
      <c r="A38" s="12">
        <v>281</v>
      </c>
      <c r="B38" s="12">
        <v>2</v>
      </c>
      <c r="C38" s="12" t="str">
        <f t="shared" si="0"/>
        <v>Part-AxisOffset</v>
      </c>
      <c r="D38" s="14" t="s">
        <v>807</v>
      </c>
      <c r="E38" s="12">
        <v>2</v>
      </c>
      <c r="F38" s="12">
        <v>2</v>
      </c>
      <c r="G38" s="12">
        <v>1</v>
      </c>
      <c r="H38" s="12" t="s">
        <v>447</v>
      </c>
      <c r="I38" s="12">
        <v>5</v>
      </c>
      <c r="J38" s="12" t="s">
        <v>808</v>
      </c>
      <c r="K38" s="12" t="s">
        <v>438</v>
      </c>
      <c r="L38" s="23" t="s">
        <v>1342</v>
      </c>
      <c r="M38" s="13" t="s">
        <v>1464</v>
      </c>
      <c r="N38" s="13" t="s">
        <v>1490</v>
      </c>
      <c r="O38" s="12" t="s">
        <v>1342</v>
      </c>
      <c r="P38" s="12" t="s">
        <v>2542</v>
      </c>
      <c r="Q38" s="12" t="s">
        <v>1247</v>
      </c>
      <c r="R38" s="13" t="s">
        <v>2542</v>
      </c>
      <c r="S38" s="13" t="s">
        <v>1342</v>
      </c>
      <c r="T38" s="23" t="s">
        <v>1342</v>
      </c>
      <c r="U38" s="13">
        <v>2</v>
      </c>
      <c r="V38" s="13" t="s">
        <v>1651</v>
      </c>
      <c r="W38" s="13" t="s">
        <v>1501</v>
      </c>
      <c r="X38" s="12" t="str">
        <f>VLOOKUP($D38,global_toc!$C:$K,7,FALSE)</f>
        <v>79AUG03XX</v>
      </c>
      <c r="Y38" s="12" t="str">
        <f>VLOOKUP($D38,global_toc!$C:$K,8,FALSE)</f>
        <v>11OCT17XA</v>
      </c>
      <c r="Z38" s="12">
        <f>VLOOKUP($D38,global_toc!$C:$K,9,FALSE)</f>
        <v>5029</v>
      </c>
      <c r="AA38" s="19" t="str">
        <f t="shared" si="1"/>
        <v>Axis Offset partial deriv. def.</v>
      </c>
    </row>
    <row r="39" spans="1:27" x14ac:dyDescent="0.2">
      <c r="A39" s="12">
        <v>294</v>
      </c>
      <c r="B39" s="12">
        <v>2</v>
      </c>
      <c r="C39" s="12" t="str">
        <f t="shared" si="0"/>
        <v>Part-HorizonGrad</v>
      </c>
      <c r="D39" s="14" t="s">
        <v>801</v>
      </c>
      <c r="E39" s="12">
        <v>2</v>
      </c>
      <c r="F39" s="12">
        <v>2</v>
      </c>
      <c r="G39" s="12">
        <v>2</v>
      </c>
      <c r="H39" s="12" t="s">
        <v>447</v>
      </c>
      <c r="I39" s="12">
        <v>5</v>
      </c>
      <c r="J39" s="12" t="s">
        <v>802</v>
      </c>
      <c r="K39" s="12" t="s">
        <v>438</v>
      </c>
      <c r="L39" s="23" t="s">
        <v>1342</v>
      </c>
      <c r="M39" s="13" t="s">
        <v>1467</v>
      </c>
      <c r="N39" s="13" t="s">
        <v>1490</v>
      </c>
      <c r="O39" s="12" t="s">
        <v>1342</v>
      </c>
      <c r="P39" s="12" t="s">
        <v>2546</v>
      </c>
      <c r="Q39" s="12" t="s">
        <v>1247</v>
      </c>
      <c r="R39" s="13" t="s">
        <v>2560</v>
      </c>
      <c r="S39" s="13" t="s">
        <v>1586</v>
      </c>
      <c r="T39" s="23" t="s">
        <v>1342</v>
      </c>
      <c r="U39" s="13">
        <v>2</v>
      </c>
      <c r="V39" s="13" t="s">
        <v>1651</v>
      </c>
      <c r="W39" s="13" t="s">
        <v>2458</v>
      </c>
      <c r="X39" s="12" t="str">
        <f>VLOOKUP($D39,global_toc!$C:$K,7,FALSE)</f>
        <v>79AUG03XX</v>
      </c>
      <c r="Y39" s="12" t="str">
        <f>VLOOKUP($D39,global_toc!$C:$K,8,FALSE)</f>
        <v>11OCT17XA</v>
      </c>
      <c r="Z39" s="12">
        <f>VLOOKUP($D39,global_toc!$C:$K,9,FALSE)</f>
        <v>5029</v>
      </c>
      <c r="AA39" s="19" t="str">
        <f t="shared" si="1"/>
        <v>Niell dry atm. gradient partials</v>
      </c>
    </row>
    <row r="40" spans="1:27" x14ac:dyDescent="0.2">
      <c r="A40" s="12">
        <v>282</v>
      </c>
      <c r="B40" s="12">
        <v>2</v>
      </c>
      <c r="C40" s="12" t="str">
        <f t="shared" si="0"/>
        <v>Part-ZenithPathTropDry</v>
      </c>
      <c r="D40" s="14" t="s">
        <v>793</v>
      </c>
      <c r="E40" s="12">
        <v>2</v>
      </c>
      <c r="F40" s="12">
        <v>2</v>
      </c>
      <c r="G40" s="12">
        <v>1</v>
      </c>
      <c r="H40" s="12" t="s">
        <v>447</v>
      </c>
      <c r="I40" s="12">
        <v>5</v>
      </c>
      <c r="J40" s="12" t="s">
        <v>794</v>
      </c>
      <c r="K40" s="12" t="s">
        <v>438</v>
      </c>
      <c r="L40" s="23" t="s">
        <v>1342</v>
      </c>
      <c r="M40" s="13" t="s">
        <v>1464</v>
      </c>
      <c r="N40" s="13" t="s">
        <v>1490</v>
      </c>
      <c r="O40" s="12" t="s">
        <v>1342</v>
      </c>
      <c r="P40" s="12" t="s">
        <v>2556</v>
      </c>
      <c r="Q40" s="12" t="s">
        <v>1247</v>
      </c>
      <c r="R40" s="13" t="s">
        <v>2564</v>
      </c>
      <c r="S40" s="13" t="s">
        <v>1342</v>
      </c>
      <c r="T40" s="23" t="s">
        <v>1342</v>
      </c>
      <c r="U40" s="13">
        <v>2</v>
      </c>
      <c r="V40" s="13" t="s">
        <v>1651</v>
      </c>
      <c r="W40" s="13" t="s">
        <v>2458</v>
      </c>
      <c r="X40" s="12" t="str">
        <f>VLOOKUP($D40,global_toc!$C:$K,7,FALSE)</f>
        <v>79AUG03XX</v>
      </c>
      <c r="Y40" s="12" t="str">
        <f>VLOOKUP($D40,global_toc!$C:$K,8,FALSE)</f>
        <v>11OCT17XA</v>
      </c>
      <c r="Z40" s="12">
        <f>VLOOKUP($D40,global_toc!$C:$K,9,FALSE)</f>
        <v>5029</v>
      </c>
      <c r="AA40" s="19" t="str">
        <f t="shared" si="1"/>
        <v>Nhmf2 dry partial deriv. def.</v>
      </c>
    </row>
    <row r="41" spans="1:27" x14ac:dyDescent="0.2">
      <c r="A41" s="12">
        <v>283</v>
      </c>
      <c r="B41" s="12">
        <v>2</v>
      </c>
      <c r="C41" s="12" t="str">
        <f t="shared" si="0"/>
        <v>Part-ZenithPathTropWet</v>
      </c>
      <c r="D41" s="14" t="s">
        <v>795</v>
      </c>
      <c r="E41" s="12">
        <v>2</v>
      </c>
      <c r="F41" s="12">
        <v>2</v>
      </c>
      <c r="G41" s="12">
        <v>1</v>
      </c>
      <c r="H41" s="12" t="s">
        <v>447</v>
      </c>
      <c r="I41" s="12">
        <v>5</v>
      </c>
      <c r="J41" s="12" t="s">
        <v>796</v>
      </c>
      <c r="K41" s="12" t="s">
        <v>438</v>
      </c>
      <c r="L41" s="23" t="s">
        <v>1342</v>
      </c>
      <c r="M41" s="13" t="s">
        <v>1464</v>
      </c>
      <c r="N41" s="13" t="s">
        <v>1490</v>
      </c>
      <c r="O41" s="12" t="s">
        <v>1342</v>
      </c>
      <c r="P41" s="12" t="s">
        <v>2557</v>
      </c>
      <c r="Q41" s="12" t="s">
        <v>1247</v>
      </c>
      <c r="R41" s="13" t="s">
        <v>2565</v>
      </c>
      <c r="S41" s="13" t="s">
        <v>1342</v>
      </c>
      <c r="T41" s="23" t="s">
        <v>1713</v>
      </c>
      <c r="U41" s="13">
        <v>2</v>
      </c>
      <c r="V41" s="13" t="s">
        <v>1651</v>
      </c>
      <c r="W41" s="13" t="s">
        <v>2458</v>
      </c>
      <c r="X41" s="12" t="str">
        <f>VLOOKUP($D41,global_toc!$C:$K,7,FALSE)</f>
        <v>79AUG03XX</v>
      </c>
      <c r="Y41" s="12" t="str">
        <f>VLOOKUP($D41,global_toc!$C:$K,8,FALSE)</f>
        <v>11OCT17XA</v>
      </c>
      <c r="Z41" s="12">
        <f>VLOOKUP($D41,global_toc!$C:$K,9,FALSE)</f>
        <v>5029</v>
      </c>
      <c r="AA41" s="19" t="str">
        <f t="shared" si="1"/>
        <v>NMF Wet Partial</v>
      </c>
    </row>
    <row r="42" spans="1:27" x14ac:dyDescent="0.2">
      <c r="A42" s="12">
        <v>284</v>
      </c>
      <c r="B42" s="12" t="s">
        <v>1655</v>
      </c>
      <c r="C42" s="12" t="str">
        <f t="shared" si="0"/>
        <v>Second</v>
      </c>
      <c r="D42" s="12" t="s">
        <v>1937</v>
      </c>
      <c r="E42" s="12">
        <v>1</v>
      </c>
      <c r="F42" s="12">
        <v>1</v>
      </c>
      <c r="G42" s="12">
        <v>1</v>
      </c>
      <c r="H42" s="12" t="s">
        <v>447</v>
      </c>
      <c r="I42" s="12" t="s">
        <v>1655</v>
      </c>
      <c r="J42" s="12" t="s">
        <v>1342</v>
      </c>
      <c r="K42" s="12" t="s">
        <v>438</v>
      </c>
      <c r="L42" s="23" t="s">
        <v>1342</v>
      </c>
      <c r="M42" s="13" t="s">
        <v>1464</v>
      </c>
      <c r="N42" s="13" t="s">
        <v>1477</v>
      </c>
      <c r="O42" s="12" t="s">
        <v>1342</v>
      </c>
      <c r="P42" s="12" t="s">
        <v>2069</v>
      </c>
      <c r="Q42" s="12" t="s">
        <v>1342</v>
      </c>
      <c r="R42" s="13" t="s">
        <v>1840</v>
      </c>
      <c r="S42" s="13" t="s">
        <v>1342</v>
      </c>
      <c r="T42" s="23" t="s">
        <v>1841</v>
      </c>
      <c r="U42" s="13" t="s">
        <v>1342</v>
      </c>
      <c r="V42" s="13" t="s">
        <v>1651</v>
      </c>
      <c r="W42" s="13" t="s">
        <v>1342</v>
      </c>
      <c r="X42" s="12" t="e">
        <f>VLOOKUP($D42,global_toc!$C:$K,7,FALSE)</f>
        <v>#N/A</v>
      </c>
      <c r="Y42" s="12" t="e">
        <f>VLOOKUP($D42,global_toc!$C:$K,8,FALSE)</f>
        <v>#N/A</v>
      </c>
      <c r="Z42" s="12" t="e">
        <f>VLOOKUP($D42,global_toc!$C:$K,9,FALSE)</f>
        <v>#N/A</v>
      </c>
      <c r="AA42" s="19" t="str">
        <f t="shared" si="1"/>
        <v>Seconds part of time-tag</v>
      </c>
    </row>
    <row r="43" spans="1:27" ht="25.5" x14ac:dyDescent="0.2">
      <c r="A43" s="12">
        <v>285</v>
      </c>
      <c r="B43" s="12" t="s">
        <v>1655</v>
      </c>
      <c r="C43" s="12" t="str">
        <f t="shared" si="0"/>
        <v>YMDHM</v>
      </c>
      <c r="D43" s="12" t="s">
        <v>1938</v>
      </c>
      <c r="E43" s="12">
        <v>5</v>
      </c>
      <c r="F43" s="12">
        <v>1</v>
      </c>
      <c r="G43" s="12">
        <v>1</v>
      </c>
      <c r="H43" s="12" t="s">
        <v>544</v>
      </c>
      <c r="I43" s="12" t="s">
        <v>1655</v>
      </c>
      <c r="J43" s="12" t="s">
        <v>1342</v>
      </c>
      <c r="K43" s="12" t="s">
        <v>438</v>
      </c>
      <c r="L43" s="23" t="s">
        <v>1342</v>
      </c>
      <c r="M43" s="13" t="s">
        <v>1464</v>
      </c>
      <c r="N43" s="13" t="s">
        <v>1477</v>
      </c>
      <c r="O43" s="12" t="s">
        <v>1342</v>
      </c>
      <c r="P43" s="12" t="s">
        <v>2069</v>
      </c>
      <c r="Q43" s="12" t="s">
        <v>1342</v>
      </c>
      <c r="R43" s="13" t="s">
        <v>1839</v>
      </c>
      <c r="S43" s="13" t="s">
        <v>1342</v>
      </c>
      <c r="T43" s="23" t="s">
        <v>1842</v>
      </c>
      <c r="U43" s="13" t="s">
        <v>1342</v>
      </c>
      <c r="V43" s="13" t="s">
        <v>1342</v>
      </c>
      <c r="W43" s="13" t="s">
        <v>1342</v>
      </c>
      <c r="X43" s="12" t="e">
        <f>VLOOKUP($D43,global_toc!$C:$K,7,FALSE)</f>
        <v>#N/A</v>
      </c>
      <c r="Y43" s="12" t="e">
        <f>VLOOKUP($D43,global_toc!$C:$K,8,FALSE)</f>
        <v>#N/A</v>
      </c>
      <c r="Z43" s="12" t="e">
        <f>VLOOKUP($D43,global_toc!$C:$K,9,FALSE)</f>
        <v>#N/A</v>
      </c>
      <c r="AA43" s="19" t="str">
        <f t="shared" si="1"/>
        <v>Year, Month, Day, Hour, Minute part of time-tag</v>
      </c>
    </row>
    <row r="44" spans="1:27" x14ac:dyDescent="0.2">
      <c r="A44" s="12">
        <v>287</v>
      </c>
      <c r="B44" s="12">
        <v>2</v>
      </c>
      <c r="C44" s="12" t="str">
        <f t="shared" si="0"/>
        <v>F12VOLT</v>
      </c>
      <c r="D44" s="12" t="s">
        <v>48</v>
      </c>
      <c r="E44" s="12">
        <v>2</v>
      </c>
      <c r="F44" s="12">
        <v>2</v>
      </c>
      <c r="G44" s="12">
        <v>1</v>
      </c>
      <c r="H44" s="12" t="s">
        <v>447</v>
      </c>
      <c r="I44" s="12">
        <v>1</v>
      </c>
      <c r="J44" s="12" t="s">
        <v>2340</v>
      </c>
      <c r="K44" s="12" t="s">
        <v>438</v>
      </c>
      <c r="L44" s="23" t="s">
        <v>1342</v>
      </c>
      <c r="M44" s="13" t="s">
        <v>1464</v>
      </c>
      <c r="N44" s="13" t="s">
        <v>1490</v>
      </c>
      <c r="O44" s="12" t="s">
        <v>1342</v>
      </c>
      <c r="P44" s="12" t="s">
        <v>1832</v>
      </c>
      <c r="Q44" s="12" t="s">
        <v>1342</v>
      </c>
      <c r="R44" s="13" t="s">
        <v>2125</v>
      </c>
      <c r="S44" s="13" t="s">
        <v>1342</v>
      </c>
      <c r="T44" s="23" t="s">
        <v>1342</v>
      </c>
      <c r="U44" s="13">
        <v>1</v>
      </c>
      <c r="V44" s="13" t="s">
        <v>2207</v>
      </c>
      <c r="W44" s="13" t="s">
        <v>1342</v>
      </c>
      <c r="X44" s="12" t="str">
        <f>VLOOKUP($D44,global_toc!$C:$K,7,FALSE)</f>
        <v>84JUL18DX</v>
      </c>
      <c r="Y44" s="12" t="str">
        <f>VLOOKUP($D44,global_toc!$C:$K,8,FALSE)</f>
        <v>91MAR25DX</v>
      </c>
      <c r="Z44" s="12">
        <f>VLOOKUP($D44,global_toc!$C:$K,9,FALSE)</f>
        <v>40</v>
      </c>
      <c r="AA44" s="19" t="str">
        <f t="shared" si="1"/>
        <v>F1, F2 VOLT          .</v>
      </c>
    </row>
    <row r="45" spans="1:27" x14ac:dyDescent="0.2">
      <c r="A45" s="12">
        <v>292</v>
      </c>
      <c r="B45" s="12">
        <v>2</v>
      </c>
      <c r="C45" s="12" t="str">
        <f t="shared" si="0"/>
        <v>WVRDelay</v>
      </c>
      <c r="D45" s="12" t="s">
        <v>1075</v>
      </c>
      <c r="E45" s="12">
        <v>2</v>
      </c>
      <c r="F45" s="12">
        <v>2</v>
      </c>
      <c r="G45" s="12">
        <v>2</v>
      </c>
      <c r="H45" s="12" t="s">
        <v>447</v>
      </c>
      <c r="I45" s="12">
        <v>1</v>
      </c>
      <c r="J45" s="12" t="s">
        <v>1806</v>
      </c>
      <c r="K45" s="12" t="s">
        <v>438</v>
      </c>
      <c r="L45" s="23" t="s">
        <v>1342</v>
      </c>
      <c r="M45" s="13" t="s">
        <v>1464</v>
      </c>
      <c r="N45" s="13" t="s">
        <v>1490</v>
      </c>
      <c r="O45" s="12" t="s">
        <v>1342</v>
      </c>
      <c r="P45" s="12" t="s">
        <v>1832</v>
      </c>
      <c r="Q45" s="12" t="s">
        <v>1342</v>
      </c>
      <c r="R45" s="13" t="s">
        <v>1950</v>
      </c>
      <c r="S45" s="13" t="s">
        <v>1342</v>
      </c>
      <c r="T45" s="23" t="s">
        <v>1342</v>
      </c>
      <c r="U45" s="13">
        <v>1</v>
      </c>
      <c r="V45" s="13" t="s">
        <v>1952</v>
      </c>
      <c r="W45" s="13" t="s">
        <v>1342</v>
      </c>
      <c r="X45" s="12" t="str">
        <f>VLOOKUP($D45,global_toc!$C:$K,7,FALSE)</f>
        <v>80SEP29X_</v>
      </c>
      <c r="Y45" s="12" t="str">
        <f>VLOOKUP($D45,global_toc!$C:$K,8,FALSE)</f>
        <v>91MAR25DX</v>
      </c>
      <c r="Z45" s="12">
        <f>VLOOKUP($D45,global_toc!$C:$K,9,FALSE)</f>
        <v>229</v>
      </c>
      <c r="AA45" s="19" t="str">
        <f t="shared" si="1"/>
        <v>WVR line of sight &amp; ZENITH(sec)</v>
      </c>
    </row>
    <row r="46" spans="1:27" x14ac:dyDescent="0.2">
      <c r="A46" s="12">
        <v>291</v>
      </c>
      <c r="B46" s="12">
        <v>2</v>
      </c>
      <c r="C46" s="12" t="str">
        <f t="shared" si="0"/>
        <v>WVRDelay</v>
      </c>
      <c r="D46" s="12" t="s">
        <v>69</v>
      </c>
      <c r="E46" s="12">
        <v>2</v>
      </c>
      <c r="F46" s="12">
        <v>2</v>
      </c>
      <c r="G46" s="12">
        <v>1</v>
      </c>
      <c r="H46" s="12" t="s">
        <v>447</v>
      </c>
      <c r="I46" s="12">
        <v>1</v>
      </c>
      <c r="J46" s="12" t="s">
        <v>70</v>
      </c>
      <c r="K46" s="12" t="s">
        <v>438</v>
      </c>
      <c r="L46" s="23" t="s">
        <v>1342</v>
      </c>
      <c r="M46" s="13" t="s">
        <v>1464</v>
      </c>
      <c r="N46" s="13" t="s">
        <v>1490</v>
      </c>
      <c r="O46" s="12" t="s">
        <v>1342</v>
      </c>
      <c r="P46" s="12" t="s">
        <v>1832</v>
      </c>
      <c r="Q46" s="12" t="s">
        <v>1342</v>
      </c>
      <c r="R46" s="13" t="s">
        <v>1950</v>
      </c>
      <c r="S46" s="13" t="s">
        <v>1342</v>
      </c>
      <c r="T46" s="23" t="s">
        <v>1342</v>
      </c>
      <c r="U46" s="13">
        <v>1</v>
      </c>
      <c r="V46" s="13" t="s">
        <v>1952</v>
      </c>
      <c r="W46" s="13" t="s">
        <v>1342</v>
      </c>
      <c r="X46" s="12" t="str">
        <f>VLOOKUP($D46,global_toc!$C:$K,7,FALSE)</f>
        <v>80JUL26X_</v>
      </c>
      <c r="Y46" s="12" t="str">
        <f>VLOOKUP($D46,global_toc!$C:$K,8,FALSE)</f>
        <v>81MAY13X_</v>
      </c>
      <c r="Z46" s="12">
        <f>VLOOKUP($D46,global_toc!$C:$K,9,FALSE)</f>
        <v>10</v>
      </c>
      <c r="AA46" s="19" t="str">
        <f t="shared" si="1"/>
        <v>WVR PATH DELAYWVR PATH DELAY AND</v>
      </c>
    </row>
    <row r="47" spans="1:27" x14ac:dyDescent="0.2">
      <c r="A47" s="12">
        <v>289</v>
      </c>
      <c r="B47" s="12">
        <v>2</v>
      </c>
      <c r="C47" s="12" t="str">
        <f t="shared" si="0"/>
        <v>WVRDelay</v>
      </c>
      <c r="D47" s="12" t="s">
        <v>1076</v>
      </c>
      <c r="E47" s="12">
        <v>2</v>
      </c>
      <c r="F47" s="12">
        <v>2</v>
      </c>
      <c r="G47" s="12">
        <v>2</v>
      </c>
      <c r="H47" s="12" t="s">
        <v>447</v>
      </c>
      <c r="I47" s="12">
        <v>1</v>
      </c>
      <c r="J47" s="12" t="s">
        <v>56</v>
      </c>
      <c r="K47" s="12" t="s">
        <v>438</v>
      </c>
      <c r="L47" s="23" t="s">
        <v>1342</v>
      </c>
      <c r="M47" s="13" t="s">
        <v>1464</v>
      </c>
      <c r="N47" s="13" t="s">
        <v>1490</v>
      </c>
      <c r="O47" s="12" t="s">
        <v>1342</v>
      </c>
      <c r="P47" s="12" t="s">
        <v>1832</v>
      </c>
      <c r="Q47" s="12" t="s">
        <v>1342</v>
      </c>
      <c r="R47" s="13" t="s">
        <v>1950</v>
      </c>
      <c r="S47" s="13" t="s">
        <v>1342</v>
      </c>
      <c r="T47" s="23" t="s">
        <v>1342</v>
      </c>
      <c r="U47" s="13">
        <v>1</v>
      </c>
      <c r="V47" s="13" t="s">
        <v>1952</v>
      </c>
      <c r="W47" s="13" t="s">
        <v>1342</v>
      </c>
      <c r="X47" s="12" t="str">
        <f>VLOOKUP($D47,global_toc!$C:$K,7,FALSE)</f>
        <v>82JUN16X_</v>
      </c>
      <c r="Y47" s="12" t="str">
        <f>VLOOKUP($D47,global_toc!$C:$K,8,FALSE)</f>
        <v>84MAY08X_</v>
      </c>
      <c r="Z47" s="12">
        <f>VLOOKUP($D47,global_toc!$C:$K,9,FALSE)</f>
        <v>101</v>
      </c>
      <c r="AA47" s="19" t="str">
        <f t="shared" si="1"/>
        <v>WVR LINE OF SIGHT &amp; ZENITH(NSEC)</v>
      </c>
    </row>
    <row r="48" spans="1:27" x14ac:dyDescent="0.2">
      <c r="A48" s="12">
        <v>288</v>
      </c>
      <c r="B48" s="12">
        <v>2</v>
      </c>
      <c r="C48" s="12" t="str">
        <f t="shared" si="0"/>
        <v>WVRQcode</v>
      </c>
      <c r="D48" s="12" t="s">
        <v>1242</v>
      </c>
      <c r="E48" s="12">
        <v>2</v>
      </c>
      <c r="F48" s="12">
        <v>1</v>
      </c>
      <c r="G48" s="12">
        <v>1</v>
      </c>
      <c r="H48" s="12" t="s">
        <v>544</v>
      </c>
      <c r="I48" s="12">
        <v>2</v>
      </c>
      <c r="J48" s="12" t="s">
        <v>52</v>
      </c>
      <c r="K48" s="12" t="s">
        <v>438</v>
      </c>
      <c r="L48" s="23" t="s">
        <v>1342</v>
      </c>
      <c r="M48" s="13" t="s">
        <v>1464</v>
      </c>
      <c r="N48" s="13" t="s">
        <v>1490</v>
      </c>
      <c r="O48" s="12" t="s">
        <v>1342</v>
      </c>
      <c r="P48" s="12" t="s">
        <v>1832</v>
      </c>
      <c r="Q48" s="12" t="s">
        <v>1342</v>
      </c>
      <c r="R48" s="13" t="s">
        <v>1953</v>
      </c>
      <c r="S48" s="13" t="s">
        <v>1342</v>
      </c>
      <c r="T48" s="23" t="s">
        <v>1342</v>
      </c>
      <c r="U48" s="13">
        <v>1</v>
      </c>
      <c r="V48" s="13" t="s">
        <v>1840</v>
      </c>
      <c r="W48" s="13" t="s">
        <v>1342</v>
      </c>
      <c r="X48" s="12" t="str">
        <f>VLOOKUP($D48,global_toc!$C:$K,7,FALSE)</f>
        <v>80SEP29X_</v>
      </c>
      <c r="Y48" s="12" t="str">
        <f>VLOOKUP($D48,global_toc!$C:$K,8,FALSE)</f>
        <v>89OCT31X_</v>
      </c>
      <c r="Z48" s="12">
        <f>VLOOKUP($D48,global_toc!$C:$K,9,FALSE)</f>
        <v>190</v>
      </c>
      <c r="AA48" s="19" t="str">
        <f t="shared" si="1"/>
        <v>WVR DELAY DATA QUALITY CODE</v>
      </c>
    </row>
    <row r="49" spans="1:27" x14ac:dyDescent="0.2">
      <c r="A49" s="12">
        <v>286</v>
      </c>
      <c r="B49" s="12">
        <v>2</v>
      </c>
      <c r="C49" s="12" t="str">
        <f t="shared" si="0"/>
        <v>WVRTemp</v>
      </c>
      <c r="D49" s="12" t="s">
        <v>46</v>
      </c>
      <c r="E49" s="12">
        <v>2</v>
      </c>
      <c r="F49" s="12">
        <v>2</v>
      </c>
      <c r="G49" s="12">
        <v>1</v>
      </c>
      <c r="H49" s="12" t="s">
        <v>447</v>
      </c>
      <c r="I49" s="12">
        <v>1</v>
      </c>
      <c r="J49" s="12" t="s">
        <v>2313</v>
      </c>
      <c r="K49" s="12" t="s">
        <v>438</v>
      </c>
      <c r="L49" s="23" t="s">
        <v>1342</v>
      </c>
      <c r="M49" s="13" t="s">
        <v>1464</v>
      </c>
      <c r="N49" s="13" t="s">
        <v>1490</v>
      </c>
      <c r="O49" s="12" t="s">
        <v>1342</v>
      </c>
      <c r="P49" s="12" t="s">
        <v>1832</v>
      </c>
      <c r="Q49" s="12" t="s">
        <v>1342</v>
      </c>
      <c r="R49" s="13" t="s">
        <v>1951</v>
      </c>
      <c r="S49" s="13" t="s">
        <v>1342</v>
      </c>
      <c r="T49" s="23" t="s">
        <v>1342</v>
      </c>
      <c r="U49" s="13">
        <v>1</v>
      </c>
      <c r="V49" s="13" t="s">
        <v>1464</v>
      </c>
      <c r="W49" s="13" t="s">
        <v>1342</v>
      </c>
      <c r="X49" s="12" t="str">
        <f>VLOOKUP($D49,global_toc!$C:$K,7,FALSE)</f>
        <v>84JUL18DX</v>
      </c>
      <c r="Y49" s="12" t="str">
        <f>VLOOKUP($D49,global_toc!$C:$K,8,FALSE)</f>
        <v>91MAR25DX</v>
      </c>
      <c r="Z49" s="12">
        <f>VLOOKUP($D49,global_toc!$C:$K,9,FALSE)</f>
        <v>40</v>
      </c>
      <c r="AA49" s="19" t="str">
        <f t="shared" si="1"/>
        <v>BRT TEMP (K) OF WVR ,F1,F2.</v>
      </c>
    </row>
    <row r="50" spans="1:27" x14ac:dyDescent="0.2">
      <c r="A50" s="12">
        <v>290</v>
      </c>
      <c r="B50" s="12">
        <v>2</v>
      </c>
      <c r="C50" s="12" t="str">
        <f t="shared" si="0"/>
        <v>WVRTempRef</v>
      </c>
      <c r="D50" s="12" t="s">
        <v>50</v>
      </c>
      <c r="E50" s="12">
        <v>3</v>
      </c>
      <c r="F50" s="12">
        <v>2</v>
      </c>
      <c r="G50" s="12">
        <v>1</v>
      </c>
      <c r="H50" s="12" t="s">
        <v>447</v>
      </c>
      <c r="I50" s="12">
        <v>1</v>
      </c>
      <c r="J50" s="12" t="s">
        <v>2314</v>
      </c>
      <c r="K50" s="12" t="s">
        <v>438</v>
      </c>
      <c r="L50" s="23" t="s">
        <v>1342</v>
      </c>
      <c r="M50" s="13" t="s">
        <v>1464</v>
      </c>
      <c r="N50" s="13" t="s">
        <v>1490</v>
      </c>
      <c r="O50" s="12" t="s">
        <v>1342</v>
      </c>
      <c r="P50" s="12" t="s">
        <v>1832</v>
      </c>
      <c r="Q50" s="12" t="s">
        <v>1342</v>
      </c>
      <c r="R50" s="13" t="s">
        <v>1954</v>
      </c>
      <c r="S50" s="13" t="s">
        <v>1342</v>
      </c>
      <c r="T50" s="23" t="s">
        <v>1342</v>
      </c>
      <c r="U50" s="13">
        <v>1</v>
      </c>
      <c r="V50" s="13" t="s">
        <v>1464</v>
      </c>
      <c r="W50" s="13" t="s">
        <v>1342</v>
      </c>
      <c r="X50" s="12" t="str">
        <f>VLOOKUP($D50,global_toc!$C:$K,7,FALSE)</f>
        <v>84JUL18DX</v>
      </c>
      <c r="Y50" s="12" t="str">
        <f>VLOOKUP($D50,global_toc!$C:$K,8,FALSE)</f>
        <v>91MAR25DX</v>
      </c>
      <c r="Z50" s="12">
        <f>VLOOKUP($D50,global_toc!$C:$K,9,FALSE)</f>
        <v>40</v>
      </c>
      <c r="AA50" s="19" t="str">
        <f t="shared" si="1"/>
        <v>REFERENCE1,2 WVR TEMP (K).</v>
      </c>
    </row>
    <row r="51" spans="1:27" x14ac:dyDescent="0.2">
      <c r="A51" s="12">
        <v>134</v>
      </c>
      <c r="B51" s="12" t="s">
        <v>1655</v>
      </c>
      <c r="C51" s="12" t="str">
        <f t="shared" si="0"/>
        <v>AntennaStationList</v>
      </c>
      <c r="D51" s="12" t="s">
        <v>2601</v>
      </c>
      <c r="E51" s="12">
        <v>4</v>
      </c>
      <c r="F51" s="12">
        <v>11</v>
      </c>
      <c r="G51" s="12">
        <v>1</v>
      </c>
      <c r="H51" s="12" t="s">
        <v>589</v>
      </c>
      <c r="I51" s="12">
        <v>1</v>
      </c>
      <c r="J51" s="12" t="s">
        <v>2599</v>
      </c>
      <c r="K51" s="12" t="s">
        <v>1340</v>
      </c>
      <c r="L51" s="23" t="s">
        <v>1342</v>
      </c>
      <c r="M51" s="13" t="s">
        <v>1464</v>
      </c>
      <c r="N51" s="13" t="s">
        <v>1477</v>
      </c>
      <c r="O51" s="12" t="s">
        <v>2126</v>
      </c>
      <c r="P51" s="12" t="s">
        <v>2600</v>
      </c>
      <c r="Q51" s="12" t="s">
        <v>1342</v>
      </c>
      <c r="R51" s="12" t="s">
        <v>2601</v>
      </c>
      <c r="S51" s="13" t="s">
        <v>1342</v>
      </c>
      <c r="T51" s="23" t="s">
        <v>1342</v>
      </c>
      <c r="U51" s="13" t="s">
        <v>1342</v>
      </c>
      <c r="V51" s="13" t="s">
        <v>1342</v>
      </c>
      <c r="W51" s="13" t="s">
        <v>1342</v>
      </c>
      <c r="X51" s="12" t="e">
        <f>VLOOKUP($D51,global_toc!$C:$K,7,FALSE)</f>
        <v>#N/A</v>
      </c>
      <c r="Y51" s="12" t="e">
        <f>VLOOKUP($D51,global_toc!$C:$K,8,FALSE)</f>
        <v>#N/A</v>
      </c>
      <c r="Z51" s="12" t="e">
        <f>VLOOKUP($D51,global_toc!$C:$K,9,FALSE)</f>
        <v>#N/A</v>
      </c>
      <c r="AA51" s="19" t="str">
        <f t="shared" si="1"/>
        <v>List of Antennas</v>
      </c>
    </row>
    <row r="52" spans="1:27" x14ac:dyDescent="0.2">
      <c r="A52" s="12">
        <v>142</v>
      </c>
      <c r="B52" s="12">
        <v>1</v>
      </c>
      <c r="C52" s="12" t="str">
        <f t="shared" si="0"/>
        <v>AntennaAxisOffset</v>
      </c>
      <c r="D52" s="14" t="s">
        <v>487</v>
      </c>
      <c r="E52" s="12">
        <v>11</v>
      </c>
      <c r="F52" s="12">
        <v>1</v>
      </c>
      <c r="G52" s="12">
        <v>1</v>
      </c>
      <c r="H52" s="12" t="s">
        <v>447</v>
      </c>
      <c r="I52" s="12">
        <v>5</v>
      </c>
      <c r="J52" s="12" t="s">
        <v>488</v>
      </c>
      <c r="K52" s="12" t="s">
        <v>1340</v>
      </c>
      <c r="L52" s="23" t="s">
        <v>1342</v>
      </c>
      <c r="M52" s="13" t="s">
        <v>447</v>
      </c>
      <c r="N52" s="13" t="s">
        <v>1477</v>
      </c>
      <c r="O52" s="12" t="s">
        <v>2126</v>
      </c>
      <c r="P52" s="12" t="s">
        <v>2600</v>
      </c>
      <c r="Q52" s="12" t="s">
        <v>1342</v>
      </c>
      <c r="R52" s="13" t="s">
        <v>2626</v>
      </c>
      <c r="S52" s="13" t="s">
        <v>1342</v>
      </c>
      <c r="T52" s="23" t="s">
        <v>1342</v>
      </c>
      <c r="U52" s="13" t="s">
        <v>1342</v>
      </c>
      <c r="V52" s="13" t="s">
        <v>1473</v>
      </c>
      <c r="W52" s="13" t="s">
        <v>1342</v>
      </c>
      <c r="X52" s="12" t="str">
        <f>VLOOKUP($D52,global_toc!$C:$K,7,FALSE)</f>
        <v>79AUG03XX</v>
      </c>
      <c r="Y52" s="12" t="str">
        <f>VLOOKUP($D52,global_toc!$C:$K,8,FALSE)</f>
        <v>11OCT17XA</v>
      </c>
      <c r="Z52" s="12">
        <f>VLOOKUP($D52,global_toc!$C:$K,9,FALSE)</f>
        <v>5029</v>
      </c>
      <c r="AA52" s="19" t="str">
        <f t="shared" si="1"/>
        <v>Axis offsets (m).</v>
      </c>
    </row>
    <row r="53" spans="1:27" x14ac:dyDescent="0.2">
      <c r="A53" s="12">
        <v>143</v>
      </c>
      <c r="B53" s="12">
        <v>1</v>
      </c>
      <c r="C53" s="12" t="str">
        <f t="shared" si="0"/>
        <v>AntennaAxisTilt</v>
      </c>
      <c r="D53" s="14" t="s">
        <v>733</v>
      </c>
      <c r="E53" s="12">
        <v>2</v>
      </c>
      <c r="F53" s="12">
        <v>11</v>
      </c>
      <c r="G53" s="12">
        <v>1</v>
      </c>
      <c r="H53" s="12" t="s">
        <v>447</v>
      </c>
      <c r="I53" s="12">
        <v>5</v>
      </c>
      <c r="J53" s="12" t="s">
        <v>734</v>
      </c>
      <c r="K53" s="12" t="s">
        <v>1340</v>
      </c>
      <c r="L53" s="23" t="s">
        <v>1342</v>
      </c>
      <c r="M53" s="13" t="s">
        <v>1464</v>
      </c>
      <c r="N53" s="13" t="s">
        <v>1477</v>
      </c>
      <c r="O53" s="12" t="s">
        <v>2126</v>
      </c>
      <c r="P53" s="12" t="s">
        <v>2600</v>
      </c>
      <c r="Q53" s="12" t="s">
        <v>1342</v>
      </c>
      <c r="R53" s="13" t="s">
        <v>2627</v>
      </c>
      <c r="S53" s="13" t="s">
        <v>1342</v>
      </c>
      <c r="T53" s="23" t="s">
        <v>1906</v>
      </c>
      <c r="U53" s="13" t="s">
        <v>1342</v>
      </c>
      <c r="V53" s="13" t="s">
        <v>1474</v>
      </c>
      <c r="W53" s="13" t="s">
        <v>1342</v>
      </c>
      <c r="X53" s="12" t="str">
        <f>VLOOKUP($D53,global_toc!$C:$K,7,FALSE)</f>
        <v>79AUG03XX</v>
      </c>
      <c r="Y53" s="12" t="str">
        <f>VLOOKUP($D53,global_toc!$C:$K,8,FALSE)</f>
        <v>11OCT17XA</v>
      </c>
      <c r="Z53" s="12">
        <f>VLOOKUP($D53,global_toc!$C:$K,9,FALSE)</f>
        <v>5029</v>
      </c>
      <c r="AA53" s="19" t="str">
        <f t="shared" si="1"/>
        <v>Fixed axis tilt</v>
      </c>
    </row>
    <row r="54" spans="1:27" x14ac:dyDescent="0.2">
      <c r="A54" s="12">
        <v>144</v>
      </c>
      <c r="B54" s="12">
        <v>1</v>
      </c>
      <c r="C54" s="12" t="str">
        <f t="shared" si="0"/>
        <v>AntennaAxisType</v>
      </c>
      <c r="D54" s="14" t="s">
        <v>558</v>
      </c>
      <c r="E54" s="12">
        <v>11</v>
      </c>
      <c r="F54" s="12">
        <v>1</v>
      </c>
      <c r="G54" s="12">
        <v>1</v>
      </c>
      <c r="H54" s="12" t="s">
        <v>544</v>
      </c>
      <c r="I54" s="12">
        <v>5</v>
      </c>
      <c r="J54" s="12" t="s">
        <v>1681</v>
      </c>
      <c r="K54" s="12" t="s">
        <v>1340</v>
      </c>
      <c r="L54" s="23" t="s">
        <v>1342</v>
      </c>
      <c r="M54" s="13" t="s">
        <v>447</v>
      </c>
      <c r="N54" s="13" t="s">
        <v>1477</v>
      </c>
      <c r="O54" s="12" t="s">
        <v>2126</v>
      </c>
      <c r="P54" s="12" t="s">
        <v>2600</v>
      </c>
      <c r="Q54" s="12" t="s">
        <v>1342</v>
      </c>
      <c r="R54" s="13" t="s">
        <v>2628</v>
      </c>
      <c r="S54" s="13" t="s">
        <v>1342</v>
      </c>
      <c r="T54" s="23" t="s">
        <v>1342</v>
      </c>
      <c r="U54" s="13" t="s">
        <v>1342</v>
      </c>
      <c r="V54" s="13" t="s">
        <v>1342</v>
      </c>
      <c r="W54" s="13" t="s">
        <v>1342</v>
      </c>
      <c r="X54" s="12" t="str">
        <f>VLOOKUP($D54,global_toc!$C:$K,7,FALSE)</f>
        <v>79AUG03XX</v>
      </c>
      <c r="Y54" s="12" t="str">
        <f>VLOOKUP($D54,global_toc!$C:$K,8,FALSE)</f>
        <v>11OCT17XA</v>
      </c>
      <c r="Z54" s="12">
        <f>VLOOKUP($D54,global_toc!$C:$K,9,FALSE)</f>
        <v>5029</v>
      </c>
      <c r="AA54" s="19" t="str">
        <f t="shared" si="1"/>
        <v>Axis type (1-eq 2-xy 3-azel 4 5)</v>
      </c>
    </row>
    <row r="55" spans="1:27" x14ac:dyDescent="0.2">
      <c r="A55" s="12">
        <v>137</v>
      </c>
      <c r="B55" s="12">
        <v>1</v>
      </c>
      <c r="C55" s="12" t="str">
        <f t="shared" si="0"/>
        <v>AprioriClockOffset</v>
      </c>
      <c r="D55" s="14" t="s">
        <v>537</v>
      </c>
      <c r="E55" s="12">
        <v>4</v>
      </c>
      <c r="F55" s="12">
        <v>1</v>
      </c>
      <c r="G55" s="12">
        <v>1</v>
      </c>
      <c r="H55" s="12" t="s">
        <v>447</v>
      </c>
      <c r="I55" s="12">
        <v>4</v>
      </c>
      <c r="J55" s="12" t="s">
        <v>538</v>
      </c>
      <c r="K55" s="12" t="s">
        <v>1340</v>
      </c>
      <c r="L55" s="23" t="s">
        <v>1342</v>
      </c>
      <c r="M55" s="13" t="s">
        <v>1464</v>
      </c>
      <c r="N55" s="13" t="s">
        <v>1490</v>
      </c>
      <c r="O55" s="12" t="s">
        <v>2126</v>
      </c>
      <c r="P55" s="12" t="s">
        <v>2602</v>
      </c>
      <c r="Q55" s="12" t="s">
        <v>1342</v>
      </c>
      <c r="R55" s="13" t="s">
        <v>2623</v>
      </c>
      <c r="S55" s="13" t="s">
        <v>1342</v>
      </c>
      <c r="T55" s="23" t="s">
        <v>1342</v>
      </c>
      <c r="U55" s="13" t="s">
        <v>1342</v>
      </c>
      <c r="V55" s="13" t="s">
        <v>1342</v>
      </c>
      <c r="W55" s="13" t="s">
        <v>1342</v>
      </c>
      <c r="X55" s="12" t="str">
        <f>VLOOKUP($D55,global_toc!$C:$K,7,FALSE)</f>
        <v>79AUG03XX</v>
      </c>
      <c r="Y55" s="12" t="str">
        <f>VLOOKUP($D55,global_toc!$C:$K,8,FALSE)</f>
        <v>11OCT17XA</v>
      </c>
      <c r="Z55" s="12">
        <f>VLOOKUP($D55,global_toc!$C:$K,9,FALSE)</f>
        <v>2393</v>
      </c>
      <c r="AA55" s="19" t="str">
        <f t="shared" si="1"/>
        <v>A priori clock offset (sec)</v>
      </c>
    </row>
    <row r="56" spans="1:27" x14ac:dyDescent="0.2">
      <c r="A56" s="12">
        <v>136</v>
      </c>
      <c r="B56" s="12">
        <v>1</v>
      </c>
      <c r="C56" s="12" t="str">
        <f t="shared" si="0"/>
        <v>AprioriClockRate</v>
      </c>
      <c r="D56" s="14" t="s">
        <v>539</v>
      </c>
      <c r="E56" s="12">
        <v>4</v>
      </c>
      <c r="F56" s="12">
        <v>1</v>
      </c>
      <c r="G56" s="12">
        <v>1</v>
      </c>
      <c r="H56" s="12" t="s">
        <v>447</v>
      </c>
      <c r="I56" s="12">
        <v>4</v>
      </c>
      <c r="J56" s="12" t="s">
        <v>540</v>
      </c>
      <c r="K56" s="12" t="s">
        <v>1340</v>
      </c>
      <c r="L56" s="23" t="s">
        <v>1342</v>
      </c>
      <c r="M56" s="13" t="s">
        <v>1464</v>
      </c>
      <c r="N56" s="13" t="s">
        <v>1490</v>
      </c>
      <c r="O56" s="12" t="s">
        <v>2126</v>
      </c>
      <c r="P56" s="12" t="s">
        <v>2602</v>
      </c>
      <c r="Q56" s="12" t="s">
        <v>1342</v>
      </c>
      <c r="R56" s="13" t="s">
        <v>2624</v>
      </c>
      <c r="S56" s="13" t="s">
        <v>1342</v>
      </c>
      <c r="T56" s="23" t="s">
        <v>1342</v>
      </c>
      <c r="U56" s="13" t="s">
        <v>1342</v>
      </c>
      <c r="V56" s="13" t="s">
        <v>1342</v>
      </c>
      <c r="W56" s="13" t="s">
        <v>1342</v>
      </c>
      <c r="X56" s="12" t="str">
        <f>VLOOKUP($D56,global_toc!$C:$K,7,FALSE)</f>
        <v>79AUG03XX</v>
      </c>
      <c r="Y56" s="12" t="str">
        <f>VLOOKUP($D56,global_toc!$C:$K,8,FALSE)</f>
        <v>11OCT17XA</v>
      </c>
      <c r="Z56" s="12">
        <f>VLOOKUP($D56,global_toc!$C:$K,9,FALSE)</f>
        <v>2393</v>
      </c>
      <c r="AA56" s="19" t="str">
        <f t="shared" si="1"/>
        <v>A priori clock drift (sec/sec)</v>
      </c>
    </row>
    <row r="57" spans="1:27" x14ac:dyDescent="0.2">
      <c r="A57" s="12">
        <v>138</v>
      </c>
      <c r="B57" s="12">
        <v>1</v>
      </c>
      <c r="C57" s="12" t="str">
        <f t="shared" si="0"/>
        <v>AprioriClockStationList</v>
      </c>
      <c r="D57" s="14" t="s">
        <v>714</v>
      </c>
      <c r="E57" s="12">
        <v>4</v>
      </c>
      <c r="F57" s="12">
        <v>4</v>
      </c>
      <c r="G57" s="12">
        <v>1</v>
      </c>
      <c r="H57" s="12" t="s">
        <v>589</v>
      </c>
      <c r="I57" s="12">
        <v>4</v>
      </c>
      <c r="J57" s="12" t="s">
        <v>715</v>
      </c>
      <c r="K57" s="12" t="s">
        <v>1340</v>
      </c>
      <c r="L57" s="23" t="s">
        <v>1342</v>
      </c>
      <c r="M57" s="13" t="s">
        <v>1464</v>
      </c>
      <c r="N57" s="13" t="s">
        <v>1490</v>
      </c>
      <c r="O57" s="12" t="s">
        <v>2126</v>
      </c>
      <c r="P57" s="12" t="s">
        <v>2602</v>
      </c>
      <c r="Q57" s="12" t="s">
        <v>1342</v>
      </c>
      <c r="R57" s="13" t="s">
        <v>2625</v>
      </c>
      <c r="S57" s="13" t="s">
        <v>1342</v>
      </c>
      <c r="T57" s="23" t="s">
        <v>1342</v>
      </c>
      <c r="U57" s="13" t="s">
        <v>1342</v>
      </c>
      <c r="V57" s="13" t="s">
        <v>1342</v>
      </c>
      <c r="W57" s="13" t="s">
        <v>1342</v>
      </c>
      <c r="X57" s="12" t="str">
        <f>VLOOKUP($D57,global_toc!$C:$K,7,FALSE)</f>
        <v>79AUG03XX</v>
      </c>
      <c r="Y57" s="12" t="str">
        <f>VLOOKUP($D57,global_toc!$C:$K,8,FALSE)</f>
        <v>11OCT17XA</v>
      </c>
      <c r="Z57" s="12">
        <f>VLOOKUP($D57,global_toc!$C:$K,9,FALSE)</f>
        <v>2393</v>
      </c>
      <c r="AA57" s="19" t="str">
        <f t="shared" si="1"/>
        <v>Stations with a priori clock mod</v>
      </c>
    </row>
    <row r="58" spans="1:27" x14ac:dyDescent="0.2">
      <c r="A58" s="12">
        <v>147</v>
      </c>
      <c r="B58" s="12">
        <v>1</v>
      </c>
      <c r="C58" s="12" t="str">
        <f t="shared" si="0"/>
        <v>EccentricityMonument</v>
      </c>
      <c r="D58" s="14" t="s">
        <v>726</v>
      </c>
      <c r="E58" s="12">
        <v>9</v>
      </c>
      <c r="F58" s="12">
        <v>11</v>
      </c>
      <c r="G58" s="12">
        <v>1</v>
      </c>
      <c r="H58" s="12" t="s">
        <v>589</v>
      </c>
      <c r="I58" s="12">
        <v>4</v>
      </c>
      <c r="J58" s="12" t="s">
        <v>727</v>
      </c>
      <c r="K58" s="12" t="s">
        <v>1340</v>
      </c>
      <c r="L58" s="23" t="s">
        <v>1342</v>
      </c>
      <c r="M58" s="13" t="s">
        <v>1467</v>
      </c>
      <c r="N58" s="13" t="s">
        <v>1477</v>
      </c>
      <c r="O58" s="12" t="s">
        <v>2126</v>
      </c>
      <c r="P58" s="12" t="s">
        <v>2603</v>
      </c>
      <c r="Q58" s="12" t="s">
        <v>1342</v>
      </c>
      <c r="R58" s="13" t="s">
        <v>1911</v>
      </c>
      <c r="S58" s="13" t="s">
        <v>1342</v>
      </c>
      <c r="T58" s="23" t="s">
        <v>1915</v>
      </c>
      <c r="U58" s="13" t="s">
        <v>1342</v>
      </c>
      <c r="V58" s="13" t="s">
        <v>1342</v>
      </c>
      <c r="W58" s="13" t="s">
        <v>1342</v>
      </c>
      <c r="X58" s="12" t="str">
        <f>VLOOKUP($D58,global_toc!$C:$K,7,FALSE)</f>
        <v>79AUG03XX</v>
      </c>
      <c r="Y58" s="12" t="str">
        <f>VLOOKUP($D58,global_toc!$C:$K,8,FALSE)</f>
        <v>11OCT17XA</v>
      </c>
      <c r="Z58" s="12">
        <f>VLOOKUP($D58,global_toc!$C:$K,9,FALSE)</f>
        <v>5028</v>
      </c>
      <c r="AA58" s="19" t="str">
        <f t="shared" si="1"/>
        <v>Eccentricity monument name</v>
      </c>
    </row>
    <row r="59" spans="1:27" x14ac:dyDescent="0.2">
      <c r="A59" s="12">
        <v>134</v>
      </c>
      <c r="B59" s="12" t="s">
        <v>1655</v>
      </c>
      <c r="C59" s="12" t="str">
        <f t="shared" si="0"/>
        <v>EccentricityStationList</v>
      </c>
      <c r="D59" s="12" t="s">
        <v>2604</v>
      </c>
      <c r="E59" s="12">
        <v>4</v>
      </c>
      <c r="F59" s="12">
        <v>11</v>
      </c>
      <c r="G59" s="12">
        <v>1</v>
      </c>
      <c r="H59" s="12" t="s">
        <v>589</v>
      </c>
      <c r="I59" s="12">
        <v>1</v>
      </c>
      <c r="J59" s="12" t="s">
        <v>608</v>
      </c>
      <c r="K59" s="12" t="s">
        <v>1340</v>
      </c>
      <c r="L59" s="23" t="s">
        <v>1342</v>
      </c>
      <c r="M59" s="13" t="s">
        <v>1464</v>
      </c>
      <c r="N59" s="13" t="s">
        <v>1477</v>
      </c>
      <c r="O59" s="12" t="s">
        <v>2126</v>
      </c>
      <c r="P59" s="12" t="s">
        <v>2603</v>
      </c>
      <c r="Q59" s="12" t="s">
        <v>1342</v>
      </c>
      <c r="R59" s="12" t="s">
        <v>2604</v>
      </c>
      <c r="S59" s="13" t="s">
        <v>1342</v>
      </c>
      <c r="T59" s="23" t="s">
        <v>1342</v>
      </c>
      <c r="U59" s="13" t="s">
        <v>1342</v>
      </c>
      <c r="V59" s="13" t="s">
        <v>1342</v>
      </c>
      <c r="W59" s="13" t="s">
        <v>1342</v>
      </c>
      <c r="X59" s="12" t="e">
        <f>VLOOKUP($D59,global_toc!$C:$K,7,FALSE)</f>
        <v>#N/A</v>
      </c>
      <c r="Y59" s="12" t="e">
        <f>VLOOKUP($D59,global_toc!$C:$K,8,FALSE)</f>
        <v>#N/A</v>
      </c>
      <c r="Z59" s="12" t="e">
        <f>VLOOKUP($D59,global_toc!$C:$K,9,FALSE)</f>
        <v>#N/A</v>
      </c>
      <c r="AA59" s="19" t="str">
        <f t="shared" si="1"/>
        <v>Site names array.</v>
      </c>
    </row>
    <row r="60" spans="1:27" x14ac:dyDescent="0.2">
      <c r="A60" s="12">
        <v>148</v>
      </c>
      <c r="B60" s="12">
        <v>1</v>
      </c>
      <c r="C60" s="12" t="str">
        <f t="shared" si="0"/>
        <v>EccentricityType</v>
      </c>
      <c r="D60" s="14" t="s">
        <v>728</v>
      </c>
      <c r="E60" s="12">
        <v>11</v>
      </c>
      <c r="F60" s="12">
        <v>1</v>
      </c>
      <c r="G60" s="12">
        <v>1</v>
      </c>
      <c r="H60" s="12" t="s">
        <v>589</v>
      </c>
      <c r="I60" s="12">
        <v>4</v>
      </c>
      <c r="J60" s="12" t="s">
        <v>729</v>
      </c>
      <c r="K60" s="12" t="s">
        <v>1340</v>
      </c>
      <c r="L60" s="23" t="s">
        <v>1342</v>
      </c>
      <c r="M60" s="13" t="s">
        <v>1467</v>
      </c>
      <c r="N60" s="13" t="s">
        <v>1477</v>
      </c>
      <c r="O60" s="12" t="s">
        <v>2126</v>
      </c>
      <c r="P60" s="12" t="s">
        <v>2603</v>
      </c>
      <c r="Q60" s="12" t="s">
        <v>1342</v>
      </c>
      <c r="R60" s="13" t="s">
        <v>1909</v>
      </c>
      <c r="S60" s="13" t="s">
        <v>1342</v>
      </c>
      <c r="T60" s="23" t="s">
        <v>2086</v>
      </c>
      <c r="U60" s="13" t="s">
        <v>1342</v>
      </c>
      <c r="V60" s="13" t="s">
        <v>1342</v>
      </c>
      <c r="W60" s="13" t="s">
        <v>1342</v>
      </c>
      <c r="X60" s="12" t="str">
        <f>VLOOKUP($D60,global_toc!$C:$K,7,FALSE)</f>
        <v>79AUG03XX</v>
      </c>
      <c r="Y60" s="12" t="str">
        <f>VLOOKUP($D60,global_toc!$C:$K,8,FALSE)</f>
        <v>11OCT17XA</v>
      </c>
      <c r="Z60" s="12">
        <f>VLOOKUP($D60,global_toc!$C:$K,9,FALSE)</f>
        <v>5028</v>
      </c>
      <c r="AA60" s="19" t="str">
        <f t="shared" si="1"/>
        <v>Eccentricity type: XY or NE</v>
      </c>
    </row>
    <row r="61" spans="1:27" ht="12.75" customHeight="1" x14ac:dyDescent="0.2">
      <c r="A61" s="12">
        <v>146</v>
      </c>
      <c r="B61" s="12">
        <v>1</v>
      </c>
      <c r="C61" s="12" t="str">
        <f t="shared" si="0"/>
        <v>EccentricityVector</v>
      </c>
      <c r="D61" s="14" t="s">
        <v>541</v>
      </c>
      <c r="E61" s="12">
        <v>3</v>
      </c>
      <c r="F61" s="12">
        <v>11</v>
      </c>
      <c r="G61" s="12">
        <v>1</v>
      </c>
      <c r="H61" s="12" t="s">
        <v>447</v>
      </c>
      <c r="I61" s="12">
        <v>4</v>
      </c>
      <c r="J61" s="12" t="s">
        <v>542</v>
      </c>
      <c r="K61" s="12" t="s">
        <v>1340</v>
      </c>
      <c r="L61" s="23" t="s">
        <v>1342</v>
      </c>
      <c r="M61" s="13" t="s">
        <v>1467</v>
      </c>
      <c r="N61" s="13" t="s">
        <v>1477</v>
      </c>
      <c r="O61" s="12" t="s">
        <v>2126</v>
      </c>
      <c r="P61" s="12" t="s">
        <v>2603</v>
      </c>
      <c r="Q61" s="12" t="s">
        <v>1342</v>
      </c>
      <c r="R61" s="13" t="s">
        <v>1910</v>
      </c>
      <c r="S61" s="13" t="s">
        <v>1342</v>
      </c>
      <c r="T61" s="23" t="s">
        <v>1916</v>
      </c>
      <c r="U61" s="13" t="s">
        <v>1342</v>
      </c>
      <c r="V61" s="13" t="s">
        <v>1475</v>
      </c>
      <c r="W61" s="13" t="s">
        <v>1342</v>
      </c>
      <c r="X61" s="12" t="str">
        <f>VLOOKUP($D61,global_toc!$C:$K,7,FALSE)</f>
        <v>79AUG03XX</v>
      </c>
      <c r="Y61" s="12" t="str">
        <f>VLOOKUP($D61,global_toc!$C:$K,8,FALSE)</f>
        <v>11OCT17XA</v>
      </c>
      <c r="Z61" s="12">
        <f>VLOOKUP($D61,global_toc!$C:$K,9,FALSE)</f>
        <v>5028</v>
      </c>
      <c r="AA61" s="19" t="str">
        <f t="shared" si="1"/>
        <v>Eccentricity taken from eccentricity file.</v>
      </c>
    </row>
    <row r="62" spans="1:27" x14ac:dyDescent="0.2">
      <c r="A62" s="12">
        <v>141</v>
      </c>
      <c r="B62" s="12">
        <v>1</v>
      </c>
      <c r="C62" s="12" t="str">
        <f t="shared" si="0"/>
        <v>AprioriSourceList</v>
      </c>
      <c r="D62" s="12" t="s">
        <v>609</v>
      </c>
      <c r="E62" s="12">
        <v>4</v>
      </c>
      <c r="F62" s="12">
        <v>70</v>
      </c>
      <c r="G62" s="12">
        <v>1</v>
      </c>
      <c r="H62" s="12" t="s">
        <v>589</v>
      </c>
      <c r="I62" s="12">
        <v>1</v>
      </c>
      <c r="J62" s="12" t="s">
        <v>610</v>
      </c>
      <c r="K62" s="12" t="s">
        <v>1340</v>
      </c>
      <c r="L62" s="23" t="s">
        <v>1342</v>
      </c>
      <c r="M62" s="13" t="s">
        <v>1655</v>
      </c>
      <c r="N62" s="13" t="s">
        <v>1477</v>
      </c>
      <c r="O62" s="12" t="s">
        <v>2126</v>
      </c>
      <c r="P62" s="12" t="s">
        <v>2071</v>
      </c>
      <c r="Q62" s="12" t="s">
        <v>1342</v>
      </c>
      <c r="R62" s="13" t="s">
        <v>2571</v>
      </c>
      <c r="S62" s="13" t="s">
        <v>1342</v>
      </c>
      <c r="T62" s="23" t="s">
        <v>2085</v>
      </c>
      <c r="U62" s="13" t="s">
        <v>1342</v>
      </c>
      <c r="V62" s="13" t="s">
        <v>1342</v>
      </c>
      <c r="W62" s="13" t="s">
        <v>1342</v>
      </c>
      <c r="X62" s="12" t="str">
        <f>VLOOKUP($D62,global_toc!$C:$K,7,FALSE)</f>
        <v>79AUG03XX</v>
      </c>
      <c r="Y62" s="12" t="str">
        <f>VLOOKUP($D62,global_toc!$C:$K,8,FALSE)</f>
        <v>11OCT17XA</v>
      </c>
      <c r="Z62" s="12">
        <f>VLOOKUP($D62,global_toc!$C:$K,9,FALSE)</f>
        <v>5029</v>
      </c>
      <c r="AA62" s="19" t="str">
        <f t="shared" si="1"/>
        <v>Source names in RA order.</v>
      </c>
    </row>
    <row r="63" spans="1:27" x14ac:dyDescent="0.2">
      <c r="A63" s="12">
        <v>140</v>
      </c>
      <c r="B63" s="12">
        <v>1</v>
      </c>
      <c r="C63" s="12" t="str">
        <f t="shared" si="0"/>
        <v>AprioriSource2000RaDec</v>
      </c>
      <c r="D63" s="14" t="s">
        <v>497</v>
      </c>
      <c r="E63" s="12">
        <v>2</v>
      </c>
      <c r="F63" s="12">
        <v>70</v>
      </c>
      <c r="G63" s="12">
        <v>1</v>
      </c>
      <c r="H63" s="12" t="s">
        <v>447</v>
      </c>
      <c r="I63" s="12">
        <v>5</v>
      </c>
      <c r="J63" s="12" t="s">
        <v>1680</v>
      </c>
      <c r="K63" s="12" t="s">
        <v>1340</v>
      </c>
      <c r="L63" s="23" t="s">
        <v>1342</v>
      </c>
      <c r="M63" s="13" t="s">
        <v>447</v>
      </c>
      <c r="N63" s="13" t="s">
        <v>1477</v>
      </c>
      <c r="O63" s="12" t="s">
        <v>2126</v>
      </c>
      <c r="P63" s="12" t="s">
        <v>2071</v>
      </c>
      <c r="Q63" s="12" t="s">
        <v>1342</v>
      </c>
      <c r="R63" s="13" t="s">
        <v>2629</v>
      </c>
      <c r="S63" s="13" t="s">
        <v>1342</v>
      </c>
      <c r="T63" s="23" t="s">
        <v>1908</v>
      </c>
      <c r="U63" s="13" t="s">
        <v>1342</v>
      </c>
      <c r="V63" s="13" t="s">
        <v>1474</v>
      </c>
      <c r="W63" s="13" t="s">
        <v>1342</v>
      </c>
      <c r="X63" s="12" t="str">
        <f>VLOOKUP($D63,global_toc!$C:$K,7,FALSE)</f>
        <v>79AUG03XX</v>
      </c>
      <c r="Y63" s="12" t="str">
        <f>VLOOKUP($D63,global_toc!$C:$K,8,FALSE)</f>
        <v>11OCT17XA</v>
      </c>
      <c r="Z63" s="12">
        <f>VLOOKUP($D63,global_toc!$C:$K,9,FALSE)</f>
        <v>5029</v>
      </c>
      <c r="AA63" s="19" t="str">
        <f t="shared" si="1"/>
        <v>J2000 Source RA and Dec</v>
      </c>
    </row>
    <row r="64" spans="1:27" x14ac:dyDescent="0.2">
      <c r="A64" s="12">
        <v>139</v>
      </c>
      <c r="B64" s="12">
        <v>1</v>
      </c>
      <c r="C64" s="12" t="str">
        <f t="shared" si="0"/>
        <v>AprioriSourceReference</v>
      </c>
      <c r="D64" s="14" t="s">
        <v>651</v>
      </c>
      <c r="E64" s="12">
        <v>10</v>
      </c>
      <c r="F64" s="12">
        <v>70</v>
      </c>
      <c r="G64" s="12">
        <v>1</v>
      </c>
      <c r="H64" s="12" t="s">
        <v>589</v>
      </c>
      <c r="I64" s="12">
        <v>5</v>
      </c>
      <c r="J64" s="12" t="s">
        <v>652</v>
      </c>
      <c r="K64" s="12" t="s">
        <v>1340</v>
      </c>
      <c r="L64" s="23" t="s">
        <v>1342</v>
      </c>
      <c r="M64" s="13" t="s">
        <v>1464</v>
      </c>
      <c r="N64" s="13" t="s">
        <v>1477</v>
      </c>
      <c r="O64" s="12" t="s">
        <v>2126</v>
      </c>
      <c r="P64" s="12" t="s">
        <v>2071</v>
      </c>
      <c r="Q64" s="12" t="s">
        <v>1342</v>
      </c>
      <c r="R64" s="13" t="s">
        <v>2630</v>
      </c>
      <c r="S64" s="13" t="s">
        <v>1342</v>
      </c>
      <c r="T64" s="23" t="s">
        <v>1342</v>
      </c>
      <c r="U64" s="13" t="s">
        <v>1342</v>
      </c>
      <c r="V64" s="13" t="s">
        <v>1342</v>
      </c>
      <c r="W64" s="13" t="s">
        <v>1342</v>
      </c>
      <c r="X64" s="12" t="str">
        <f>VLOOKUP($D64,global_toc!$C:$K,7,FALSE)</f>
        <v>79AUG03XX</v>
      </c>
      <c r="Y64" s="12" t="str">
        <f>VLOOKUP($D64,global_toc!$C:$K,8,FALSE)</f>
        <v>11OCT17XA</v>
      </c>
      <c r="Z64" s="12">
        <f>VLOOKUP($D64,global_toc!$C:$K,9,FALSE)</f>
        <v>5029</v>
      </c>
      <c r="AA64" s="19" t="str">
        <f t="shared" si="1"/>
        <v>Source of coordinate values.</v>
      </c>
    </row>
    <row r="65" spans="1:27" x14ac:dyDescent="0.2">
      <c r="A65" s="12">
        <v>151</v>
      </c>
      <c r="B65" s="12">
        <v>1</v>
      </c>
      <c r="C65" s="12" t="str">
        <f t="shared" si="0"/>
        <v>AprioriStationList</v>
      </c>
      <c r="D65" s="12" t="s">
        <v>607</v>
      </c>
      <c r="E65" s="12">
        <v>4</v>
      </c>
      <c r="F65" s="12">
        <v>11</v>
      </c>
      <c r="G65" s="12">
        <v>1</v>
      </c>
      <c r="H65" s="12" t="s">
        <v>589</v>
      </c>
      <c r="I65" s="12">
        <v>1</v>
      </c>
      <c r="J65" s="12" t="s">
        <v>2084</v>
      </c>
      <c r="K65" s="12" t="s">
        <v>1340</v>
      </c>
      <c r="L65" s="23" t="s">
        <v>1342</v>
      </c>
      <c r="M65" s="13" t="s">
        <v>1655</v>
      </c>
      <c r="N65" s="13" t="s">
        <v>1477</v>
      </c>
      <c r="O65" s="12" t="s">
        <v>2126</v>
      </c>
      <c r="P65" s="12" t="s">
        <v>438</v>
      </c>
      <c r="Q65" s="12" t="s">
        <v>1342</v>
      </c>
      <c r="R65" s="13" t="s">
        <v>2570</v>
      </c>
      <c r="S65" s="13" t="s">
        <v>1342</v>
      </c>
      <c r="T65" s="23" t="s">
        <v>2087</v>
      </c>
      <c r="U65" s="13" t="s">
        <v>1342</v>
      </c>
      <c r="V65" s="13" t="s">
        <v>1342</v>
      </c>
      <c r="W65" s="13" t="s">
        <v>1342</v>
      </c>
      <c r="X65" s="12" t="str">
        <f>VLOOKUP($D65,global_toc!$C:$K,7,FALSE)</f>
        <v>79AUG03XX</v>
      </c>
      <c r="Y65" s="12" t="str">
        <f>VLOOKUP($D65,global_toc!$C:$K,8,FALSE)</f>
        <v>11OCT17XA</v>
      </c>
      <c r="Z65" s="12">
        <f>VLOOKUP($D65,global_toc!$C:$K,9,FALSE)</f>
        <v>5029</v>
      </c>
      <c r="AA65" s="19" t="str">
        <f t="shared" si="1"/>
        <v>Site names in alphabetical order</v>
      </c>
    </row>
    <row r="66" spans="1:27" x14ac:dyDescent="0.2">
      <c r="A66" s="12">
        <v>145</v>
      </c>
      <c r="B66" s="12" t="s">
        <v>1828</v>
      </c>
      <c r="C66" s="12" t="str">
        <f t="shared" si="0"/>
        <v>AprioriStationDomesNumber</v>
      </c>
      <c r="D66" s="14" t="s">
        <v>1269</v>
      </c>
      <c r="E66" s="12">
        <v>4</v>
      </c>
      <c r="F66" s="12">
        <v>1</v>
      </c>
      <c r="G66" s="12">
        <v>1</v>
      </c>
      <c r="H66" s="12" t="s">
        <v>589</v>
      </c>
      <c r="I66" s="12" t="s">
        <v>1655</v>
      </c>
      <c r="J66" s="12" t="s">
        <v>1270</v>
      </c>
      <c r="K66" s="12" t="s">
        <v>1340</v>
      </c>
      <c r="L66" s="23" t="s">
        <v>1342</v>
      </c>
      <c r="M66" s="13" t="s">
        <v>1655</v>
      </c>
      <c r="N66" s="13" t="s">
        <v>1477</v>
      </c>
      <c r="O66" s="12" t="s">
        <v>2126</v>
      </c>
      <c r="P66" s="12" t="s">
        <v>438</v>
      </c>
      <c r="Q66" s="12" t="s">
        <v>1342</v>
      </c>
      <c r="R66" s="13" t="s">
        <v>2631</v>
      </c>
      <c r="S66" s="13" t="s">
        <v>1342</v>
      </c>
      <c r="T66" s="23" t="s">
        <v>1342</v>
      </c>
      <c r="U66" s="13" t="s">
        <v>1342</v>
      </c>
      <c r="V66" s="13" t="s">
        <v>1342</v>
      </c>
      <c r="W66" s="13" t="s">
        <v>1342</v>
      </c>
      <c r="X66" s="12" t="e">
        <f>VLOOKUP($D66,global_toc!$C:$K,7,FALSE)</f>
        <v>#N/A</v>
      </c>
      <c r="Y66" s="12" t="e">
        <f>VLOOKUP($D66,global_toc!$C:$K,8,FALSE)</f>
        <v>#N/A</v>
      </c>
      <c r="Z66" s="12" t="e">
        <f>VLOOKUP($D66,global_toc!$C:$K,9,FALSE)</f>
        <v>#N/A</v>
      </c>
      <c r="AA66" s="19" t="str">
        <f t="shared" si="1"/>
        <v>Domes number array</v>
      </c>
    </row>
    <row r="67" spans="1:27" x14ac:dyDescent="0.2">
      <c r="A67" s="12">
        <v>149</v>
      </c>
      <c r="B67" s="12" t="s">
        <v>1655</v>
      </c>
      <c r="C67" s="12" t="str">
        <f t="shared" ref="C67:C132" si="2">IF(R67="-",D67,R67)</f>
        <v>AprioriStationIERZSArray</v>
      </c>
      <c r="D67" s="14" t="s">
        <v>1272</v>
      </c>
      <c r="E67" s="12">
        <v>4</v>
      </c>
      <c r="F67" s="12">
        <v>1</v>
      </c>
      <c r="G67" s="12">
        <v>1</v>
      </c>
      <c r="H67" s="12" t="s">
        <v>589</v>
      </c>
      <c r="I67" s="12" t="s">
        <v>1655</v>
      </c>
      <c r="J67" s="12" t="s">
        <v>1273</v>
      </c>
      <c r="K67" s="12" t="s">
        <v>1340</v>
      </c>
      <c r="L67" s="23" t="s">
        <v>1342</v>
      </c>
      <c r="M67" s="13" t="s">
        <v>1655</v>
      </c>
      <c r="N67" s="13" t="s">
        <v>1477</v>
      </c>
      <c r="O67" s="12" t="s">
        <v>2126</v>
      </c>
      <c r="P67" s="12" t="s">
        <v>438</v>
      </c>
      <c r="Q67" s="12" t="s">
        <v>1342</v>
      </c>
      <c r="R67" s="13" t="s">
        <v>2632</v>
      </c>
      <c r="S67" s="13" t="s">
        <v>1342</v>
      </c>
      <c r="T67" s="23" t="s">
        <v>1342</v>
      </c>
      <c r="U67" s="13" t="s">
        <v>1342</v>
      </c>
      <c r="V67" s="13" t="s">
        <v>1342</v>
      </c>
      <c r="W67" s="13" t="s">
        <v>1342</v>
      </c>
      <c r="X67" s="12" t="e">
        <f>VLOOKUP($D67,global_toc!$C:$K,7,FALSE)</f>
        <v>#N/A</v>
      </c>
      <c r="Y67" s="12" t="e">
        <f>VLOOKUP($D67,global_toc!$C:$K,8,FALSE)</f>
        <v>#N/A</v>
      </c>
      <c r="Z67" s="12" t="e">
        <f>VLOOKUP($D67,global_toc!$C:$K,9,FALSE)</f>
        <v>#N/A</v>
      </c>
      <c r="AA67" s="19" t="str">
        <f t="shared" ref="AA67:AA132" si="3">IF(T67="-",J67,T67)</f>
        <v>IERZS Designation array</v>
      </c>
    </row>
    <row r="68" spans="1:27" x14ac:dyDescent="0.2">
      <c r="A68" s="12">
        <v>150</v>
      </c>
      <c r="B68" s="12">
        <v>1</v>
      </c>
      <c r="C68" s="12" t="str">
        <f t="shared" si="2"/>
        <v>AprioriStationXYZ</v>
      </c>
      <c r="D68" s="14" t="s">
        <v>483</v>
      </c>
      <c r="E68" s="12">
        <v>3</v>
      </c>
      <c r="F68" s="12">
        <v>11</v>
      </c>
      <c r="G68" s="12">
        <v>1</v>
      </c>
      <c r="H68" s="12" t="s">
        <v>447</v>
      </c>
      <c r="I68" s="12">
        <v>5</v>
      </c>
      <c r="J68" s="12" t="s">
        <v>484</v>
      </c>
      <c r="K68" s="12" t="s">
        <v>1340</v>
      </c>
      <c r="L68" s="23" t="s">
        <v>1342</v>
      </c>
      <c r="M68" s="13" t="s">
        <v>1655</v>
      </c>
      <c r="N68" s="13" t="s">
        <v>1477</v>
      </c>
      <c r="O68" s="12" t="s">
        <v>2126</v>
      </c>
      <c r="P68" s="12" t="s">
        <v>438</v>
      </c>
      <c r="Q68" s="12" t="s">
        <v>1342</v>
      </c>
      <c r="R68" s="13" t="s">
        <v>2633</v>
      </c>
      <c r="S68" s="13" t="s">
        <v>1342</v>
      </c>
      <c r="T68" s="23" t="s">
        <v>1342</v>
      </c>
      <c r="U68" s="13" t="s">
        <v>1342</v>
      </c>
      <c r="V68" s="13" t="s">
        <v>1473</v>
      </c>
      <c r="W68" s="13" t="s">
        <v>1342</v>
      </c>
      <c r="X68" s="12" t="str">
        <f>VLOOKUP($D68,global_toc!$C:$K,7,FALSE)</f>
        <v>79AUG03XX</v>
      </c>
      <c r="Y68" s="12" t="str">
        <f>VLOOKUP($D68,global_toc!$C:$K,8,FALSE)</f>
        <v>11OCT17XA</v>
      </c>
      <c r="Z68" s="12">
        <f>VLOOKUP($D68,global_toc!$C:$K,9,FALSE)</f>
        <v>5029</v>
      </c>
      <c r="AA68" s="19" t="str">
        <f t="shared" si="3"/>
        <v>Site cartesian coords (m).</v>
      </c>
    </row>
    <row r="69" spans="1:27" x14ac:dyDescent="0.2">
      <c r="A69" s="12">
        <v>89</v>
      </c>
      <c r="B69" s="12">
        <v>1</v>
      </c>
      <c r="C69" s="12" t="str">
        <f t="shared" si="2"/>
        <v>AprioriStationTectonicPlate</v>
      </c>
      <c r="D69" s="14" t="s">
        <v>643</v>
      </c>
      <c r="E69" s="12">
        <v>2</v>
      </c>
      <c r="F69" s="12">
        <v>11</v>
      </c>
      <c r="G69" s="12">
        <v>1</v>
      </c>
      <c r="H69" s="12" t="s">
        <v>589</v>
      </c>
      <c r="I69" s="12">
        <v>5</v>
      </c>
      <c r="J69" s="12" t="s">
        <v>644</v>
      </c>
      <c r="K69" s="12" t="s">
        <v>1340</v>
      </c>
      <c r="L69" s="23" t="s">
        <v>1342</v>
      </c>
      <c r="M69" s="13" t="s">
        <v>1464</v>
      </c>
      <c r="N69" s="13" t="s">
        <v>1477</v>
      </c>
      <c r="O69" s="12" t="s">
        <v>2126</v>
      </c>
      <c r="P69" s="12" t="s">
        <v>438</v>
      </c>
      <c r="Q69" s="12" t="s">
        <v>1342</v>
      </c>
      <c r="R69" s="13" t="s">
        <v>2634</v>
      </c>
      <c r="S69" s="13" t="s">
        <v>1342</v>
      </c>
      <c r="T69" s="23" t="s">
        <v>1342</v>
      </c>
      <c r="U69" s="13" t="s">
        <v>1342</v>
      </c>
      <c r="V69" s="13" t="s">
        <v>1342</v>
      </c>
      <c r="W69" s="13" t="s">
        <v>1342</v>
      </c>
      <c r="X69" s="12" t="str">
        <f>VLOOKUP($D69,global_toc!$C:$K,7,FALSE)</f>
        <v>79AUG03XX</v>
      </c>
      <c r="Y69" s="12" t="str">
        <f>VLOOKUP($D69,global_toc!$C:$K,8,FALSE)</f>
        <v>11OCT17XA</v>
      </c>
      <c r="Z69" s="12">
        <f>VLOOKUP($D69,global_toc!$C:$K,9,FALSE)</f>
        <v>5029</v>
      </c>
      <c r="AA69" s="19" t="str">
        <f t="shared" si="3"/>
        <v>4-char tectonic plate names.</v>
      </c>
    </row>
    <row r="70" spans="1:27" ht="25.5" x14ac:dyDescent="0.2">
      <c r="A70" s="12">
        <v>158</v>
      </c>
      <c r="B70" s="12" t="s">
        <v>1655</v>
      </c>
      <c r="C70" s="12" t="str">
        <f t="shared" si="2"/>
        <v>Obs2Baseline</v>
      </c>
      <c r="D70" s="12" t="s">
        <v>1705</v>
      </c>
      <c r="E70" s="12">
        <v>2</v>
      </c>
      <c r="F70" s="12">
        <v>1</v>
      </c>
      <c r="G70" s="12">
        <v>1</v>
      </c>
      <c r="H70" s="12" t="s">
        <v>544</v>
      </c>
      <c r="I70" s="12" t="s">
        <v>1655</v>
      </c>
      <c r="J70" s="12" t="s">
        <v>1342</v>
      </c>
      <c r="K70" s="12" t="s">
        <v>1347</v>
      </c>
      <c r="L70" s="23" t="s">
        <v>1342</v>
      </c>
      <c r="M70" s="13" t="s">
        <v>1655</v>
      </c>
      <c r="N70" s="13" t="s">
        <v>1477</v>
      </c>
      <c r="O70" s="12" t="s">
        <v>2117</v>
      </c>
      <c r="P70" s="12" t="s">
        <v>2088</v>
      </c>
      <c r="Q70" s="12" t="s">
        <v>1342</v>
      </c>
      <c r="R70" s="13" t="s">
        <v>1705</v>
      </c>
      <c r="S70" s="13" t="s">
        <v>1342</v>
      </c>
      <c r="T70" s="23" t="s">
        <v>1931</v>
      </c>
      <c r="U70" s="13" t="s">
        <v>1342</v>
      </c>
      <c r="V70" s="13" t="s">
        <v>1342</v>
      </c>
      <c r="W70" s="13" t="s">
        <v>1342</v>
      </c>
      <c r="X70" s="12" t="e">
        <f>VLOOKUP($D70,global_toc!$C:$K,7,FALSE)</f>
        <v>#N/A</v>
      </c>
      <c r="Y70" s="12" t="e">
        <f>VLOOKUP($D70,global_toc!$C:$K,8,FALSE)</f>
        <v>#N/A</v>
      </c>
      <c r="Z70" s="12" t="e">
        <f>VLOOKUP($D70,global_toc!$C:$K,9,FALSE)</f>
        <v>#N/A</v>
      </c>
      <c r="AA70" s="19" t="str">
        <f t="shared" si="3"/>
        <v>Cross reference from observation to baseline</v>
      </c>
    </row>
    <row r="71" spans="1:27" ht="25.5" x14ac:dyDescent="0.2">
      <c r="A71" s="12">
        <v>159</v>
      </c>
      <c r="B71" s="12" t="s">
        <v>1655</v>
      </c>
      <c r="C71" s="12" t="str">
        <f t="shared" si="2"/>
        <v>Obs2Scan</v>
      </c>
      <c r="D71" s="12" t="s">
        <v>1704</v>
      </c>
      <c r="E71" s="12">
        <v>1</v>
      </c>
      <c r="F71" s="12">
        <v>1</v>
      </c>
      <c r="G71" s="12">
        <v>1</v>
      </c>
      <c r="H71" s="12" t="s">
        <v>731</v>
      </c>
      <c r="I71" s="12" t="s">
        <v>1655</v>
      </c>
      <c r="J71" s="12" t="s">
        <v>1342</v>
      </c>
      <c r="K71" s="12" t="s">
        <v>1347</v>
      </c>
      <c r="L71" s="23" t="s">
        <v>1342</v>
      </c>
      <c r="M71" s="13" t="s">
        <v>1655</v>
      </c>
      <c r="N71" s="13" t="s">
        <v>1477</v>
      </c>
      <c r="O71" s="12" t="s">
        <v>2117</v>
      </c>
      <c r="P71" s="12" t="s">
        <v>2088</v>
      </c>
      <c r="Q71" s="12" t="s">
        <v>1342</v>
      </c>
      <c r="R71" s="13" t="s">
        <v>1704</v>
      </c>
      <c r="S71" s="13" t="s">
        <v>1342</v>
      </c>
      <c r="T71" s="23" t="s">
        <v>1932</v>
      </c>
      <c r="U71" s="13" t="s">
        <v>1342</v>
      </c>
      <c r="V71" s="13" t="s">
        <v>1342</v>
      </c>
      <c r="W71" s="13" t="s">
        <v>1342</v>
      </c>
      <c r="X71" s="12" t="e">
        <f>VLOOKUP($D71,global_toc!$C:$K,7,FALSE)</f>
        <v>#N/A</v>
      </c>
      <c r="Y71" s="12" t="e">
        <f>VLOOKUP($D71,global_toc!$C:$K,8,FALSE)</f>
        <v>#N/A</v>
      </c>
      <c r="Z71" s="12" t="e">
        <f>VLOOKUP($D71,global_toc!$C:$K,9,FALSE)</f>
        <v>#N/A</v>
      </c>
      <c r="AA71" s="19" t="str">
        <f t="shared" si="3"/>
        <v>Cross reference from observation to scan</v>
      </c>
    </row>
    <row r="72" spans="1:27" x14ac:dyDescent="0.2">
      <c r="A72" s="12">
        <v>152</v>
      </c>
      <c r="B72" s="12" t="s">
        <v>1655</v>
      </c>
      <c r="C72" s="12" t="str">
        <f t="shared" si="2"/>
        <v>Scan2Source</v>
      </c>
      <c r="D72" s="12" t="s">
        <v>1928</v>
      </c>
      <c r="E72" s="12">
        <v>1</v>
      </c>
      <c r="F72" s="12">
        <v>1</v>
      </c>
      <c r="G72" s="12">
        <v>1</v>
      </c>
      <c r="H72" s="12" t="s">
        <v>731</v>
      </c>
      <c r="I72" s="12" t="s">
        <v>1655</v>
      </c>
      <c r="J72" s="12" t="s">
        <v>1342</v>
      </c>
      <c r="K72" s="12" t="s">
        <v>1340</v>
      </c>
      <c r="L72" s="23" t="s">
        <v>2070</v>
      </c>
      <c r="M72" s="13" t="s">
        <v>1655</v>
      </c>
      <c r="N72" s="13" t="s">
        <v>1477</v>
      </c>
      <c r="O72" s="12" t="s">
        <v>2117</v>
      </c>
      <c r="P72" s="12" t="s">
        <v>2082</v>
      </c>
      <c r="Q72" s="12" t="s">
        <v>1342</v>
      </c>
      <c r="R72" s="13" t="s">
        <v>1928</v>
      </c>
      <c r="S72" s="13" t="s">
        <v>1342</v>
      </c>
      <c r="T72" s="23" t="s">
        <v>1935</v>
      </c>
      <c r="U72" s="13" t="s">
        <v>1342</v>
      </c>
      <c r="V72" s="13" t="s">
        <v>1342</v>
      </c>
      <c r="W72" s="13" t="s">
        <v>1342</v>
      </c>
      <c r="X72" s="12" t="e">
        <f>VLOOKUP($D72,global_toc!$C:$K,7,FALSE)</f>
        <v>#N/A</v>
      </c>
      <c r="Y72" s="12" t="e">
        <f>VLOOKUP($D72,global_toc!$C:$K,8,FALSE)</f>
        <v>#N/A</v>
      </c>
      <c r="Z72" s="12" t="e">
        <f>VLOOKUP($D72,global_toc!$C:$K,9,FALSE)</f>
        <v>#N/A</v>
      </c>
      <c r="AA72" s="19" t="str">
        <f t="shared" si="3"/>
        <v>Cross reference scan to source</v>
      </c>
    </row>
    <row r="73" spans="1:27" x14ac:dyDescent="0.2">
      <c r="A73" s="12">
        <v>153</v>
      </c>
      <c r="B73" s="12" t="s">
        <v>1655</v>
      </c>
      <c r="C73" s="12" t="str">
        <f t="shared" si="2"/>
        <v>CrossRefSourceList</v>
      </c>
      <c r="D73" s="13" t="s">
        <v>2591</v>
      </c>
      <c r="E73" s="12">
        <v>4</v>
      </c>
      <c r="F73" s="12">
        <v>70</v>
      </c>
      <c r="G73" s="12">
        <v>1</v>
      </c>
      <c r="H73" s="12" t="s">
        <v>589</v>
      </c>
      <c r="I73" s="12">
        <v>1</v>
      </c>
      <c r="J73" s="12" t="s">
        <v>610</v>
      </c>
      <c r="K73" s="12" t="s">
        <v>1340</v>
      </c>
      <c r="L73" s="23" t="s">
        <v>1342</v>
      </c>
      <c r="M73" s="13" t="s">
        <v>1655</v>
      </c>
      <c r="N73" s="13" t="s">
        <v>1477</v>
      </c>
      <c r="O73" s="12" t="s">
        <v>2117</v>
      </c>
      <c r="P73" s="12" t="s">
        <v>2082</v>
      </c>
      <c r="Q73" s="12" t="s">
        <v>1342</v>
      </c>
      <c r="R73" s="13" t="s">
        <v>2591</v>
      </c>
      <c r="S73" s="13" t="s">
        <v>1342</v>
      </c>
      <c r="T73" s="23" t="s">
        <v>2089</v>
      </c>
      <c r="U73" s="13" t="s">
        <v>1342</v>
      </c>
      <c r="V73" s="13" t="s">
        <v>1342</v>
      </c>
      <c r="W73" s="13" t="s">
        <v>1342</v>
      </c>
      <c r="X73" s="12" t="e">
        <f>VLOOKUP($D73,global_toc!$C:$K,7,FALSE)</f>
        <v>#N/A</v>
      </c>
      <c r="Y73" s="12" t="e">
        <f>VLOOKUP($D73,global_toc!$C:$K,8,FALSE)</f>
        <v>#N/A</v>
      </c>
      <c r="Z73" s="12" t="e">
        <f>VLOOKUP($D73,global_toc!$C:$K,9,FALSE)</f>
        <v>#N/A</v>
      </c>
      <c r="AA73" s="19" t="str">
        <f t="shared" si="3"/>
        <v>Source names.</v>
      </c>
    </row>
    <row r="74" spans="1:27" x14ac:dyDescent="0.2">
      <c r="A74" s="12">
        <v>154</v>
      </c>
      <c r="B74" s="12" t="s">
        <v>1655</v>
      </c>
      <c r="C74" s="12" t="str">
        <f t="shared" si="2"/>
        <v>NumScansPerStation</v>
      </c>
      <c r="D74" s="12" t="s">
        <v>1940</v>
      </c>
      <c r="E74" s="12">
        <v>1</v>
      </c>
      <c r="F74" s="12">
        <v>1</v>
      </c>
      <c r="G74" s="12">
        <v>1</v>
      </c>
      <c r="H74" s="12" t="s">
        <v>731</v>
      </c>
      <c r="I74" s="12" t="s">
        <v>1655</v>
      </c>
      <c r="J74" s="12" t="s">
        <v>1342</v>
      </c>
      <c r="K74" s="12" t="s">
        <v>1340</v>
      </c>
      <c r="L74" s="23" t="s">
        <v>1342</v>
      </c>
      <c r="M74" s="13" t="s">
        <v>1655</v>
      </c>
      <c r="N74" s="13" t="s">
        <v>1477</v>
      </c>
      <c r="O74" s="12" t="s">
        <v>2117</v>
      </c>
      <c r="P74" s="12" t="s">
        <v>2079</v>
      </c>
      <c r="Q74" s="12" t="s">
        <v>1342</v>
      </c>
      <c r="R74" s="13" t="s">
        <v>1342</v>
      </c>
      <c r="S74" s="13" t="s">
        <v>1342</v>
      </c>
      <c r="T74" s="23" t="s">
        <v>1933</v>
      </c>
      <c r="U74" s="13" t="s">
        <v>1342</v>
      </c>
      <c r="V74" s="13" t="s">
        <v>1342</v>
      </c>
      <c r="W74" s="13" t="s">
        <v>1342</v>
      </c>
      <c r="X74" s="12" t="e">
        <f>VLOOKUP($D74,global_toc!$C:$K,7,FALSE)</f>
        <v>#N/A</v>
      </c>
      <c r="Y74" s="12" t="e">
        <f>VLOOKUP($D74,global_toc!$C:$K,8,FALSE)</f>
        <v>#N/A</v>
      </c>
      <c r="Z74" s="12" t="e">
        <f>VLOOKUP($D74,global_toc!$C:$K,9,FALSE)</f>
        <v>#N/A</v>
      </c>
      <c r="AA74" s="19" t="str">
        <f t="shared" si="3"/>
        <v>Number of scans per station.</v>
      </c>
    </row>
    <row r="75" spans="1:27" x14ac:dyDescent="0.2">
      <c r="A75" s="12">
        <v>155</v>
      </c>
      <c r="B75" s="12" t="s">
        <v>1655</v>
      </c>
      <c r="C75" s="12" t="str">
        <f t="shared" si="2"/>
        <v>Scan2Station</v>
      </c>
      <c r="D75" s="12" t="s">
        <v>1929</v>
      </c>
      <c r="E75" s="12">
        <v>1</v>
      </c>
      <c r="F75" s="12">
        <v>1</v>
      </c>
      <c r="G75" s="12">
        <v>1</v>
      </c>
      <c r="H75" s="12" t="s">
        <v>731</v>
      </c>
      <c r="I75" s="12" t="s">
        <v>1655</v>
      </c>
      <c r="J75" s="12" t="s">
        <v>1342</v>
      </c>
      <c r="K75" s="12" t="s">
        <v>1340</v>
      </c>
      <c r="L75" s="23" t="s">
        <v>2070</v>
      </c>
      <c r="M75" s="13" t="s">
        <v>1655</v>
      </c>
      <c r="N75" s="13" t="s">
        <v>1477</v>
      </c>
      <c r="O75" s="12" t="s">
        <v>2117</v>
      </c>
      <c r="P75" s="12" t="s">
        <v>2079</v>
      </c>
      <c r="Q75" s="12" t="s">
        <v>1342</v>
      </c>
      <c r="R75" s="13" t="s">
        <v>1342</v>
      </c>
      <c r="S75" s="13" t="s">
        <v>1342</v>
      </c>
      <c r="T75" s="23" t="s">
        <v>1934</v>
      </c>
      <c r="U75" s="13" t="s">
        <v>1342</v>
      </c>
      <c r="V75" s="13" t="s">
        <v>1342</v>
      </c>
      <c r="W75" s="13" t="s">
        <v>1342</v>
      </c>
      <c r="X75" s="12" t="e">
        <f>VLOOKUP($D75,global_toc!$C:$K,7,FALSE)</f>
        <v>#N/A</v>
      </c>
      <c r="Y75" s="12" t="e">
        <f>VLOOKUP($D75,global_toc!$C:$K,8,FALSE)</f>
        <v>#N/A</v>
      </c>
      <c r="Z75" s="12" t="e">
        <f>VLOOKUP($D75,global_toc!$C:$K,9,FALSE)</f>
        <v>#N/A</v>
      </c>
      <c r="AA75" s="19" t="str">
        <f t="shared" si="3"/>
        <v>Cross reference scans to station</v>
      </c>
    </row>
    <row r="76" spans="1:27" ht="25.5" x14ac:dyDescent="0.2">
      <c r="A76" s="12">
        <v>157</v>
      </c>
      <c r="B76" s="12" t="s">
        <v>1655</v>
      </c>
      <c r="C76" s="12" t="str">
        <f t="shared" si="2"/>
        <v>Station2Scan</v>
      </c>
      <c r="D76" s="12" t="s">
        <v>1930</v>
      </c>
      <c r="E76" s="12">
        <v>1</v>
      </c>
      <c r="F76" s="12">
        <v>1</v>
      </c>
      <c r="G76" s="12">
        <v>1</v>
      </c>
      <c r="H76" s="12" t="s">
        <v>731</v>
      </c>
      <c r="I76" s="12" t="s">
        <v>1655</v>
      </c>
      <c r="J76" s="12" t="s">
        <v>1342</v>
      </c>
      <c r="K76" s="12" t="s">
        <v>1340</v>
      </c>
      <c r="L76" s="23" t="s">
        <v>1342</v>
      </c>
      <c r="M76" s="13" t="s">
        <v>1655</v>
      </c>
      <c r="N76" s="13" t="s">
        <v>1477</v>
      </c>
      <c r="O76" s="12" t="s">
        <v>2117</v>
      </c>
      <c r="P76" s="12" t="s">
        <v>2079</v>
      </c>
      <c r="Q76" s="12" t="s">
        <v>1342</v>
      </c>
      <c r="R76" s="13" t="s">
        <v>1342</v>
      </c>
      <c r="S76" s="13" t="s">
        <v>1342</v>
      </c>
      <c r="T76" s="23" t="s">
        <v>1936</v>
      </c>
      <c r="U76" s="13" t="s">
        <v>1342</v>
      </c>
      <c r="V76" s="13" t="s">
        <v>1342</v>
      </c>
      <c r="W76" s="13" t="s">
        <v>1342</v>
      </c>
      <c r="X76" s="12" t="e">
        <f>VLOOKUP($D76,global_toc!$C:$K,7,FALSE)</f>
        <v>#N/A</v>
      </c>
      <c r="Y76" s="12" t="e">
        <f>VLOOKUP($D76,global_toc!$C:$K,8,FALSE)</f>
        <v>#N/A</v>
      </c>
      <c r="Z76" s="12" t="e">
        <f>VLOOKUP($D76,global_toc!$C:$K,9,FALSE)</f>
        <v>#N/A</v>
      </c>
      <c r="AA76" s="19" t="str">
        <f t="shared" si="3"/>
        <v>Cross reference station-scan to schedule-scan</v>
      </c>
    </row>
    <row r="77" spans="1:27" x14ac:dyDescent="0.2">
      <c r="A77" s="12">
        <v>156</v>
      </c>
      <c r="B77" s="12">
        <v>1</v>
      </c>
      <c r="C77" s="12" t="str">
        <f t="shared" si="2"/>
        <v>CrossRefStationList</v>
      </c>
      <c r="D77" s="13" t="s">
        <v>2592</v>
      </c>
      <c r="E77" s="12">
        <v>4</v>
      </c>
      <c r="F77" s="12">
        <v>11</v>
      </c>
      <c r="G77" s="12">
        <v>1</v>
      </c>
      <c r="H77" s="12" t="s">
        <v>589</v>
      </c>
      <c r="I77" s="12">
        <v>1</v>
      </c>
      <c r="J77" s="12" t="s">
        <v>2084</v>
      </c>
      <c r="K77" s="12" t="s">
        <v>1340</v>
      </c>
      <c r="L77" s="23" t="s">
        <v>1342</v>
      </c>
      <c r="M77" s="13" t="s">
        <v>1655</v>
      </c>
      <c r="N77" s="13" t="s">
        <v>1477</v>
      </c>
      <c r="O77" s="12" t="s">
        <v>2117</v>
      </c>
      <c r="P77" s="12" t="s">
        <v>2079</v>
      </c>
      <c r="Q77" s="12" t="s">
        <v>1342</v>
      </c>
      <c r="R77" s="13" t="s">
        <v>2592</v>
      </c>
      <c r="S77" s="13" t="s">
        <v>1342</v>
      </c>
      <c r="T77" s="23" t="s">
        <v>2087</v>
      </c>
      <c r="U77" s="13" t="s">
        <v>1342</v>
      </c>
      <c r="V77" s="13" t="s">
        <v>1342</v>
      </c>
      <c r="W77" s="13" t="s">
        <v>1342</v>
      </c>
      <c r="X77" s="12" t="e">
        <f>VLOOKUP($D77,global_toc!$C:$K,7,FALSE)</f>
        <v>#N/A</v>
      </c>
      <c r="Y77" s="12" t="e">
        <f>VLOOKUP($D77,global_toc!$C:$K,8,FALSE)</f>
        <v>#N/A</v>
      </c>
      <c r="Z77" s="12" t="e">
        <f>VLOOKUP($D77,global_toc!$C:$K,9,FALSE)</f>
        <v>#N/A</v>
      </c>
      <c r="AA77" s="19" t="str">
        <f t="shared" si="3"/>
        <v>Site names in alphabetical order</v>
      </c>
    </row>
    <row r="78" spans="1:27" x14ac:dyDescent="0.2">
      <c r="A78" s="12">
        <v>295</v>
      </c>
      <c r="B78" s="12">
        <v>2</v>
      </c>
      <c r="C78" s="12" t="str">
        <f t="shared" si="2"/>
        <v>Cal-Bend</v>
      </c>
      <c r="D78" s="14" t="s">
        <v>867</v>
      </c>
      <c r="E78" s="12">
        <v>2</v>
      </c>
      <c r="F78" s="12">
        <v>1</v>
      </c>
      <c r="G78" s="12">
        <v>1</v>
      </c>
      <c r="H78" s="12" t="s">
        <v>447</v>
      </c>
      <c r="I78" s="12">
        <v>5</v>
      </c>
      <c r="J78" s="12" t="s">
        <v>868</v>
      </c>
      <c r="K78" s="12" t="s">
        <v>1347</v>
      </c>
      <c r="L78" s="23" t="s">
        <v>1342</v>
      </c>
      <c r="M78" s="13" t="s">
        <v>1464</v>
      </c>
      <c r="N78" s="13" t="s">
        <v>1342</v>
      </c>
      <c r="O78" s="12" t="s">
        <v>2447</v>
      </c>
      <c r="P78" s="12" t="s">
        <v>2514</v>
      </c>
      <c r="Q78" s="12" t="s">
        <v>1247</v>
      </c>
      <c r="R78" s="13" t="s">
        <v>2514</v>
      </c>
      <c r="S78" s="13" t="s">
        <v>1342</v>
      </c>
      <c r="T78" s="23" t="s">
        <v>1342</v>
      </c>
      <c r="U78" s="13" t="s">
        <v>1342</v>
      </c>
      <c r="V78" s="13" t="s">
        <v>1651</v>
      </c>
      <c r="W78" s="13" t="s">
        <v>1342</v>
      </c>
      <c r="X78" s="12" t="str">
        <f>VLOOKUP($D78,global_toc!$C:$K,7,FALSE)</f>
        <v>79AUG03XX</v>
      </c>
      <c r="Y78" s="12" t="str">
        <f>VLOOKUP($D78,global_toc!$C:$K,8,FALSE)</f>
        <v>11OCT17XA</v>
      </c>
      <c r="Z78" s="12">
        <f>VLOOKUP($D78,global_toc!$C:$K,9,FALSE)</f>
        <v>5029</v>
      </c>
      <c r="AA78" s="19" t="str">
        <f t="shared" si="3"/>
        <v>Consensus bending contrib. (sec)</v>
      </c>
    </row>
    <row r="79" spans="1:27" x14ac:dyDescent="0.2">
      <c r="A79" s="12">
        <v>297</v>
      </c>
      <c r="B79" s="12">
        <v>2</v>
      </c>
      <c r="C79" s="12" t="str">
        <f t="shared" si="2"/>
        <v>Cal-BendSun</v>
      </c>
      <c r="D79" s="14" t="s">
        <v>869</v>
      </c>
      <c r="E79" s="12">
        <v>2</v>
      </c>
      <c r="F79" s="12">
        <v>1</v>
      </c>
      <c r="G79" s="12">
        <v>1</v>
      </c>
      <c r="H79" s="12" t="s">
        <v>447</v>
      </c>
      <c r="I79" s="12">
        <v>5</v>
      </c>
      <c r="J79" s="12" t="s">
        <v>868</v>
      </c>
      <c r="K79" s="12" t="s">
        <v>1347</v>
      </c>
      <c r="L79" s="23" t="s">
        <v>1342</v>
      </c>
      <c r="M79" s="13" t="s">
        <v>1464</v>
      </c>
      <c r="N79" s="13" t="s">
        <v>1342</v>
      </c>
      <c r="O79" s="12" t="s">
        <v>2447</v>
      </c>
      <c r="P79" s="12" t="s">
        <v>2515</v>
      </c>
      <c r="Q79" s="12" t="s">
        <v>1247</v>
      </c>
      <c r="R79" s="13" t="s">
        <v>2515</v>
      </c>
      <c r="S79" s="13" t="s">
        <v>1342</v>
      </c>
      <c r="T79" s="23" t="s">
        <v>1342</v>
      </c>
      <c r="U79" s="13" t="s">
        <v>1342</v>
      </c>
      <c r="V79" s="13" t="s">
        <v>1651</v>
      </c>
      <c r="W79" s="13" t="s">
        <v>1342</v>
      </c>
      <c r="X79" s="12" t="str">
        <f>VLOOKUP($D79,global_toc!$C:$K,7,FALSE)</f>
        <v>79AUG03XX</v>
      </c>
      <c r="Y79" s="12" t="str">
        <f>VLOOKUP($D79,global_toc!$C:$K,8,FALSE)</f>
        <v>11OCT17XA</v>
      </c>
      <c r="Z79" s="12">
        <f>VLOOKUP($D79,global_toc!$C:$K,9,FALSE)</f>
        <v>5029</v>
      </c>
      <c r="AA79" s="19" t="str">
        <f t="shared" si="3"/>
        <v>Consensus bending contrib. (sec)</v>
      </c>
    </row>
    <row r="80" spans="1:27" ht="12" customHeight="1" x14ac:dyDescent="0.2">
      <c r="A80" s="12">
        <v>296</v>
      </c>
      <c r="B80" s="12">
        <v>2</v>
      </c>
      <c r="C80" s="12" t="str">
        <f t="shared" si="2"/>
        <v>Cal-BendSunHigher</v>
      </c>
      <c r="D80" s="14" t="s">
        <v>870</v>
      </c>
      <c r="E80" s="12">
        <v>2</v>
      </c>
      <c r="F80" s="12">
        <v>1</v>
      </c>
      <c r="G80" s="12">
        <v>1</v>
      </c>
      <c r="H80" s="12" t="s">
        <v>447</v>
      </c>
      <c r="I80" s="12">
        <v>5</v>
      </c>
      <c r="J80" s="12" t="s">
        <v>871</v>
      </c>
      <c r="K80" s="12" t="s">
        <v>1347</v>
      </c>
      <c r="L80" s="23" t="s">
        <v>1342</v>
      </c>
      <c r="M80" s="13" t="s">
        <v>1464</v>
      </c>
      <c r="N80" s="13" t="s">
        <v>1342</v>
      </c>
      <c r="O80" s="12" t="s">
        <v>2447</v>
      </c>
      <c r="P80" s="12" t="s">
        <v>2516</v>
      </c>
      <c r="Q80" s="12" t="s">
        <v>1247</v>
      </c>
      <c r="R80" s="13" t="s">
        <v>2516</v>
      </c>
      <c r="S80" s="13" t="s">
        <v>1342</v>
      </c>
      <c r="T80" s="23" t="s">
        <v>1342</v>
      </c>
      <c r="U80" s="13">
        <v>2</v>
      </c>
      <c r="V80" s="13" t="s">
        <v>1651</v>
      </c>
      <c r="W80" s="13" t="s">
        <v>1342</v>
      </c>
      <c r="X80" s="12" t="str">
        <f>VLOOKUP($D80,global_toc!$C:$K,7,FALSE)</f>
        <v>79AUG03XX</v>
      </c>
      <c r="Y80" s="12" t="str">
        <f>VLOOKUP($D80,global_toc!$C:$K,8,FALSE)</f>
        <v>11OCT17XA</v>
      </c>
      <c r="Z80" s="12">
        <f>VLOOKUP($D80,global_toc!$C:$K,9,FALSE)</f>
        <v>5029</v>
      </c>
      <c r="AA80" s="19" t="str">
        <f t="shared" si="3"/>
        <v>High order bending contrib.(sec)</v>
      </c>
    </row>
    <row r="81" spans="1:27" ht="12" customHeight="1" x14ac:dyDescent="0.2">
      <c r="A81" s="12">
        <v>298</v>
      </c>
      <c r="B81" s="12" t="s">
        <v>1655</v>
      </c>
      <c r="C81" s="12" t="str">
        <f t="shared" si="2"/>
        <v>Cal-AprioriClock</v>
      </c>
      <c r="D81" s="12" t="s">
        <v>2597</v>
      </c>
      <c r="E81" s="12">
        <v>2</v>
      </c>
      <c r="F81" s="12">
        <v>1</v>
      </c>
      <c r="G81" s="12">
        <v>1</v>
      </c>
      <c r="H81" s="12" t="s">
        <v>447</v>
      </c>
      <c r="I81" s="12" t="s">
        <v>1655</v>
      </c>
      <c r="J81" s="12" t="s">
        <v>1342</v>
      </c>
      <c r="K81" s="12" t="s">
        <v>1347</v>
      </c>
      <c r="L81" s="23" t="s">
        <v>1342</v>
      </c>
      <c r="M81" s="13" t="s">
        <v>1655</v>
      </c>
      <c r="N81" s="13" t="s">
        <v>1490</v>
      </c>
      <c r="O81" s="12" t="s">
        <v>2447</v>
      </c>
      <c r="P81" s="12" t="s">
        <v>2598</v>
      </c>
      <c r="Q81" s="12" t="s">
        <v>1342</v>
      </c>
      <c r="R81" s="13" t="s">
        <v>2598</v>
      </c>
      <c r="S81" s="13" t="s">
        <v>1342</v>
      </c>
      <c r="T81" s="23" t="s">
        <v>1837</v>
      </c>
      <c r="U81" s="13">
        <v>2</v>
      </c>
      <c r="V81" s="13" t="s">
        <v>1651</v>
      </c>
      <c r="W81" s="13" t="s">
        <v>1342</v>
      </c>
      <c r="X81" s="12" t="e">
        <f>VLOOKUP($D81,global_toc!$C:$K,7,FALSE)</f>
        <v>#N/A</v>
      </c>
      <c r="Y81" s="12" t="e">
        <f>VLOOKUP($D81,global_toc!$C:$K,8,FALSE)</f>
        <v>#N/A</v>
      </c>
      <c r="Z81" s="12" t="e">
        <f>VLOOKUP($D81,global_toc!$C:$K,9,FALSE)</f>
        <v>#N/A</v>
      </c>
      <c r="AA81" s="19" t="str">
        <f t="shared" si="3"/>
        <v>Apriori clock contribution to delay, rate.</v>
      </c>
    </row>
    <row r="82" spans="1:27" x14ac:dyDescent="0.2">
      <c r="A82" s="12">
        <v>299</v>
      </c>
      <c r="B82" s="12">
        <v>2</v>
      </c>
      <c r="C82" s="12" t="str">
        <f t="shared" si="2"/>
        <v>Cal-EarthTide</v>
      </c>
      <c r="D82" s="14" t="s">
        <v>815</v>
      </c>
      <c r="E82" s="12">
        <v>2</v>
      </c>
      <c r="F82" s="12">
        <v>1</v>
      </c>
      <c r="G82" s="12">
        <v>1</v>
      </c>
      <c r="H82" s="12" t="s">
        <v>447</v>
      </c>
      <c r="I82" s="12">
        <v>5</v>
      </c>
      <c r="J82" s="12" t="s">
        <v>816</v>
      </c>
      <c r="K82" s="12" t="s">
        <v>1347</v>
      </c>
      <c r="L82" s="23" t="s">
        <v>1342</v>
      </c>
      <c r="M82" s="13" t="s">
        <v>1464</v>
      </c>
      <c r="N82" s="13" t="s">
        <v>1490</v>
      </c>
      <c r="O82" s="12" t="s">
        <v>2447</v>
      </c>
      <c r="P82" s="12" t="s">
        <v>2503</v>
      </c>
      <c r="Q82" s="12" t="s">
        <v>1247</v>
      </c>
      <c r="R82" s="13" t="s">
        <v>2504</v>
      </c>
      <c r="S82" s="13" t="s">
        <v>1342</v>
      </c>
      <c r="T82" s="23" t="s">
        <v>1342</v>
      </c>
      <c r="U82" s="13">
        <v>2</v>
      </c>
      <c r="V82" s="13" t="s">
        <v>1651</v>
      </c>
      <c r="W82" s="13" t="s">
        <v>1342</v>
      </c>
      <c r="X82" s="12" t="str">
        <f>VLOOKUP($D82,global_toc!$C:$K,7,FALSE)</f>
        <v>79AUG03XX</v>
      </c>
      <c r="Y82" s="12" t="str">
        <f>VLOOKUP($D82,global_toc!$C:$K,8,FALSE)</f>
        <v>11OCT17XA</v>
      </c>
      <c r="Z82" s="12">
        <f>VLOOKUP($D82,global_toc!$C:$K,9,FALSE)</f>
        <v>5029</v>
      </c>
      <c r="AA82" s="19" t="str">
        <f t="shared" si="3"/>
        <v>Earth tide contributions def.</v>
      </c>
    </row>
    <row r="83" spans="1:27" ht="25.5" x14ac:dyDescent="0.2">
      <c r="A83" s="12">
        <v>300</v>
      </c>
      <c r="B83" s="12" t="s">
        <v>1655</v>
      </c>
      <c r="C83" s="12" t="str">
        <f t="shared" si="2"/>
        <v>Cal-EccentricityMap</v>
      </c>
      <c r="D83" s="12" t="s">
        <v>1912</v>
      </c>
      <c r="E83" s="12">
        <v>2</v>
      </c>
      <c r="F83" s="12">
        <v>1</v>
      </c>
      <c r="G83" s="12">
        <v>1</v>
      </c>
      <c r="H83" s="12" t="s">
        <v>447</v>
      </c>
      <c r="I83" s="12" t="s">
        <v>1655</v>
      </c>
      <c r="J83" s="12" t="s">
        <v>1342</v>
      </c>
      <c r="K83" s="12" t="s">
        <v>1347</v>
      </c>
      <c r="L83" s="23" t="s">
        <v>1342</v>
      </c>
      <c r="M83" s="13" t="s">
        <v>1655</v>
      </c>
      <c r="N83" s="13" t="s">
        <v>1490</v>
      </c>
      <c r="O83" s="12" t="s">
        <v>2447</v>
      </c>
      <c r="P83" s="12" t="s">
        <v>2505</v>
      </c>
      <c r="Q83" s="12" t="s">
        <v>1342</v>
      </c>
      <c r="R83" s="13" t="s">
        <v>2505</v>
      </c>
      <c r="S83" s="13" t="s">
        <v>1342</v>
      </c>
      <c r="T83" s="23" t="s">
        <v>1914</v>
      </c>
      <c r="U83" s="13">
        <v>2</v>
      </c>
      <c r="V83" s="13" t="s">
        <v>1651</v>
      </c>
      <c r="W83" s="13" t="s">
        <v>1342</v>
      </c>
      <c r="X83" s="12" t="e">
        <f>VLOOKUP($D83,global_toc!$C:$K,7,FALSE)</f>
        <v>#N/A</v>
      </c>
      <c r="Y83" s="12" t="e">
        <f>VLOOKUP($D83,global_toc!$C:$K,8,FALSE)</f>
        <v>#N/A</v>
      </c>
      <c r="Z83" s="12" t="e">
        <f>VLOOKUP($D83,global_toc!$C:$K,9,FALSE)</f>
        <v>#N/A</v>
      </c>
      <c r="AA83" s="19" t="str">
        <f t="shared" si="3"/>
        <v>Adding this maps the observables to the  monument.</v>
      </c>
    </row>
    <row r="84" spans="1:27" x14ac:dyDescent="0.2">
      <c r="A84" s="12">
        <v>301</v>
      </c>
      <c r="B84" s="12">
        <v>2</v>
      </c>
      <c r="C84" s="12" t="str">
        <f t="shared" si="2"/>
        <v>Cal-FeedCorrection</v>
      </c>
      <c r="D84" s="14" t="s">
        <v>813</v>
      </c>
      <c r="E84" s="12">
        <v>2</v>
      </c>
      <c r="F84" s="12">
        <v>1</v>
      </c>
      <c r="G84" s="12">
        <v>1</v>
      </c>
      <c r="H84" s="12" t="s">
        <v>447</v>
      </c>
      <c r="I84" s="12">
        <v>5</v>
      </c>
      <c r="J84" s="12" t="s">
        <v>814</v>
      </c>
      <c r="K84" s="12" t="s">
        <v>1347</v>
      </c>
      <c r="L84" s="23" t="s">
        <v>1342</v>
      </c>
      <c r="M84" s="13" t="s">
        <v>1464</v>
      </c>
      <c r="N84" s="13" t="s">
        <v>1490</v>
      </c>
      <c r="O84" s="12" t="s">
        <v>2447</v>
      </c>
      <c r="P84" s="12" t="s">
        <v>2506</v>
      </c>
      <c r="Q84" s="12" t="s">
        <v>1342</v>
      </c>
      <c r="R84" s="13" t="s">
        <v>2506</v>
      </c>
      <c r="S84" s="13" t="s">
        <v>1342</v>
      </c>
      <c r="T84" s="23" t="s">
        <v>1342</v>
      </c>
      <c r="U84" s="13">
        <v>2</v>
      </c>
      <c r="V84" s="13" t="s">
        <v>1651</v>
      </c>
      <c r="W84" s="13" t="s">
        <v>1342</v>
      </c>
      <c r="X84" s="12" t="str">
        <f>VLOOKUP($D84,global_toc!$C:$K,7,FALSE)</f>
        <v>79AUG03XX</v>
      </c>
      <c r="Y84" s="12" t="str">
        <f>VLOOKUP($D84,global_toc!$C:$K,8,FALSE)</f>
        <v>11OCT17XA</v>
      </c>
      <c r="Z84" s="12">
        <f>VLOOKUP($D84,global_toc!$C:$K,9,FALSE)</f>
        <v>5029</v>
      </c>
      <c r="AA84" s="19" t="str">
        <f t="shared" si="3"/>
        <v>Feedhorn corr. in CORFIL scheme</v>
      </c>
    </row>
    <row r="85" spans="1:27" x14ac:dyDescent="0.2">
      <c r="A85" s="12">
        <v>302</v>
      </c>
      <c r="B85" s="12">
        <v>2</v>
      </c>
      <c r="C85" s="12" t="str">
        <f t="shared" si="2"/>
        <v>Cal-UT1Ortho</v>
      </c>
      <c r="D85" s="14" t="s">
        <v>934</v>
      </c>
      <c r="E85" s="12">
        <v>2</v>
      </c>
      <c r="F85" s="12">
        <v>1</v>
      </c>
      <c r="G85" s="12">
        <v>1</v>
      </c>
      <c r="H85" s="12" t="s">
        <v>447</v>
      </c>
      <c r="I85" s="12">
        <v>5</v>
      </c>
      <c r="J85" s="12" t="s">
        <v>935</v>
      </c>
      <c r="K85" s="12" t="s">
        <v>1347</v>
      </c>
      <c r="L85" s="23" t="s">
        <v>1342</v>
      </c>
      <c r="M85" s="13" t="s">
        <v>1464</v>
      </c>
      <c r="N85" s="13" t="s">
        <v>1490</v>
      </c>
      <c r="O85" s="12" t="s">
        <v>2447</v>
      </c>
      <c r="P85" s="12" t="s">
        <v>2615</v>
      </c>
      <c r="Q85" s="12" t="s">
        <v>1247</v>
      </c>
      <c r="R85" s="13" t="s">
        <v>2507</v>
      </c>
      <c r="S85" s="13" t="s">
        <v>1342</v>
      </c>
      <c r="T85" s="23" t="s">
        <v>1342</v>
      </c>
      <c r="U85" s="13">
        <v>2</v>
      </c>
      <c r="V85" s="13" t="s">
        <v>1651</v>
      </c>
      <c r="W85" s="13" t="s">
        <v>1342</v>
      </c>
      <c r="X85" s="12" t="str">
        <f>VLOOKUP($D85,global_toc!$C:$K,7,FALSE)</f>
        <v>79AUG03XX</v>
      </c>
      <c r="Y85" s="12" t="str">
        <f>VLOOKUP($D85,global_toc!$C:$K,8,FALSE)</f>
        <v>11OCT17XA</v>
      </c>
      <c r="Z85" s="12">
        <f>VLOOKUP($D85,global_toc!$C:$K,9,FALSE)</f>
        <v>5029</v>
      </c>
      <c r="AA85" s="19" t="str">
        <f t="shared" si="3"/>
        <v>ORTHO_EOP Tidal UT1 contribution</v>
      </c>
    </row>
    <row r="86" spans="1:27" x14ac:dyDescent="0.2">
      <c r="A86" s="12">
        <v>303</v>
      </c>
      <c r="B86" s="12">
        <v>2</v>
      </c>
      <c r="C86" s="12" t="str">
        <f t="shared" si="2"/>
        <v>Cal-WobOrtho</v>
      </c>
      <c r="D86" s="14" t="s">
        <v>938</v>
      </c>
      <c r="E86" s="12">
        <v>2</v>
      </c>
      <c r="F86" s="12">
        <v>1</v>
      </c>
      <c r="G86" s="12">
        <v>1</v>
      </c>
      <c r="H86" s="12" t="s">
        <v>447</v>
      </c>
      <c r="I86" s="12">
        <v>5</v>
      </c>
      <c r="J86" s="12" t="s">
        <v>939</v>
      </c>
      <c r="K86" s="12" t="s">
        <v>1347</v>
      </c>
      <c r="L86" s="23" t="s">
        <v>1342</v>
      </c>
      <c r="M86" s="13" t="s">
        <v>1464</v>
      </c>
      <c r="N86" s="13" t="s">
        <v>1490</v>
      </c>
      <c r="O86" s="12" t="s">
        <v>2447</v>
      </c>
      <c r="P86" s="12" t="s">
        <v>2615</v>
      </c>
      <c r="Q86" s="12" t="s">
        <v>1247</v>
      </c>
      <c r="R86" s="13" t="s">
        <v>2508</v>
      </c>
      <c r="S86" s="13" t="s">
        <v>1342</v>
      </c>
      <c r="T86" s="23" t="s">
        <v>1342</v>
      </c>
      <c r="U86" s="13">
        <v>2</v>
      </c>
      <c r="V86" s="13" t="s">
        <v>1651</v>
      </c>
      <c r="W86" s="13" t="s">
        <v>1342</v>
      </c>
      <c r="X86" s="12" t="str">
        <f>VLOOKUP($D86,global_toc!$C:$K,7,FALSE)</f>
        <v>79AUG03XX</v>
      </c>
      <c r="Y86" s="12" t="str">
        <f>VLOOKUP($D86,global_toc!$C:$K,8,FALSE)</f>
        <v>11OCT17XA</v>
      </c>
      <c r="Z86" s="12">
        <f>VLOOKUP($D86,global_toc!$C:$K,9,FALSE)</f>
        <v>5029</v>
      </c>
      <c r="AA86" s="19" t="str">
        <f t="shared" si="3"/>
        <v>ORTHO_EOP tidal wobble contribtn</v>
      </c>
    </row>
    <row r="87" spans="1:27" x14ac:dyDescent="0.2">
      <c r="A87" s="12">
        <v>318</v>
      </c>
      <c r="B87" s="12">
        <v>2</v>
      </c>
      <c r="C87" s="12" t="str">
        <f t="shared" si="2"/>
        <v>Cal-HiFreqLibrationPM</v>
      </c>
      <c r="D87" s="14" t="s">
        <v>936</v>
      </c>
      <c r="E87" s="12">
        <v>2</v>
      </c>
      <c r="F87" s="12">
        <v>1</v>
      </c>
      <c r="G87" s="12">
        <v>1</v>
      </c>
      <c r="H87" s="12" t="s">
        <v>447</v>
      </c>
      <c r="I87" s="12">
        <v>5</v>
      </c>
      <c r="J87" s="12" t="s">
        <v>937</v>
      </c>
      <c r="K87" s="12" t="s">
        <v>1347</v>
      </c>
      <c r="L87" s="23" t="s">
        <v>1342</v>
      </c>
      <c r="M87" s="13" t="s">
        <v>1464</v>
      </c>
      <c r="N87" s="13" t="s">
        <v>1490</v>
      </c>
      <c r="O87" s="12" t="s">
        <v>2447</v>
      </c>
      <c r="P87" s="12" t="s">
        <v>2509</v>
      </c>
      <c r="Q87" s="12" t="s">
        <v>1247</v>
      </c>
      <c r="R87" s="12" t="s">
        <v>2510</v>
      </c>
      <c r="S87" s="13" t="s">
        <v>1342</v>
      </c>
      <c r="T87" s="12" t="s">
        <v>2483</v>
      </c>
      <c r="U87" s="13">
        <v>2</v>
      </c>
      <c r="V87" s="13" t="s">
        <v>1651</v>
      </c>
      <c r="W87" s="13" t="s">
        <v>1342</v>
      </c>
      <c r="X87" s="12" t="str">
        <f>VLOOKUP($D87,global_toc!$C:$K,7,FALSE)</f>
        <v>79AUG03XX</v>
      </c>
      <c r="Y87" s="12" t="str">
        <f>VLOOKUP($D87,global_toc!$C:$K,8,FALSE)</f>
        <v>11OCT17XA</v>
      </c>
      <c r="Z87" s="12">
        <f>VLOOKUP($D87,global_toc!$C:$K,9,FALSE)</f>
        <v>5029</v>
      </c>
      <c r="AA87" s="19" t="str">
        <f t="shared" si="3"/>
        <v>Hi Freq Wobble Libration Contribution</v>
      </c>
    </row>
    <row r="88" spans="1:27" x14ac:dyDescent="0.2">
      <c r="A88" s="12">
        <v>318</v>
      </c>
      <c r="B88" s="12">
        <v>2</v>
      </c>
      <c r="C88" s="12" t="str">
        <f t="shared" si="2"/>
        <v>Cal-HiFreqLibrationPM</v>
      </c>
      <c r="D88" s="12" t="s">
        <v>2475</v>
      </c>
      <c r="E88" s="12">
        <v>2</v>
      </c>
      <c r="F88" s="12">
        <v>1</v>
      </c>
      <c r="G88" s="12">
        <v>1</v>
      </c>
      <c r="H88" s="12" t="s">
        <v>447</v>
      </c>
      <c r="I88" s="12">
        <v>5</v>
      </c>
      <c r="J88" s="12" t="s">
        <v>2616</v>
      </c>
      <c r="K88" s="12" t="s">
        <v>1347</v>
      </c>
      <c r="L88" s="23" t="s">
        <v>1342</v>
      </c>
      <c r="M88" s="13" t="s">
        <v>1464</v>
      </c>
      <c r="N88" s="13" t="s">
        <v>1490</v>
      </c>
      <c r="O88" s="12" t="s">
        <v>2447</v>
      </c>
      <c r="P88" s="12" t="s">
        <v>2511</v>
      </c>
      <c r="Q88" s="12" t="s">
        <v>1247</v>
      </c>
      <c r="R88" s="12" t="s">
        <v>2510</v>
      </c>
      <c r="S88" s="13" t="s">
        <v>1342</v>
      </c>
      <c r="T88" s="12" t="s">
        <v>2483</v>
      </c>
      <c r="U88" s="13">
        <v>2</v>
      </c>
      <c r="V88" s="13" t="s">
        <v>1651</v>
      </c>
      <c r="W88" s="13" t="s">
        <v>1342</v>
      </c>
      <c r="X88" s="12" t="e">
        <f>VLOOKUP($D88,global_toc!$C:$K,7,FALSE)</f>
        <v>#N/A</v>
      </c>
      <c r="Y88" s="12" t="e">
        <f>VLOOKUP($D88,global_toc!$C:$K,8,FALSE)</f>
        <v>#N/A</v>
      </c>
      <c r="Z88" s="12" t="e">
        <f>VLOOKUP($D88,global_toc!$C:$K,9,FALSE)</f>
        <v>#N/A</v>
      </c>
      <c r="AA88" s="19" t="str">
        <f t="shared" si="3"/>
        <v>Hi Freq Wobble Libration Contribution</v>
      </c>
    </row>
    <row r="89" spans="1:27" x14ac:dyDescent="0.2">
      <c r="A89" s="12">
        <v>318</v>
      </c>
      <c r="B89" s="12">
        <v>2</v>
      </c>
      <c r="C89" s="12" t="str">
        <f t="shared" si="2"/>
        <v>Cal-HiFreqLibrationUT1</v>
      </c>
      <c r="D89" s="12" t="s">
        <v>2474</v>
      </c>
      <c r="E89" s="12">
        <v>2</v>
      </c>
      <c r="F89" s="12">
        <v>1</v>
      </c>
      <c r="G89" s="12">
        <v>1</v>
      </c>
      <c r="H89" s="12" t="s">
        <v>447</v>
      </c>
      <c r="I89" s="12">
        <v>5</v>
      </c>
      <c r="J89" s="12" t="s">
        <v>2476</v>
      </c>
      <c r="K89" s="12" t="s">
        <v>1347</v>
      </c>
      <c r="L89" s="23" t="s">
        <v>1342</v>
      </c>
      <c r="M89" s="13" t="s">
        <v>1464</v>
      </c>
      <c r="N89" s="13" t="s">
        <v>1490</v>
      </c>
      <c r="O89" s="12" t="s">
        <v>2447</v>
      </c>
      <c r="P89" s="12" t="s">
        <v>2511</v>
      </c>
      <c r="Q89" s="12" t="s">
        <v>1247</v>
      </c>
      <c r="R89" s="12" t="s">
        <v>2512</v>
      </c>
      <c r="S89" s="13" t="s">
        <v>1342</v>
      </c>
      <c r="T89" s="12" t="s">
        <v>2484</v>
      </c>
      <c r="U89" s="13">
        <v>2</v>
      </c>
      <c r="V89" s="13" t="s">
        <v>1651</v>
      </c>
      <c r="W89" s="13" t="s">
        <v>1342</v>
      </c>
      <c r="X89" s="12" t="e">
        <f>VLOOKUP($D89,global_toc!$C:$K,7,FALSE)</f>
        <v>#N/A</v>
      </c>
      <c r="Y89" s="12" t="e">
        <f>VLOOKUP($D89,global_toc!$C:$K,8,FALSE)</f>
        <v>#N/A</v>
      </c>
      <c r="Z89" s="12" t="e">
        <f>VLOOKUP($D89,global_toc!$C:$K,9,FALSE)</f>
        <v>#N/A</v>
      </c>
      <c r="AA89" s="19" t="str">
        <f t="shared" si="3"/>
        <v>Hi Freq UT1 Libration Contribution</v>
      </c>
    </row>
    <row r="90" spans="1:27" x14ac:dyDescent="0.2">
      <c r="A90" s="12">
        <v>315</v>
      </c>
      <c r="B90" s="12">
        <v>2</v>
      </c>
      <c r="C90" s="12" t="str">
        <f t="shared" si="2"/>
        <v>Cal-Nutation</v>
      </c>
      <c r="D90" s="14" t="s">
        <v>825</v>
      </c>
      <c r="E90" s="12">
        <v>2</v>
      </c>
      <c r="F90" s="12">
        <v>1</v>
      </c>
      <c r="G90" s="12">
        <v>1</v>
      </c>
      <c r="H90" s="12" t="s">
        <v>447</v>
      </c>
      <c r="I90" s="12">
        <v>5</v>
      </c>
      <c r="J90" s="12" t="s">
        <v>826</v>
      </c>
      <c r="K90" s="12" t="s">
        <v>1347</v>
      </c>
      <c r="L90" s="23" t="s">
        <v>1342</v>
      </c>
      <c r="M90" s="13" t="s">
        <v>1464</v>
      </c>
      <c r="N90" s="13" t="s">
        <v>1490</v>
      </c>
      <c r="O90" s="12" t="s">
        <v>2447</v>
      </c>
      <c r="P90" s="12" t="s">
        <v>2520</v>
      </c>
      <c r="Q90" s="12" t="s">
        <v>1247</v>
      </c>
      <c r="R90" s="13" t="s">
        <v>2521</v>
      </c>
      <c r="S90" s="13" t="s">
        <v>1342</v>
      </c>
      <c r="T90" s="23" t="s">
        <v>1342</v>
      </c>
      <c r="U90" s="13">
        <v>2</v>
      </c>
      <c r="V90" s="13" t="s">
        <v>1651</v>
      </c>
      <c r="W90" s="13" t="s">
        <v>1342</v>
      </c>
      <c r="X90" s="12" t="str">
        <f>VLOOKUP($D90,global_toc!$C:$K,7,FALSE)</f>
        <v>79AUG03XX</v>
      </c>
      <c r="Y90" s="12" t="str">
        <f>VLOOKUP($D90,global_toc!$C:$K,8,FALSE)</f>
        <v>11OCT17XA</v>
      </c>
      <c r="Z90" s="12">
        <f>VLOOKUP($D90,global_toc!$C:$K,9,FALSE)</f>
        <v>5029</v>
      </c>
      <c r="AA90" s="19" t="str">
        <f t="shared" si="3"/>
        <v>2000A Nut to Wahr Nut Contributn</v>
      </c>
    </row>
    <row r="91" spans="1:27" x14ac:dyDescent="0.2">
      <c r="A91" s="12">
        <v>309</v>
      </c>
      <c r="B91" s="12">
        <v>2</v>
      </c>
      <c r="C91" s="12" t="str">
        <f t="shared" si="2"/>
        <v>Cal-OceanLoadOld</v>
      </c>
      <c r="D91" s="14" t="s">
        <v>2640</v>
      </c>
      <c r="E91" s="12">
        <v>2</v>
      </c>
      <c r="F91" s="12">
        <v>1</v>
      </c>
      <c r="G91" s="12">
        <v>1</v>
      </c>
      <c r="H91" s="12" t="s">
        <v>447</v>
      </c>
      <c r="I91" s="12">
        <v>5</v>
      </c>
      <c r="J91" s="12" t="s">
        <v>2641</v>
      </c>
      <c r="K91" s="12" t="s">
        <v>1347</v>
      </c>
      <c r="L91" s="23" t="s">
        <v>1342</v>
      </c>
      <c r="M91" s="13" t="s">
        <v>1464</v>
      </c>
      <c r="N91" s="13" t="s">
        <v>1490</v>
      </c>
      <c r="O91" s="12" t="s">
        <v>2447</v>
      </c>
      <c r="P91" s="12" t="s">
        <v>2642</v>
      </c>
      <c r="Q91" s="12" t="s">
        <v>1247</v>
      </c>
      <c r="R91" s="13" t="s">
        <v>2642</v>
      </c>
      <c r="S91" s="13" t="s">
        <v>1342</v>
      </c>
      <c r="T91" s="23" t="s">
        <v>2421</v>
      </c>
      <c r="U91" s="13">
        <v>2</v>
      </c>
      <c r="V91" s="13" t="s">
        <v>1651</v>
      </c>
      <c r="W91" s="13" t="s">
        <v>1342</v>
      </c>
      <c r="X91" s="12" t="e">
        <f>VLOOKUP($D91,global_toc!$C:$K,7,FALSE)</f>
        <v>#N/A</v>
      </c>
      <c r="Y91" s="12" t="e">
        <f>VLOOKUP($D91,global_toc!$C:$K,8,FALSE)</f>
        <v>#N/A</v>
      </c>
      <c r="Z91" s="12" t="e">
        <f>VLOOKUP($D91,global_toc!$C:$K,9,FALSE)</f>
        <v>#N/A</v>
      </c>
      <c r="AA91" s="19" t="str">
        <f t="shared" si="3"/>
        <v>Obs dependent ocean loading</v>
      </c>
    </row>
    <row r="92" spans="1:27" x14ac:dyDescent="0.2">
      <c r="A92" s="12">
        <v>309</v>
      </c>
      <c r="B92" s="12">
        <v>2</v>
      </c>
      <c r="C92" s="12" t="str">
        <f t="shared" ref="C92" si="4">IF(R92="-",D92,R92)</f>
        <v>Cal-OceanLoad</v>
      </c>
      <c r="D92" s="14" t="s">
        <v>827</v>
      </c>
      <c r="E92" s="12">
        <v>2</v>
      </c>
      <c r="F92" s="12">
        <v>1</v>
      </c>
      <c r="G92" s="12">
        <v>1</v>
      </c>
      <c r="H92" s="12" t="s">
        <v>447</v>
      </c>
      <c r="I92" s="12">
        <v>5</v>
      </c>
      <c r="J92" s="12" t="s">
        <v>828</v>
      </c>
      <c r="K92" s="12" t="s">
        <v>1347</v>
      </c>
      <c r="L92" s="23" t="s">
        <v>1342</v>
      </c>
      <c r="M92" s="13" t="s">
        <v>1464</v>
      </c>
      <c r="N92" s="13" t="s">
        <v>1490</v>
      </c>
      <c r="O92" s="12" t="s">
        <v>2447</v>
      </c>
      <c r="P92" s="12" t="s">
        <v>2522</v>
      </c>
      <c r="Q92" s="12" t="s">
        <v>1247</v>
      </c>
      <c r="R92" s="13" t="s">
        <v>2522</v>
      </c>
      <c r="S92" s="13" t="s">
        <v>1342</v>
      </c>
      <c r="T92" s="23" t="s">
        <v>2421</v>
      </c>
      <c r="U92" s="13">
        <v>2</v>
      </c>
      <c r="V92" s="13" t="s">
        <v>1651</v>
      </c>
      <c r="W92" s="13" t="s">
        <v>1342</v>
      </c>
      <c r="X92" s="12" t="str">
        <f>VLOOKUP($D92,global_toc!$C:$K,7,FALSE)</f>
        <v>79AUG03XX</v>
      </c>
      <c r="Y92" s="12" t="str">
        <f>VLOOKUP($D92,global_toc!$C:$K,8,FALSE)</f>
        <v>11OCT17XA</v>
      </c>
      <c r="Z92" s="12">
        <f>VLOOKUP($D92,global_toc!$C:$K,9,FALSE)</f>
        <v>5029</v>
      </c>
      <c r="AA92" s="19" t="str">
        <f t="shared" ref="AA92" si="5">IF(T92="-",J92,T92)</f>
        <v>Obs dependent ocean loading</v>
      </c>
    </row>
    <row r="93" spans="1:27" x14ac:dyDescent="0.2">
      <c r="A93" s="12">
        <v>312</v>
      </c>
      <c r="B93" s="12">
        <v>2</v>
      </c>
      <c r="C93" s="12" t="str">
        <f t="shared" si="2"/>
        <v>Cal-OceanPoleTideLoad</v>
      </c>
      <c r="D93" s="12" t="s">
        <v>2472</v>
      </c>
      <c r="E93" s="12">
        <v>2</v>
      </c>
      <c r="F93" s="12">
        <v>1</v>
      </c>
      <c r="G93" s="12">
        <v>1</v>
      </c>
      <c r="H93" s="12" t="s">
        <v>447</v>
      </c>
      <c r="I93" s="12">
        <v>5</v>
      </c>
      <c r="J93" s="12" t="s">
        <v>2473</v>
      </c>
      <c r="K93" s="12" t="s">
        <v>1347</v>
      </c>
      <c r="L93" s="23" t="s">
        <v>1342</v>
      </c>
      <c r="M93" s="13" t="s">
        <v>1464</v>
      </c>
      <c r="N93" s="13" t="s">
        <v>1490</v>
      </c>
      <c r="O93" s="12" t="s">
        <v>2447</v>
      </c>
      <c r="P93" s="12" t="s">
        <v>2525</v>
      </c>
      <c r="Q93" s="12" t="s">
        <v>1247</v>
      </c>
      <c r="R93" s="13" t="s">
        <v>2525</v>
      </c>
      <c r="S93" s="13" t="s">
        <v>1342</v>
      </c>
      <c r="T93" s="23" t="s">
        <v>1342</v>
      </c>
      <c r="U93" s="13">
        <v>2</v>
      </c>
      <c r="V93" s="13" t="s">
        <v>1651</v>
      </c>
      <c r="W93" s="13" t="s">
        <v>1342</v>
      </c>
      <c r="X93" s="12" t="e">
        <f>VLOOKUP($D93,global_toc!$C:$K,7,FALSE)</f>
        <v>#N/A</v>
      </c>
      <c r="Y93" s="12" t="e">
        <f>VLOOKUP($D93,global_toc!$C:$K,8,FALSE)</f>
        <v>#N/A</v>
      </c>
      <c r="Z93" s="12" t="e">
        <f>VLOOKUP($D93,global_toc!$C:$K,9,FALSE)</f>
        <v>#N/A</v>
      </c>
      <c r="AA93" s="19" t="str">
        <f t="shared" si="3"/>
        <v>Ocean Pole Tide Load Contribution</v>
      </c>
    </row>
    <row r="94" spans="1:27" x14ac:dyDescent="0.2">
      <c r="A94" s="12">
        <v>310</v>
      </c>
      <c r="B94" s="12">
        <v>2</v>
      </c>
      <c r="C94" s="12" t="str">
        <f t="shared" si="2"/>
        <v>Cal-Parallax</v>
      </c>
      <c r="D94" s="14" t="s">
        <v>876</v>
      </c>
      <c r="E94" s="12">
        <v>2</v>
      </c>
      <c r="F94" s="12">
        <v>1</v>
      </c>
      <c r="G94" s="12">
        <v>1</v>
      </c>
      <c r="H94" s="12" t="s">
        <v>447</v>
      </c>
      <c r="I94" s="12">
        <v>5</v>
      </c>
      <c r="J94" s="12" t="s">
        <v>1684</v>
      </c>
      <c r="K94" s="12" t="s">
        <v>1347</v>
      </c>
      <c r="L94" s="23" t="s">
        <v>1342</v>
      </c>
      <c r="M94" s="13" t="s">
        <v>1464</v>
      </c>
      <c r="N94" s="13" t="s">
        <v>1342</v>
      </c>
      <c r="O94" s="12" t="s">
        <v>2447</v>
      </c>
      <c r="P94" s="12" t="s">
        <v>2526</v>
      </c>
      <c r="Q94" s="12" t="s">
        <v>1247</v>
      </c>
      <c r="R94" s="13" t="s">
        <v>2526</v>
      </c>
      <c r="S94" s="13" t="s">
        <v>1342</v>
      </c>
      <c r="T94" s="23" t="s">
        <v>1342</v>
      </c>
      <c r="U94" s="13" t="s">
        <v>1342</v>
      </c>
      <c r="V94" s="13" t="s">
        <v>1651</v>
      </c>
      <c r="W94" s="13" t="s">
        <v>1342</v>
      </c>
      <c r="X94" s="12" t="str">
        <f>VLOOKUP($D94,global_toc!$C:$K,7,FALSE)</f>
        <v>79AUG03XX</v>
      </c>
      <c r="Y94" s="12" t="str">
        <f>VLOOKUP($D94,global_toc!$C:$K,8,FALSE)</f>
        <v>11OCT17XA</v>
      </c>
      <c r="Z94" s="12">
        <f>VLOOKUP($D94,global_toc!$C:$K,9,FALSE)</f>
        <v>5029</v>
      </c>
      <c r="AA94" s="19" t="str">
        <f t="shared" si="3"/>
        <v>Parallax partial/contr  1 parsec</v>
      </c>
    </row>
    <row r="95" spans="1:27" x14ac:dyDescent="0.2">
      <c r="A95" s="12">
        <v>311</v>
      </c>
      <c r="B95" s="12">
        <v>2</v>
      </c>
      <c r="C95" s="12" t="str">
        <f t="shared" si="2"/>
        <v>Cal-PoleTide</v>
      </c>
      <c r="D95" s="14" t="s">
        <v>817</v>
      </c>
      <c r="E95" s="12">
        <v>2</v>
      </c>
      <c r="F95" s="12">
        <v>1</v>
      </c>
      <c r="G95" s="12">
        <v>1</v>
      </c>
      <c r="H95" s="12" t="s">
        <v>447</v>
      </c>
      <c r="I95" s="12">
        <v>5</v>
      </c>
      <c r="J95" s="12" t="s">
        <v>818</v>
      </c>
      <c r="K95" s="12" t="s">
        <v>1347</v>
      </c>
      <c r="L95" s="23" t="s">
        <v>1342</v>
      </c>
      <c r="M95" s="13" t="s">
        <v>1464</v>
      </c>
      <c r="N95" s="13" t="s">
        <v>1490</v>
      </c>
      <c r="O95" s="12" t="s">
        <v>2447</v>
      </c>
      <c r="P95" s="12" t="s">
        <v>2527</v>
      </c>
      <c r="Q95" s="12" t="s">
        <v>1247</v>
      </c>
      <c r="R95" s="13" t="s">
        <v>2528</v>
      </c>
      <c r="S95" s="13" t="s">
        <v>1342</v>
      </c>
      <c r="T95" s="23" t="s">
        <v>1342</v>
      </c>
      <c r="U95" s="13">
        <v>2</v>
      </c>
      <c r="V95" s="13" t="s">
        <v>1651</v>
      </c>
      <c r="W95" s="13" t="s">
        <v>1342</v>
      </c>
      <c r="X95" s="12" t="str">
        <f>VLOOKUP($D95,global_toc!$C:$K,7,FALSE)</f>
        <v>79AUG03XX</v>
      </c>
      <c r="Y95" s="12" t="str">
        <f>VLOOKUP($D95,global_toc!$C:$K,8,FALSE)</f>
        <v>11OCT17XA</v>
      </c>
      <c r="Z95" s="12">
        <f>VLOOKUP($D95,global_toc!$C:$K,9,FALSE)</f>
        <v>5029</v>
      </c>
      <c r="AA95" s="19" t="str">
        <f t="shared" si="3"/>
        <v>Pole tide contributions def.</v>
      </c>
    </row>
    <row r="96" spans="1:27" x14ac:dyDescent="0.2">
      <c r="A96" s="12">
        <v>312</v>
      </c>
      <c r="B96" s="12">
        <v>2</v>
      </c>
      <c r="C96" s="12" t="str">
        <f t="shared" si="2"/>
        <v>Cal-PoleTideOldRestore</v>
      </c>
      <c r="D96" s="14" t="s">
        <v>821</v>
      </c>
      <c r="E96" s="12">
        <v>2</v>
      </c>
      <c r="F96" s="12">
        <v>1</v>
      </c>
      <c r="G96" s="12">
        <v>1</v>
      </c>
      <c r="H96" s="12" t="s">
        <v>447</v>
      </c>
      <c r="I96" s="12">
        <v>5</v>
      </c>
      <c r="J96" s="12" t="s">
        <v>822</v>
      </c>
      <c r="K96" s="12" t="s">
        <v>1347</v>
      </c>
      <c r="L96" s="23" t="s">
        <v>1342</v>
      </c>
      <c r="M96" s="13" t="s">
        <v>1464</v>
      </c>
      <c r="N96" s="13" t="s">
        <v>1490</v>
      </c>
      <c r="O96" s="12" t="s">
        <v>2447</v>
      </c>
      <c r="P96" s="12" t="s">
        <v>2529</v>
      </c>
      <c r="Q96" s="12" t="s">
        <v>1247</v>
      </c>
      <c r="R96" s="13" t="s">
        <v>2529</v>
      </c>
      <c r="S96" s="13" t="s">
        <v>1342</v>
      </c>
      <c r="T96" s="23" t="s">
        <v>1342</v>
      </c>
      <c r="U96" s="13">
        <v>2</v>
      </c>
      <c r="V96" s="13" t="s">
        <v>1651</v>
      </c>
      <c r="W96" s="13" t="s">
        <v>1342</v>
      </c>
      <c r="X96" s="12" t="str">
        <f>VLOOKUP($D96,global_toc!$C:$K,7,FALSE)</f>
        <v>79AUG03XX</v>
      </c>
      <c r="Y96" s="12" t="str">
        <f>VLOOKUP($D96,global_toc!$C:$K,8,FALSE)</f>
        <v>11OCT17XA</v>
      </c>
      <c r="Z96" s="12">
        <f>VLOOKUP($D96,global_toc!$C:$K,9,FALSE)</f>
        <v>5029</v>
      </c>
      <c r="AA96" s="19" t="str">
        <f t="shared" si="3"/>
        <v>Old Pole Tide Restorer Contrib.</v>
      </c>
    </row>
    <row r="97" spans="1:27" x14ac:dyDescent="0.2">
      <c r="A97" s="12">
        <v>313</v>
      </c>
      <c r="B97" s="12">
        <v>2</v>
      </c>
      <c r="C97" s="12" t="str">
        <f t="shared" si="2"/>
        <v>Cal-TiltRemover</v>
      </c>
      <c r="D97" s="14" t="s">
        <v>924</v>
      </c>
      <c r="E97" s="12">
        <v>2</v>
      </c>
      <c r="F97" s="12">
        <v>1</v>
      </c>
      <c r="G97" s="12">
        <v>1</v>
      </c>
      <c r="H97" s="12" t="s">
        <v>447</v>
      </c>
      <c r="I97" s="12">
        <v>5</v>
      </c>
      <c r="J97" s="12" t="s">
        <v>925</v>
      </c>
      <c r="K97" s="12" t="s">
        <v>1347</v>
      </c>
      <c r="L97" s="23" t="s">
        <v>1342</v>
      </c>
      <c r="M97" s="13" t="s">
        <v>1464</v>
      </c>
      <c r="N97" s="13" t="s">
        <v>1490</v>
      </c>
      <c r="O97" s="12" t="s">
        <v>2447</v>
      </c>
      <c r="P97" s="12" t="s">
        <v>2536</v>
      </c>
      <c r="Q97" s="12" t="s">
        <v>1247</v>
      </c>
      <c r="R97" s="13" t="s">
        <v>2536</v>
      </c>
      <c r="S97" s="13" t="s">
        <v>1342</v>
      </c>
      <c r="T97" s="23" t="s">
        <v>1342</v>
      </c>
      <c r="U97" s="13">
        <v>2</v>
      </c>
      <c r="V97" s="13" t="s">
        <v>1651</v>
      </c>
      <c r="W97" s="13" t="s">
        <v>1342</v>
      </c>
      <c r="X97" s="12" t="str">
        <f>VLOOKUP($D97,global_toc!$C:$K,7,FALSE)</f>
        <v>79AUG03XX</v>
      </c>
      <c r="Y97" s="12" t="str">
        <f>VLOOKUP($D97,global_toc!$C:$K,8,FALSE)</f>
        <v>11OCT17XA</v>
      </c>
      <c r="Z97" s="12">
        <f>VLOOKUP($D97,global_toc!$C:$K,9,FALSE)</f>
        <v>5029</v>
      </c>
      <c r="AA97" s="19" t="str">
        <f t="shared" si="3"/>
        <v>Axis Tilt Contribution Remover</v>
      </c>
    </row>
    <row r="98" spans="1:27" x14ac:dyDescent="0.2">
      <c r="A98" s="12">
        <v>314</v>
      </c>
      <c r="B98" s="12">
        <v>2</v>
      </c>
      <c r="C98" s="12" t="str">
        <f t="shared" si="2"/>
        <v>Cal-UnPhase</v>
      </c>
      <c r="D98" s="14" t="s">
        <v>886</v>
      </c>
      <c r="E98" s="12">
        <v>2</v>
      </c>
      <c r="F98" s="12">
        <v>2</v>
      </c>
      <c r="G98" s="12">
        <v>1</v>
      </c>
      <c r="H98" s="12" t="s">
        <v>447</v>
      </c>
      <c r="I98" s="12">
        <v>3</v>
      </c>
      <c r="J98" s="12" t="s">
        <v>887</v>
      </c>
      <c r="K98" s="12" t="s">
        <v>1347</v>
      </c>
      <c r="L98" s="23" t="s">
        <v>1342</v>
      </c>
      <c r="M98" s="13" t="s">
        <v>1464</v>
      </c>
      <c r="N98" s="13" t="s">
        <v>1490</v>
      </c>
      <c r="O98" s="12" t="s">
        <v>2447</v>
      </c>
      <c r="P98" s="12" t="s">
        <v>2566</v>
      </c>
      <c r="Q98" s="12" t="s">
        <v>1247</v>
      </c>
      <c r="R98" s="13" t="s">
        <v>2537</v>
      </c>
      <c r="S98" s="13" t="s">
        <v>1342</v>
      </c>
      <c r="T98" s="23" t="s">
        <v>1342</v>
      </c>
      <c r="U98" s="13">
        <v>2</v>
      </c>
      <c r="V98" s="13" t="s">
        <v>1651</v>
      </c>
      <c r="W98" s="13" t="s">
        <v>1342</v>
      </c>
      <c r="X98" s="12" t="str">
        <f>VLOOKUP($D98,global_toc!$C:$K,7,FALSE)</f>
        <v>83MAY11X_</v>
      </c>
      <c r="Y98" s="12" t="str">
        <f>VLOOKUP($D98,global_toc!$C:$K,8,FALSE)</f>
        <v>11OCT17XA</v>
      </c>
      <c r="Z98" s="12">
        <f>VLOOKUP($D98,global_toc!$C:$K,9,FALSE)</f>
        <v>4173</v>
      </c>
      <c r="AA98" s="19" t="str">
        <f t="shared" si="3"/>
        <v>UnPhaseCal effect - group&amp;rate</v>
      </c>
    </row>
    <row r="99" spans="1:27" x14ac:dyDescent="0.2">
      <c r="A99" s="12">
        <v>316</v>
      </c>
      <c r="B99" s="12">
        <v>2</v>
      </c>
      <c r="C99" s="12" t="str">
        <f t="shared" si="2"/>
        <v>Cal-Xwobble</v>
      </c>
      <c r="D99" s="14" t="s">
        <v>847</v>
      </c>
      <c r="E99" s="12">
        <v>2</v>
      </c>
      <c r="F99" s="12">
        <v>1</v>
      </c>
      <c r="G99" s="12">
        <v>1</v>
      </c>
      <c r="H99" s="12" t="s">
        <v>447</v>
      </c>
      <c r="I99" s="12">
        <v>5</v>
      </c>
      <c r="J99" s="12" t="s">
        <v>848</v>
      </c>
      <c r="K99" s="12" t="s">
        <v>1347</v>
      </c>
      <c r="L99" s="23" t="s">
        <v>1342</v>
      </c>
      <c r="M99" s="13" t="s">
        <v>1464</v>
      </c>
      <c r="N99" s="13" t="s">
        <v>1490</v>
      </c>
      <c r="O99" s="12" t="s">
        <v>2447</v>
      </c>
      <c r="P99" s="12" t="s">
        <v>2538</v>
      </c>
      <c r="Q99" s="12" t="s">
        <v>1247</v>
      </c>
      <c r="R99" s="13" t="s">
        <v>2539</v>
      </c>
      <c r="S99" s="13" t="s">
        <v>1342</v>
      </c>
      <c r="T99" s="23" t="s">
        <v>1342</v>
      </c>
      <c r="U99" s="13">
        <v>2</v>
      </c>
      <c r="V99" s="13" t="s">
        <v>1651</v>
      </c>
      <c r="W99" s="13" t="s">
        <v>1342</v>
      </c>
      <c r="X99" s="12" t="str">
        <f>VLOOKUP($D99,global_toc!$C:$K,7,FALSE)</f>
        <v>79AUG03XX</v>
      </c>
      <c r="Y99" s="12" t="str">
        <f>VLOOKUP($D99,global_toc!$C:$K,8,FALSE)</f>
        <v>11OCT17XA</v>
      </c>
      <c r="Z99" s="12">
        <f>VLOOKUP($D99,global_toc!$C:$K,9,FALSE)</f>
        <v>5029</v>
      </c>
      <c r="AA99" s="19" t="str">
        <f t="shared" si="3"/>
        <v>X Wobble contribution definition</v>
      </c>
    </row>
    <row r="100" spans="1:27" x14ac:dyDescent="0.2">
      <c r="A100" s="12">
        <v>317</v>
      </c>
      <c r="B100" s="12">
        <v>2</v>
      </c>
      <c r="C100" s="12" t="str">
        <f t="shared" si="2"/>
        <v>Cal-Ywobble</v>
      </c>
      <c r="D100" s="14" t="s">
        <v>849</v>
      </c>
      <c r="E100" s="12">
        <v>2</v>
      </c>
      <c r="F100" s="12">
        <v>1</v>
      </c>
      <c r="G100" s="12">
        <v>1</v>
      </c>
      <c r="H100" s="12" t="s">
        <v>447</v>
      </c>
      <c r="I100" s="12">
        <v>5</v>
      </c>
      <c r="J100" s="12" t="s">
        <v>850</v>
      </c>
      <c r="K100" s="12" t="s">
        <v>1347</v>
      </c>
      <c r="L100" s="23" t="s">
        <v>1342</v>
      </c>
      <c r="M100" s="13" t="s">
        <v>1464</v>
      </c>
      <c r="N100" s="13" t="s">
        <v>1490</v>
      </c>
      <c r="O100" s="12" t="s">
        <v>2447</v>
      </c>
      <c r="P100" s="12" t="s">
        <v>2538</v>
      </c>
      <c r="Q100" s="12" t="s">
        <v>1247</v>
      </c>
      <c r="R100" s="13" t="s">
        <v>2540</v>
      </c>
      <c r="S100" s="13" t="s">
        <v>1342</v>
      </c>
      <c r="T100" s="23" t="s">
        <v>1342</v>
      </c>
      <c r="U100" s="13">
        <v>2</v>
      </c>
      <c r="V100" s="13" t="s">
        <v>1651</v>
      </c>
      <c r="W100" s="13" t="s">
        <v>1342</v>
      </c>
      <c r="X100" s="12" t="str">
        <f>VLOOKUP($D100,global_toc!$C:$K,7,FALSE)</f>
        <v>79AUG03XX</v>
      </c>
      <c r="Y100" s="12" t="str">
        <f>VLOOKUP($D100,global_toc!$C:$K,8,FALSE)</f>
        <v>11OCT17XA</v>
      </c>
      <c r="Z100" s="12">
        <f>VLOOKUP($D100,global_toc!$C:$K,9,FALSE)</f>
        <v>5029</v>
      </c>
      <c r="AA100" s="19" t="str">
        <f t="shared" si="3"/>
        <v>Y Wobble contribution definition</v>
      </c>
    </row>
    <row r="101" spans="1:27" x14ac:dyDescent="0.2">
      <c r="A101" s="12">
        <v>304</v>
      </c>
      <c r="B101" s="12">
        <v>2</v>
      </c>
      <c r="C101" s="12" t="str">
        <f t="shared" si="2"/>
        <v>Cal-SlantPathIonoGroup</v>
      </c>
      <c r="D101" s="14" t="s">
        <v>892</v>
      </c>
      <c r="E101" s="12">
        <v>2</v>
      </c>
      <c r="F101" s="12">
        <v>1</v>
      </c>
      <c r="G101" s="12">
        <v>1</v>
      </c>
      <c r="H101" s="12" t="s">
        <v>447</v>
      </c>
      <c r="I101" s="12">
        <v>4</v>
      </c>
      <c r="J101" s="12" t="s">
        <v>893</v>
      </c>
      <c r="K101" s="12" t="s">
        <v>1347</v>
      </c>
      <c r="L101" s="23" t="s">
        <v>1342</v>
      </c>
      <c r="M101" s="13" t="s">
        <v>1464</v>
      </c>
      <c r="N101" s="13" t="s">
        <v>1490</v>
      </c>
      <c r="O101" s="12" t="s">
        <v>2138</v>
      </c>
      <c r="P101" s="12" t="s">
        <v>2530</v>
      </c>
      <c r="Q101" s="12" t="s">
        <v>1342</v>
      </c>
      <c r="R101" s="13" t="s">
        <v>2611</v>
      </c>
      <c r="S101" s="13" t="s">
        <v>1342</v>
      </c>
      <c r="T101" s="23" t="s">
        <v>1342</v>
      </c>
      <c r="U101" s="13">
        <v>2</v>
      </c>
      <c r="V101" s="13" t="s">
        <v>1651</v>
      </c>
      <c r="W101" s="13" t="s">
        <v>1342</v>
      </c>
      <c r="X101" s="12" t="str">
        <f>VLOOKUP($D101,global_toc!$C:$K,7,FALSE)</f>
        <v>79AUG03XX</v>
      </c>
      <c r="Y101" s="12" t="str">
        <f>VLOOKUP($D101,global_toc!$C:$K,8,FALSE)</f>
        <v>11OCT17XA</v>
      </c>
      <c r="Z101" s="12">
        <f>VLOOKUP($D101,global_toc!$C:$K,9,FALSE)</f>
        <v>5028</v>
      </c>
      <c r="AA101" s="19" t="str">
        <f t="shared" si="3"/>
        <v>Ion correction. Add to theo. sec</v>
      </c>
    </row>
    <row r="102" spans="1:27" x14ac:dyDescent="0.2">
      <c r="A102" s="12">
        <v>305</v>
      </c>
      <c r="B102" s="12" t="s">
        <v>1655</v>
      </c>
      <c r="C102" s="12" t="str">
        <f t="shared" si="2"/>
        <v>Cal-SlantPathIonoGroupDataFlag</v>
      </c>
      <c r="D102" s="13" t="s">
        <v>2487</v>
      </c>
      <c r="E102" s="12">
        <v>1</v>
      </c>
      <c r="F102" s="12">
        <v>1</v>
      </c>
      <c r="G102" s="12">
        <v>1</v>
      </c>
      <c r="H102" s="12" t="s">
        <v>544</v>
      </c>
      <c r="I102" s="12" t="s">
        <v>1655</v>
      </c>
      <c r="J102" s="12" t="s">
        <v>1342</v>
      </c>
      <c r="K102" s="12" t="s">
        <v>1347</v>
      </c>
      <c r="L102" s="23" t="s">
        <v>2092</v>
      </c>
      <c r="M102" s="13" t="s">
        <v>1464</v>
      </c>
      <c r="N102" s="13" t="s">
        <v>1477</v>
      </c>
      <c r="O102" s="12" t="s">
        <v>2138</v>
      </c>
      <c r="P102" s="12" t="s">
        <v>2530</v>
      </c>
      <c r="Q102" s="12" t="s">
        <v>1342</v>
      </c>
      <c r="R102" s="13" t="s">
        <v>2612</v>
      </c>
      <c r="S102" s="13" t="s">
        <v>1342</v>
      </c>
      <c r="T102" s="23" t="s">
        <v>2094</v>
      </c>
      <c r="U102" s="13" t="s">
        <v>1342</v>
      </c>
      <c r="V102" s="13" t="s">
        <v>1342</v>
      </c>
      <c r="W102" s="13" t="s">
        <v>1342</v>
      </c>
      <c r="X102" s="12" t="e">
        <f>VLOOKUP($D102,global_toc!$C:$K,7,FALSE)</f>
        <v>#N/A</v>
      </c>
      <c r="Y102" s="12" t="e">
        <f>VLOOKUP($D102,global_toc!$C:$K,8,FALSE)</f>
        <v>#N/A</v>
      </c>
      <c r="Z102" s="12" t="e">
        <f>VLOOKUP($D102,global_toc!$C:$K,9,FALSE)</f>
        <v>#N/A</v>
      </c>
      <c r="AA102" s="19" t="str">
        <f t="shared" si="3"/>
        <v>0=OK, -1=Missing,  -2=bad</v>
      </c>
    </row>
    <row r="103" spans="1:27" x14ac:dyDescent="0.2">
      <c r="A103" s="12">
        <v>306</v>
      </c>
      <c r="B103" s="12">
        <v>2</v>
      </c>
      <c r="C103" s="12" t="str">
        <f t="shared" ref="C103" si="6">IF(R103="-",D103,R103)</f>
        <v>Cal-SlantPathIonoGroupSigma</v>
      </c>
      <c r="D103" s="14" t="s">
        <v>1403</v>
      </c>
      <c r="E103" s="12">
        <v>2</v>
      </c>
      <c r="F103" s="12">
        <v>1</v>
      </c>
      <c r="G103" s="12">
        <v>1</v>
      </c>
      <c r="H103" s="12" t="s">
        <v>447</v>
      </c>
      <c r="I103" s="12">
        <v>4</v>
      </c>
      <c r="J103" s="12" t="s">
        <v>895</v>
      </c>
      <c r="K103" s="12" t="s">
        <v>1347</v>
      </c>
      <c r="L103" s="23" t="s">
        <v>1342</v>
      </c>
      <c r="M103" s="13" t="s">
        <v>1464</v>
      </c>
      <c r="N103" s="13" t="s">
        <v>1490</v>
      </c>
      <c r="O103" s="12" t="s">
        <v>2138</v>
      </c>
      <c r="P103" s="12" t="s">
        <v>2530</v>
      </c>
      <c r="Q103" s="12" t="s">
        <v>1342</v>
      </c>
      <c r="R103" s="13" t="s">
        <v>2613</v>
      </c>
      <c r="S103" s="13" t="s">
        <v>1342</v>
      </c>
      <c r="T103" s="23" t="s">
        <v>1342</v>
      </c>
      <c r="U103" s="13">
        <v>2</v>
      </c>
      <c r="V103" s="13" t="s">
        <v>1651</v>
      </c>
      <c r="W103" s="13" t="s">
        <v>1342</v>
      </c>
      <c r="X103" s="12" t="e">
        <f>VLOOKUP($D103,global_toc!$C:$K,7,FALSE)</f>
        <v>#N/A</v>
      </c>
      <c r="Y103" s="12" t="e">
        <f>VLOOKUP($D103,global_toc!$C:$K,8,FALSE)</f>
        <v>#N/A</v>
      </c>
      <c r="Z103" s="12" t="e">
        <f>VLOOKUP($D103,global_toc!$C:$K,9,FALSE)</f>
        <v>#N/A</v>
      </c>
      <c r="AA103" s="19" t="str">
        <f t="shared" ref="AA103" si="7">IF(T103="-",J103,T103)</f>
        <v>Ion correction to sigma. sec</v>
      </c>
    </row>
    <row r="104" spans="1:27" x14ac:dyDescent="0.2">
      <c r="A104" s="12">
        <v>306</v>
      </c>
      <c r="B104" s="12">
        <v>2</v>
      </c>
      <c r="C104" s="12" t="str">
        <f t="shared" si="2"/>
        <v>Cal-SlantPathIonoGroupSigma</v>
      </c>
      <c r="D104" s="14" t="s">
        <v>894</v>
      </c>
      <c r="E104" s="12">
        <v>2</v>
      </c>
      <c r="F104" s="12">
        <v>1</v>
      </c>
      <c r="G104" s="12">
        <v>1</v>
      </c>
      <c r="H104" s="12" t="s">
        <v>447</v>
      </c>
      <c r="I104" s="12">
        <v>4</v>
      </c>
      <c r="J104" s="12" t="s">
        <v>895</v>
      </c>
      <c r="K104" s="12" t="s">
        <v>1347</v>
      </c>
      <c r="L104" s="23" t="s">
        <v>1342</v>
      </c>
      <c r="M104" s="13" t="s">
        <v>1464</v>
      </c>
      <c r="N104" s="13" t="s">
        <v>1490</v>
      </c>
      <c r="O104" s="12" t="s">
        <v>2138</v>
      </c>
      <c r="P104" s="12" t="s">
        <v>2530</v>
      </c>
      <c r="Q104" s="12" t="s">
        <v>1342</v>
      </c>
      <c r="R104" s="13" t="s">
        <v>2613</v>
      </c>
      <c r="S104" s="13" t="s">
        <v>1342</v>
      </c>
      <c r="T104" s="23" t="s">
        <v>1342</v>
      </c>
      <c r="U104" s="13">
        <v>2</v>
      </c>
      <c r="V104" s="13" t="s">
        <v>1651</v>
      </c>
      <c r="W104" s="13" t="s">
        <v>1342</v>
      </c>
      <c r="X104" s="12" t="str">
        <f>VLOOKUP($D104,global_toc!$C:$K,7,FALSE)</f>
        <v>79AUG03XX</v>
      </c>
      <c r="Y104" s="12" t="str">
        <f>VLOOKUP($D104,global_toc!$C:$K,8,FALSE)</f>
        <v>11OCT17XA</v>
      </c>
      <c r="Z104" s="12">
        <f>VLOOKUP($D104,global_toc!$C:$K,9,FALSE)</f>
        <v>5028</v>
      </c>
      <c r="AA104" s="19" t="str">
        <f t="shared" si="3"/>
        <v>Ion correction to sigma. sec</v>
      </c>
    </row>
    <row r="105" spans="1:27" x14ac:dyDescent="0.2">
      <c r="A105" s="12">
        <v>307</v>
      </c>
      <c r="B105" s="12">
        <v>2</v>
      </c>
      <c r="C105" s="12" t="str">
        <f t="shared" si="2"/>
        <v>Cal-SlantPathIonoPhase</v>
      </c>
      <c r="D105" s="14" t="s">
        <v>1224</v>
      </c>
      <c r="E105" s="12">
        <v>1</v>
      </c>
      <c r="F105" s="12">
        <v>1</v>
      </c>
      <c r="G105" s="12">
        <v>1</v>
      </c>
      <c r="H105" s="12" t="s">
        <v>447</v>
      </c>
      <c r="I105" s="12">
        <v>4</v>
      </c>
      <c r="J105" s="12" t="s">
        <v>1484</v>
      </c>
      <c r="K105" s="12" t="s">
        <v>1347</v>
      </c>
      <c r="L105" s="23" t="s">
        <v>1342</v>
      </c>
      <c r="M105" s="13" t="s">
        <v>1464</v>
      </c>
      <c r="N105" s="13" t="s">
        <v>1490</v>
      </c>
      <c r="O105" s="12" t="s">
        <v>2138</v>
      </c>
      <c r="P105" s="12" t="s">
        <v>2531</v>
      </c>
      <c r="Q105" s="12" t="s">
        <v>1342</v>
      </c>
      <c r="R105" s="13" t="s">
        <v>2614</v>
      </c>
      <c r="S105" s="13" t="s">
        <v>1342</v>
      </c>
      <c r="T105" s="23" t="s">
        <v>1342</v>
      </c>
      <c r="U105" s="13" t="s">
        <v>1342</v>
      </c>
      <c r="V105" s="13" t="s">
        <v>1651</v>
      </c>
      <c r="W105" s="13" t="s">
        <v>1342</v>
      </c>
      <c r="X105" s="12" t="str">
        <f>VLOOKUP($D105,global_toc!$C:$K,7,FALSE)</f>
        <v>80OCT17X_</v>
      </c>
      <c r="Y105" s="12" t="str">
        <f>VLOOKUP($D105,global_toc!$C:$K,8,FALSE)</f>
        <v>10FEB11XE</v>
      </c>
      <c r="Z105" s="12">
        <f>VLOOKUP($D105,global_toc!$C:$K,9,FALSE)</f>
        <v>419</v>
      </c>
      <c r="AA105" s="19" t="str">
        <f t="shared" si="3"/>
        <v>Phase Corr Iono</v>
      </c>
    </row>
    <row r="106" spans="1:27" x14ac:dyDescent="0.2">
      <c r="A106" s="12">
        <v>308</v>
      </c>
      <c r="B106" s="12">
        <v>2</v>
      </c>
      <c r="C106" s="12" t="str">
        <f t="shared" si="2"/>
        <v>Cal-SlantPathIonoPhaseSigma</v>
      </c>
      <c r="D106" s="14" t="s">
        <v>36</v>
      </c>
      <c r="E106" s="12">
        <v>1</v>
      </c>
      <c r="F106" s="12">
        <v>1</v>
      </c>
      <c r="G106" s="12">
        <v>1</v>
      </c>
      <c r="H106" s="12" t="s">
        <v>447</v>
      </c>
      <c r="I106" s="12">
        <v>4</v>
      </c>
      <c r="J106" s="12" t="s">
        <v>1485</v>
      </c>
      <c r="K106" s="12" t="s">
        <v>1347</v>
      </c>
      <c r="L106" s="23" t="s">
        <v>1342</v>
      </c>
      <c r="M106" s="13" t="s">
        <v>1464</v>
      </c>
      <c r="N106" s="13" t="s">
        <v>1490</v>
      </c>
      <c r="O106" s="12" t="s">
        <v>2138</v>
      </c>
      <c r="P106" s="12" t="s">
        <v>2531</v>
      </c>
      <c r="Q106" s="12" t="s">
        <v>1342</v>
      </c>
      <c r="R106" s="13" t="s">
        <v>2635</v>
      </c>
      <c r="S106" s="13" t="s">
        <v>1342</v>
      </c>
      <c r="T106" s="23" t="s">
        <v>1342</v>
      </c>
      <c r="U106" s="13" t="s">
        <v>1342</v>
      </c>
      <c r="V106" s="13" t="s">
        <v>1651</v>
      </c>
      <c r="W106" s="13" t="s">
        <v>1342</v>
      </c>
      <c r="X106" s="12" t="str">
        <f>VLOOKUP($D106,global_toc!$C:$K,7,FALSE)</f>
        <v>80OCT17X_</v>
      </c>
      <c r="Y106" s="12" t="str">
        <f>VLOOKUP($D106,global_toc!$C:$K,8,FALSE)</f>
        <v>10FEB11XE</v>
      </c>
      <c r="Z106" s="12">
        <f>VLOOKUP($D106,global_toc!$C:$K,9,FALSE)</f>
        <v>419</v>
      </c>
      <c r="AA106" s="19" t="str">
        <f t="shared" si="3"/>
        <v>Phase Corr RMS</v>
      </c>
    </row>
    <row r="107" spans="1:27" ht="12" customHeight="1" x14ac:dyDescent="0.2">
      <c r="A107" s="12">
        <v>338</v>
      </c>
      <c r="B107" s="12" t="s">
        <v>1655</v>
      </c>
      <c r="C107" s="12" t="str">
        <f t="shared" si="2"/>
        <v>FreqGroupIono</v>
      </c>
      <c r="D107" s="12" t="s">
        <v>2491</v>
      </c>
      <c r="E107" s="12">
        <v>1</v>
      </c>
      <c r="F107" s="12">
        <v>1</v>
      </c>
      <c r="G107" s="12">
        <v>1</v>
      </c>
      <c r="H107" s="12" t="s">
        <v>447</v>
      </c>
      <c r="I107" s="12" t="s">
        <v>1655</v>
      </c>
      <c r="J107" s="12" t="s">
        <v>1342</v>
      </c>
      <c r="K107" s="12" t="s">
        <v>1347</v>
      </c>
      <c r="L107" s="23" t="s">
        <v>1342</v>
      </c>
      <c r="M107" s="13" t="s">
        <v>1655</v>
      </c>
      <c r="N107" s="13" t="s">
        <v>1477</v>
      </c>
      <c r="O107" s="12" t="s">
        <v>2138</v>
      </c>
      <c r="P107" s="12" t="s">
        <v>2184</v>
      </c>
      <c r="Q107" s="12" t="s">
        <v>1342</v>
      </c>
      <c r="R107" s="13" t="s">
        <v>2494</v>
      </c>
      <c r="S107" s="13" t="s">
        <v>1342</v>
      </c>
      <c r="T107" s="23" t="s">
        <v>1639</v>
      </c>
      <c r="U107" s="13" t="s">
        <v>1342</v>
      </c>
      <c r="V107" s="13" t="s">
        <v>1631</v>
      </c>
      <c r="W107" s="13" t="s">
        <v>1342</v>
      </c>
      <c r="X107" s="12" t="e">
        <f>VLOOKUP($D107,global_toc!$C:$K,7,FALSE)</f>
        <v>#N/A</v>
      </c>
      <c r="Y107" s="12" t="e">
        <f>VLOOKUP($D107,global_toc!$C:$K,8,FALSE)</f>
        <v>#N/A</v>
      </c>
      <c r="Z107" s="12" t="e">
        <f>VLOOKUP($D107,global_toc!$C:$K,9,FALSE)</f>
        <v>#N/A</v>
      </c>
      <c r="AA107" s="19" t="str">
        <f t="shared" si="3"/>
        <v>Effective Group Delay Ionospheric Frequency</v>
      </c>
    </row>
    <row r="108" spans="1:27" ht="25.5" x14ac:dyDescent="0.2">
      <c r="A108" s="12">
        <v>339</v>
      </c>
      <c r="B108" s="12" t="s">
        <v>1655</v>
      </c>
      <c r="C108" s="12" t="str">
        <f t="shared" si="2"/>
        <v>FreqPhaseIono</v>
      </c>
      <c r="D108" s="12" t="s">
        <v>2492</v>
      </c>
      <c r="E108" s="12">
        <v>1</v>
      </c>
      <c r="F108" s="12">
        <v>1</v>
      </c>
      <c r="G108" s="12">
        <v>1</v>
      </c>
      <c r="H108" s="12" t="s">
        <v>447</v>
      </c>
      <c r="I108" s="12" t="s">
        <v>1655</v>
      </c>
      <c r="J108" s="12" t="s">
        <v>1342</v>
      </c>
      <c r="K108" s="12" t="s">
        <v>1347</v>
      </c>
      <c r="L108" s="23" t="s">
        <v>1342</v>
      </c>
      <c r="M108" s="13" t="s">
        <v>1655</v>
      </c>
      <c r="N108" s="13" t="s">
        <v>1477</v>
      </c>
      <c r="O108" s="12" t="s">
        <v>2138</v>
      </c>
      <c r="P108" s="12" t="s">
        <v>2184</v>
      </c>
      <c r="Q108" s="12" t="s">
        <v>1342</v>
      </c>
      <c r="R108" s="13" t="s">
        <v>2495</v>
      </c>
      <c r="S108" s="13" t="s">
        <v>1342</v>
      </c>
      <c r="T108" s="23" t="s">
        <v>1640</v>
      </c>
      <c r="U108" s="13" t="s">
        <v>1342</v>
      </c>
      <c r="V108" s="13" t="s">
        <v>1631</v>
      </c>
      <c r="W108" s="13" t="s">
        <v>1342</v>
      </c>
      <c r="X108" s="12" t="e">
        <f>VLOOKUP($D108,global_toc!$C:$K,7,FALSE)</f>
        <v>#N/A</v>
      </c>
      <c r="Y108" s="12" t="e">
        <f>VLOOKUP($D108,global_toc!$C:$K,8,FALSE)</f>
        <v>#N/A</v>
      </c>
      <c r="Z108" s="12" t="e">
        <f>VLOOKUP($D108,global_toc!$C:$K,9,FALSE)</f>
        <v>#N/A</v>
      </c>
      <c r="AA108" s="19" t="str">
        <f t="shared" si="3"/>
        <v>Effective Phase Delay Ionospheric Frequency</v>
      </c>
    </row>
    <row r="109" spans="1:27" ht="25.5" x14ac:dyDescent="0.2">
      <c r="A109" s="12">
        <v>341</v>
      </c>
      <c r="B109" s="12" t="s">
        <v>1655</v>
      </c>
      <c r="C109" s="12" t="str">
        <f t="shared" si="2"/>
        <v>FreqRateIono</v>
      </c>
      <c r="D109" s="12" t="s">
        <v>2493</v>
      </c>
      <c r="E109" s="12">
        <v>1</v>
      </c>
      <c r="F109" s="12">
        <v>1</v>
      </c>
      <c r="G109" s="12">
        <v>1</v>
      </c>
      <c r="H109" s="12" t="s">
        <v>447</v>
      </c>
      <c r="I109" s="12" t="s">
        <v>1655</v>
      </c>
      <c r="J109" s="12" t="s">
        <v>1342</v>
      </c>
      <c r="K109" s="12" t="s">
        <v>1347</v>
      </c>
      <c r="L109" s="23" t="s">
        <v>1342</v>
      </c>
      <c r="M109" s="13" t="s">
        <v>1655</v>
      </c>
      <c r="N109" s="13" t="s">
        <v>1477</v>
      </c>
      <c r="O109" s="12" t="s">
        <v>2138</v>
      </c>
      <c r="P109" s="12" t="s">
        <v>2184</v>
      </c>
      <c r="Q109" s="12" t="s">
        <v>1342</v>
      </c>
      <c r="R109" s="13" t="s">
        <v>2496</v>
      </c>
      <c r="S109" s="13" t="s">
        <v>1342</v>
      </c>
      <c r="T109" s="23" t="s">
        <v>2166</v>
      </c>
      <c r="U109" s="13" t="s">
        <v>1342</v>
      </c>
      <c r="V109" s="13" t="s">
        <v>1631</v>
      </c>
      <c r="W109" s="13" t="s">
        <v>1342</v>
      </c>
      <c r="X109" s="12" t="e">
        <f>VLOOKUP($D109,global_toc!$C:$K,7,FALSE)</f>
        <v>#N/A</v>
      </c>
      <c r="Y109" s="12" t="e">
        <f>VLOOKUP($D109,global_toc!$C:$K,8,FALSE)</f>
        <v>#N/A</v>
      </c>
      <c r="Z109" s="12" t="e">
        <f>VLOOKUP($D109,global_toc!$C:$K,9,FALSE)</f>
        <v>#N/A</v>
      </c>
      <c r="AA109" s="19" t="str">
        <f t="shared" si="3"/>
        <v>Effective Group Rate Ionospheric Frequency</v>
      </c>
    </row>
    <row r="110" spans="1:27" ht="25.5" x14ac:dyDescent="0.2">
      <c r="A110" s="12">
        <v>342</v>
      </c>
      <c r="B110" s="12">
        <v>2</v>
      </c>
      <c r="C110" s="12" t="str">
        <f t="shared" si="2"/>
        <v>FreqGroupIono</v>
      </c>
      <c r="D110" s="14" t="s">
        <v>888</v>
      </c>
      <c r="E110" s="12">
        <v>1</v>
      </c>
      <c r="F110" s="12">
        <v>1</v>
      </c>
      <c r="G110" s="12">
        <v>1</v>
      </c>
      <c r="H110" s="12" t="s">
        <v>447</v>
      </c>
      <c r="I110" s="12">
        <v>4</v>
      </c>
      <c r="J110" s="12" t="s">
        <v>889</v>
      </c>
      <c r="K110" s="12" t="s">
        <v>1347</v>
      </c>
      <c r="L110" s="23" t="s">
        <v>1342</v>
      </c>
      <c r="M110" s="13" t="s">
        <v>1464</v>
      </c>
      <c r="N110" s="13" t="s">
        <v>1477</v>
      </c>
      <c r="O110" s="12" t="s">
        <v>2138</v>
      </c>
      <c r="P110" s="12" t="s">
        <v>2185</v>
      </c>
      <c r="Q110" s="12" t="s">
        <v>1342</v>
      </c>
      <c r="R110" s="13" t="s">
        <v>2494</v>
      </c>
      <c r="S110" s="13" t="s">
        <v>1342</v>
      </c>
      <c r="T110" s="23" t="s">
        <v>1639</v>
      </c>
      <c r="U110" s="13" t="s">
        <v>1342</v>
      </c>
      <c r="V110" s="13" t="s">
        <v>1632</v>
      </c>
      <c r="W110" s="13" t="s">
        <v>1342</v>
      </c>
      <c r="X110" s="12" t="str">
        <f>VLOOKUP($D110,global_toc!$C:$K,7,FALSE)</f>
        <v>79AUG03XX</v>
      </c>
      <c r="Y110" s="12" t="str">
        <f>VLOOKUP($D110,global_toc!$C:$K,8,FALSE)</f>
        <v>11OCT17XA</v>
      </c>
      <c r="Z110" s="12">
        <f>VLOOKUP($D110,global_toc!$C:$K,9,FALSE)</f>
        <v>2205</v>
      </c>
      <c r="AA110" s="19" t="str">
        <f t="shared" si="3"/>
        <v>Effective Group Delay Ionospheric Frequency</v>
      </c>
    </row>
    <row r="111" spans="1:27" ht="25.5" x14ac:dyDescent="0.2">
      <c r="A111" s="12">
        <v>343</v>
      </c>
      <c r="B111" s="12">
        <v>2</v>
      </c>
      <c r="C111" s="12" t="str">
        <f t="shared" si="2"/>
        <v>FreqPhaseIono</v>
      </c>
      <c r="D111" s="14" t="s">
        <v>890</v>
      </c>
      <c r="E111" s="12">
        <v>1</v>
      </c>
      <c r="F111" s="12">
        <v>1</v>
      </c>
      <c r="G111" s="12">
        <v>1</v>
      </c>
      <c r="H111" s="12" t="s">
        <v>447</v>
      </c>
      <c r="I111" s="12">
        <v>4</v>
      </c>
      <c r="J111" s="12" t="s">
        <v>891</v>
      </c>
      <c r="K111" s="12" t="s">
        <v>1347</v>
      </c>
      <c r="L111" s="23" t="s">
        <v>1342</v>
      </c>
      <c r="M111" s="13" t="s">
        <v>1464</v>
      </c>
      <c r="N111" s="13" t="s">
        <v>1477</v>
      </c>
      <c r="O111" s="12" t="s">
        <v>2138</v>
      </c>
      <c r="P111" s="12" t="s">
        <v>2185</v>
      </c>
      <c r="Q111" s="12" t="s">
        <v>1342</v>
      </c>
      <c r="R111" s="13" t="s">
        <v>2495</v>
      </c>
      <c r="S111" s="13" t="s">
        <v>1342</v>
      </c>
      <c r="T111" s="23" t="s">
        <v>1640</v>
      </c>
      <c r="U111" s="13" t="s">
        <v>1342</v>
      </c>
      <c r="V111" s="13" t="s">
        <v>1632</v>
      </c>
      <c r="W111" s="13" t="s">
        <v>1342</v>
      </c>
      <c r="X111" s="12" t="str">
        <f>VLOOKUP($D111,global_toc!$C:$K,7,FALSE)</f>
        <v>79AUG03XX</v>
      </c>
      <c r="Y111" s="12" t="str">
        <f>VLOOKUP($D111,global_toc!$C:$K,8,FALSE)</f>
        <v>11OCT17XA</v>
      </c>
      <c r="Z111" s="12">
        <f>VLOOKUP($D111,global_toc!$C:$K,9,FALSE)</f>
        <v>2205</v>
      </c>
      <c r="AA111" s="19" t="str">
        <f t="shared" si="3"/>
        <v>Effective Phase Delay Ionospheric Frequency</v>
      </c>
    </row>
    <row r="112" spans="1:27" ht="25.5" x14ac:dyDescent="0.2">
      <c r="A112" s="12">
        <v>345</v>
      </c>
      <c r="B112" s="12" t="s">
        <v>1655</v>
      </c>
      <c r="C112" s="12" t="str">
        <f t="shared" si="2"/>
        <v>FreqRateIono</v>
      </c>
      <c r="D112" s="12" t="s">
        <v>2497</v>
      </c>
      <c r="E112" s="12">
        <v>1</v>
      </c>
      <c r="F112" s="12">
        <v>1</v>
      </c>
      <c r="G112" s="12">
        <v>1</v>
      </c>
      <c r="H112" s="12" t="s">
        <v>447</v>
      </c>
      <c r="I112" s="12" t="s">
        <v>1655</v>
      </c>
      <c r="J112" s="12" t="s">
        <v>1342</v>
      </c>
      <c r="K112" s="12" t="s">
        <v>1347</v>
      </c>
      <c r="L112" s="23" t="s">
        <v>1342</v>
      </c>
      <c r="M112" s="13" t="s">
        <v>1655</v>
      </c>
      <c r="N112" s="13" t="s">
        <v>1477</v>
      </c>
      <c r="O112" s="12" t="s">
        <v>2138</v>
      </c>
      <c r="P112" s="12" t="s">
        <v>2185</v>
      </c>
      <c r="Q112" s="12" t="s">
        <v>1342</v>
      </c>
      <c r="R112" s="13" t="s">
        <v>2496</v>
      </c>
      <c r="S112" s="13" t="s">
        <v>1342</v>
      </c>
      <c r="T112" s="23" t="s">
        <v>2166</v>
      </c>
      <c r="U112" s="13" t="s">
        <v>1342</v>
      </c>
      <c r="V112" s="13" t="s">
        <v>1631</v>
      </c>
      <c r="W112" s="13" t="s">
        <v>1342</v>
      </c>
      <c r="X112" s="12" t="e">
        <f>VLOOKUP($D112,global_toc!$C:$K,7,FALSE)</f>
        <v>#N/A</v>
      </c>
      <c r="Y112" s="12" t="e">
        <f>VLOOKUP($D112,global_toc!$C:$K,8,FALSE)</f>
        <v>#N/A</v>
      </c>
      <c r="Z112" s="12" t="e">
        <f>VLOOKUP($D112,global_toc!$C:$K,9,FALSE)</f>
        <v>#N/A</v>
      </c>
      <c r="AA112" s="19" t="str">
        <f t="shared" si="3"/>
        <v>Effective Group Rate Ionospheric Frequency</v>
      </c>
    </row>
    <row r="113" spans="1:27" ht="25.5" x14ac:dyDescent="0.2">
      <c r="A113" s="12">
        <v>346</v>
      </c>
      <c r="B113" s="12" t="s">
        <v>1655</v>
      </c>
      <c r="C113" s="12" t="str">
        <f t="shared" si="2"/>
        <v>FreqGroupIono</v>
      </c>
      <c r="D113" s="12" t="s">
        <v>2488</v>
      </c>
      <c r="E113" s="12">
        <v>1</v>
      </c>
      <c r="F113" s="12">
        <v>1</v>
      </c>
      <c r="G113" s="12">
        <v>1</v>
      </c>
      <c r="H113" s="12" t="s">
        <v>447</v>
      </c>
      <c r="I113" s="12" t="s">
        <v>1655</v>
      </c>
      <c r="J113" s="12" t="s">
        <v>1342</v>
      </c>
      <c r="K113" s="12" t="s">
        <v>1347</v>
      </c>
      <c r="L113" s="23" t="s">
        <v>1342</v>
      </c>
      <c r="M113" s="13" t="s">
        <v>1464</v>
      </c>
      <c r="N113" s="13" t="s">
        <v>1342</v>
      </c>
      <c r="O113" s="12" t="s">
        <v>2138</v>
      </c>
      <c r="P113" s="12" t="s">
        <v>2498</v>
      </c>
      <c r="Q113" s="12" t="s">
        <v>1342</v>
      </c>
      <c r="R113" s="13" t="s">
        <v>2494</v>
      </c>
      <c r="S113" s="13" t="s">
        <v>1342</v>
      </c>
      <c r="T113" s="23" t="s">
        <v>2173</v>
      </c>
      <c r="U113" s="13" t="s">
        <v>1342</v>
      </c>
      <c r="V113" s="13" t="s">
        <v>1632</v>
      </c>
      <c r="W113" s="13" t="s">
        <v>1342</v>
      </c>
      <c r="X113" s="12" t="e">
        <f>VLOOKUP($D113,global_toc!$C:$K,7,FALSE)</f>
        <v>#N/A</v>
      </c>
      <c r="Y113" s="12" t="e">
        <f>VLOOKUP($D113,global_toc!$C:$K,8,FALSE)</f>
        <v>#N/A</v>
      </c>
      <c r="Z113" s="12" t="e">
        <f>VLOOKUP($D113,global_toc!$C:$K,9,FALSE)</f>
        <v>#N/A</v>
      </c>
      <c r="AA113" s="19" t="str">
        <f t="shared" si="3"/>
        <v>Effective Group Delay Ionospheric Frequency. All channels equal wt.</v>
      </c>
    </row>
    <row r="114" spans="1:27" ht="25.5" x14ac:dyDescent="0.2">
      <c r="A114" s="12">
        <v>347</v>
      </c>
      <c r="B114" s="12" t="s">
        <v>1655</v>
      </c>
      <c r="C114" s="12" t="str">
        <f t="shared" si="2"/>
        <v>FreqPhaseIono</v>
      </c>
      <c r="D114" s="12" t="s">
        <v>2489</v>
      </c>
      <c r="E114" s="12">
        <v>1</v>
      </c>
      <c r="F114" s="12">
        <v>1</v>
      </c>
      <c r="G114" s="12">
        <v>1</v>
      </c>
      <c r="H114" s="12" t="s">
        <v>447</v>
      </c>
      <c r="I114" s="12" t="s">
        <v>1655</v>
      </c>
      <c r="J114" s="12" t="s">
        <v>1342</v>
      </c>
      <c r="K114" s="12" t="s">
        <v>1347</v>
      </c>
      <c r="L114" s="23" t="s">
        <v>1342</v>
      </c>
      <c r="M114" s="13" t="s">
        <v>1464</v>
      </c>
      <c r="N114" s="13" t="s">
        <v>1342</v>
      </c>
      <c r="O114" s="12" t="s">
        <v>2138</v>
      </c>
      <c r="P114" s="12" t="s">
        <v>2498</v>
      </c>
      <c r="Q114" s="12" t="s">
        <v>1342</v>
      </c>
      <c r="R114" s="13" t="s">
        <v>2495</v>
      </c>
      <c r="S114" s="13" t="s">
        <v>1342</v>
      </c>
      <c r="T114" s="23" t="s">
        <v>2174</v>
      </c>
      <c r="U114" s="13" t="s">
        <v>1342</v>
      </c>
      <c r="V114" s="13" t="s">
        <v>1632</v>
      </c>
      <c r="W114" s="13" t="s">
        <v>1342</v>
      </c>
      <c r="X114" s="12" t="e">
        <f>VLOOKUP($D114,global_toc!$C:$K,7,FALSE)</f>
        <v>#N/A</v>
      </c>
      <c r="Y114" s="12" t="e">
        <f>VLOOKUP($D114,global_toc!$C:$K,8,FALSE)</f>
        <v>#N/A</v>
      </c>
      <c r="Z114" s="12" t="e">
        <f>VLOOKUP($D114,global_toc!$C:$K,9,FALSE)</f>
        <v>#N/A</v>
      </c>
      <c r="AA114" s="19" t="str">
        <f t="shared" si="3"/>
        <v>Effective Phase Delay Ionospheric Frequency. All channels equal wt.</v>
      </c>
    </row>
    <row r="115" spans="1:27" ht="25.5" x14ac:dyDescent="0.2">
      <c r="A115" s="12">
        <v>348</v>
      </c>
      <c r="B115" s="12" t="s">
        <v>1655</v>
      </c>
      <c r="C115" s="12" t="str">
        <f t="shared" si="2"/>
        <v>FreqRateIono</v>
      </c>
      <c r="D115" s="12" t="s">
        <v>2490</v>
      </c>
      <c r="E115" s="12">
        <v>1</v>
      </c>
      <c r="F115" s="12">
        <v>1</v>
      </c>
      <c r="G115" s="12">
        <v>1</v>
      </c>
      <c r="H115" s="12" t="s">
        <v>447</v>
      </c>
      <c r="I115" s="12" t="s">
        <v>1655</v>
      </c>
      <c r="J115" s="12" t="s">
        <v>1342</v>
      </c>
      <c r="K115" s="12" t="s">
        <v>1347</v>
      </c>
      <c r="L115" s="23" t="s">
        <v>1342</v>
      </c>
      <c r="M115" s="13" t="s">
        <v>1655</v>
      </c>
      <c r="N115" s="13" t="s">
        <v>1342</v>
      </c>
      <c r="O115" s="12" t="s">
        <v>2138</v>
      </c>
      <c r="P115" s="12" t="s">
        <v>2498</v>
      </c>
      <c r="Q115" s="12" t="s">
        <v>1342</v>
      </c>
      <c r="R115" s="13" t="s">
        <v>2496</v>
      </c>
      <c r="S115" s="13" t="s">
        <v>1342</v>
      </c>
      <c r="T115" s="23" t="s">
        <v>2175</v>
      </c>
      <c r="U115" s="13" t="s">
        <v>1342</v>
      </c>
      <c r="V115" s="13" t="s">
        <v>1631</v>
      </c>
      <c r="W115" s="13" t="s">
        <v>1342</v>
      </c>
      <c r="X115" s="12" t="e">
        <f>VLOOKUP($D115,global_toc!$C:$K,7,FALSE)</f>
        <v>#N/A</v>
      </c>
      <c r="Y115" s="12" t="e">
        <f>VLOOKUP($D115,global_toc!$C:$K,8,FALSE)</f>
        <v>#N/A</v>
      </c>
      <c r="Z115" s="12" t="e">
        <f>VLOOKUP($D115,global_toc!$C:$K,9,FALSE)</f>
        <v>#N/A</v>
      </c>
      <c r="AA115" s="19" t="str">
        <f t="shared" si="3"/>
        <v>Effective Group Rate Ionospheric Frequency. All channels equal wt.</v>
      </c>
    </row>
    <row r="116" spans="1:27" ht="25.5" x14ac:dyDescent="0.2">
      <c r="A116" s="12">
        <v>319</v>
      </c>
      <c r="B116" s="12" t="s">
        <v>1655</v>
      </c>
      <c r="C116" s="12" t="str">
        <f t="shared" si="2"/>
        <v>FeedRotNet</v>
      </c>
      <c r="D116" s="12" t="s">
        <v>1669</v>
      </c>
      <c r="E116" s="12">
        <v>1</v>
      </c>
      <c r="F116" s="12">
        <v>1</v>
      </c>
      <c r="G116" s="12">
        <v>1</v>
      </c>
      <c r="H116" s="12" t="s">
        <v>447</v>
      </c>
      <c r="I116" s="12" t="s">
        <v>1655</v>
      </c>
      <c r="J116" s="12" t="s">
        <v>1342</v>
      </c>
      <c r="K116" s="12" t="s">
        <v>1347</v>
      </c>
      <c r="L116" s="23" t="s">
        <v>1342</v>
      </c>
      <c r="M116" s="13" t="s">
        <v>1655</v>
      </c>
      <c r="N116" s="13" t="s">
        <v>1490</v>
      </c>
      <c r="O116" s="12" t="s">
        <v>2138</v>
      </c>
      <c r="P116" s="12" t="s">
        <v>2448</v>
      </c>
      <c r="Q116" s="12" t="s">
        <v>1342</v>
      </c>
      <c r="R116" s="13" t="s">
        <v>2448</v>
      </c>
      <c r="S116" s="13" t="s">
        <v>1342</v>
      </c>
      <c r="T116" s="23" t="s">
        <v>2446</v>
      </c>
      <c r="U116" s="13" t="s">
        <v>1342</v>
      </c>
      <c r="V116" s="13" t="s">
        <v>1480</v>
      </c>
      <c r="W116" s="13" t="s">
        <v>1342</v>
      </c>
      <c r="X116" s="12" t="e">
        <f>VLOOKUP($D116,global_toc!$C:$K,7,FALSE)</f>
        <v>#N/A</v>
      </c>
      <c r="Y116" s="12" t="e">
        <f>VLOOKUP($D116,global_toc!$C:$K,8,FALSE)</f>
        <v>#N/A</v>
      </c>
      <c r="Z116" s="12" t="e">
        <f>VLOOKUP($D116,global_toc!$C:$K,9,FALSE)</f>
        <v>#N/A</v>
      </c>
      <c r="AA116" s="19" t="str">
        <f t="shared" si="3"/>
        <v>Feedhorn correction for phase delay= FeedRotSite1-FeedRotSite2</v>
      </c>
    </row>
    <row r="117" spans="1:27" x14ac:dyDescent="0.2">
      <c r="A117" s="12">
        <v>324</v>
      </c>
      <c r="B117" s="12">
        <v>2</v>
      </c>
      <c r="C117" s="12" t="str">
        <f t="shared" si="2"/>
        <v>DelayFlag</v>
      </c>
      <c r="D117" s="14" t="s">
        <v>948</v>
      </c>
      <c r="E117" s="12">
        <v>1</v>
      </c>
      <c r="F117" s="12">
        <v>1</v>
      </c>
      <c r="G117" s="12">
        <v>1</v>
      </c>
      <c r="H117" s="12" t="s">
        <v>544</v>
      </c>
      <c r="I117" s="12">
        <v>4</v>
      </c>
      <c r="J117" s="12" t="s">
        <v>949</v>
      </c>
      <c r="K117" s="12" t="s">
        <v>1347</v>
      </c>
      <c r="L117" s="23" t="s">
        <v>1342</v>
      </c>
      <c r="M117" s="13" t="s">
        <v>1464</v>
      </c>
      <c r="N117" s="13" t="s">
        <v>1490</v>
      </c>
      <c r="O117" s="12" t="s">
        <v>1511</v>
      </c>
      <c r="P117" s="12" t="s">
        <v>1611</v>
      </c>
      <c r="Q117" s="12" t="s">
        <v>1342</v>
      </c>
      <c r="R117" s="13" t="s">
        <v>1494</v>
      </c>
      <c r="S117" s="13" t="s">
        <v>1342</v>
      </c>
      <c r="T117" s="23" t="s">
        <v>1342</v>
      </c>
      <c r="U117" s="13" t="s">
        <v>1342</v>
      </c>
      <c r="V117" s="13" t="s">
        <v>1342</v>
      </c>
      <c r="W117" s="13" t="s">
        <v>1342</v>
      </c>
      <c r="X117" s="12" t="str">
        <f>VLOOKUP($D117,global_toc!$C:$K,7,FALSE)</f>
        <v>79AUG03XX</v>
      </c>
      <c r="Y117" s="12" t="str">
        <f>VLOOKUP($D117,global_toc!$C:$K,8,FALSE)</f>
        <v>11OCT17XA</v>
      </c>
      <c r="Z117" s="12">
        <f>VLOOKUP($D117,global_toc!$C:$K,9,FALSE)</f>
        <v>5029</v>
      </c>
      <c r="AA117" s="19" t="str">
        <f t="shared" si="3"/>
        <v>Delay unweight flag</v>
      </c>
    </row>
    <row r="118" spans="1:27" x14ac:dyDescent="0.2">
      <c r="A118" s="12">
        <v>325</v>
      </c>
      <c r="B118" s="12">
        <v>2</v>
      </c>
      <c r="C118" s="12" t="str">
        <f t="shared" si="2"/>
        <v>PhaseFlag</v>
      </c>
      <c r="D118" s="14" t="s">
        <v>1229</v>
      </c>
      <c r="E118" s="12">
        <v>1</v>
      </c>
      <c r="F118" s="12">
        <v>1</v>
      </c>
      <c r="G118" s="12">
        <v>1</v>
      </c>
      <c r="H118" s="12" t="s">
        <v>544</v>
      </c>
      <c r="I118" s="12">
        <v>4</v>
      </c>
      <c r="J118" s="12" t="s">
        <v>38</v>
      </c>
      <c r="K118" s="12" t="s">
        <v>1347</v>
      </c>
      <c r="L118" s="23" t="s">
        <v>1342</v>
      </c>
      <c r="M118" s="13" t="s">
        <v>1464</v>
      </c>
      <c r="N118" s="13" t="s">
        <v>1490</v>
      </c>
      <c r="O118" s="12" t="s">
        <v>1511</v>
      </c>
      <c r="P118" s="12" t="s">
        <v>1611</v>
      </c>
      <c r="Q118" s="12" t="s">
        <v>1342</v>
      </c>
      <c r="R118" s="13" t="s">
        <v>1708</v>
      </c>
      <c r="S118" s="13" t="s">
        <v>1342</v>
      </c>
      <c r="T118" s="23" t="s">
        <v>1342</v>
      </c>
      <c r="U118" s="13" t="s">
        <v>1342</v>
      </c>
      <c r="V118" s="13" t="s">
        <v>1342</v>
      </c>
      <c r="W118" s="13" t="s">
        <v>1342</v>
      </c>
      <c r="X118" s="12" t="str">
        <f>VLOOKUP($D118,global_toc!$C:$K,7,FALSE)</f>
        <v>80OCT17X_</v>
      </c>
      <c r="Y118" s="12" t="str">
        <f>VLOOKUP($D118,global_toc!$C:$K,8,FALSE)</f>
        <v>10FEB11XE</v>
      </c>
      <c r="Z118" s="12">
        <f>VLOOKUP($D118,global_toc!$C:$K,9,FALSE)</f>
        <v>429</v>
      </c>
      <c r="AA118" s="19" t="str">
        <f t="shared" si="3"/>
        <v>Phase unweight flag</v>
      </c>
    </row>
    <row r="119" spans="1:27" x14ac:dyDescent="0.2">
      <c r="A119" s="12">
        <v>326</v>
      </c>
      <c r="B119" s="12">
        <v>2</v>
      </c>
      <c r="C119" s="12" t="str">
        <f t="shared" si="2"/>
        <v>RateFlag</v>
      </c>
      <c r="D119" s="14" t="s">
        <v>956</v>
      </c>
      <c r="E119" s="12">
        <v>1</v>
      </c>
      <c r="F119" s="12">
        <v>1</v>
      </c>
      <c r="G119" s="12">
        <v>1</v>
      </c>
      <c r="H119" s="12" t="s">
        <v>544</v>
      </c>
      <c r="I119" s="12">
        <v>1</v>
      </c>
      <c r="J119" s="12" t="s">
        <v>2315</v>
      </c>
      <c r="K119" s="12" t="s">
        <v>1347</v>
      </c>
      <c r="L119" s="23" t="s">
        <v>1342</v>
      </c>
      <c r="M119" s="13" t="s">
        <v>1464</v>
      </c>
      <c r="N119" s="13" t="s">
        <v>1490</v>
      </c>
      <c r="O119" s="12" t="s">
        <v>1511</v>
      </c>
      <c r="P119" s="12" t="s">
        <v>1611</v>
      </c>
      <c r="Q119" s="12" t="s">
        <v>1342</v>
      </c>
      <c r="R119" s="13" t="s">
        <v>1495</v>
      </c>
      <c r="S119" s="13" t="s">
        <v>1342</v>
      </c>
      <c r="T119" s="23" t="s">
        <v>1342</v>
      </c>
      <c r="U119" s="13" t="s">
        <v>1342</v>
      </c>
      <c r="V119" s="13" t="s">
        <v>1342</v>
      </c>
      <c r="W119" s="13" t="s">
        <v>1342</v>
      </c>
      <c r="X119" s="12" t="str">
        <f>VLOOKUP($D119,global_toc!$C:$K,7,FALSE)</f>
        <v>79AUG03XX</v>
      </c>
      <c r="Y119" s="12" t="str">
        <f>VLOOKUP($D119,global_toc!$C:$K,8,FALSE)</f>
        <v>11OCT17XA</v>
      </c>
      <c r="Z119" s="12">
        <f>VLOOKUP($D119,global_toc!$C:$K,9,FALSE)</f>
        <v>4995</v>
      </c>
      <c r="AA119" s="19" t="str">
        <f t="shared" si="3"/>
        <v>Delay rate unweight flag.</v>
      </c>
    </row>
    <row r="120" spans="1:27" x14ac:dyDescent="0.2">
      <c r="A120" s="12">
        <v>327</v>
      </c>
      <c r="B120" s="12">
        <v>2</v>
      </c>
      <c r="C120" s="12" t="str">
        <f t="shared" si="2"/>
        <v>UserSup</v>
      </c>
      <c r="D120" s="14" t="s">
        <v>972</v>
      </c>
      <c r="E120" s="12">
        <v>1</v>
      </c>
      <c r="F120" s="12">
        <v>1</v>
      </c>
      <c r="G120" s="12">
        <v>1</v>
      </c>
      <c r="H120" s="12" t="s">
        <v>544</v>
      </c>
      <c r="I120" s="12">
        <v>4</v>
      </c>
      <c r="J120" s="12" t="s">
        <v>973</v>
      </c>
      <c r="K120" s="12" t="s">
        <v>1347</v>
      </c>
      <c r="L120" s="23" t="s">
        <v>1342</v>
      </c>
      <c r="M120" s="13" t="s">
        <v>1464</v>
      </c>
      <c r="N120" s="13" t="s">
        <v>1490</v>
      </c>
      <c r="O120" s="12" t="s">
        <v>1511</v>
      </c>
      <c r="P120" s="12" t="s">
        <v>1611</v>
      </c>
      <c r="Q120" s="12" t="s">
        <v>1342</v>
      </c>
      <c r="R120" s="13" t="s">
        <v>1614</v>
      </c>
      <c r="S120" s="13" t="s">
        <v>1342</v>
      </c>
      <c r="T120" s="23" t="s">
        <v>1342</v>
      </c>
      <c r="U120" s="13" t="s">
        <v>1342</v>
      </c>
      <c r="V120" s="13" t="s">
        <v>1342</v>
      </c>
      <c r="W120" s="13" t="s">
        <v>1342</v>
      </c>
      <c r="X120" s="12" t="str">
        <f>VLOOKUP($D120,global_toc!$C:$K,7,FALSE)</f>
        <v>79AUG03XX</v>
      </c>
      <c r="Y120" s="12" t="str">
        <f>VLOOKUP($D120,global_toc!$C:$K,8,FALSE)</f>
        <v>11OCT17XA</v>
      </c>
      <c r="Z120" s="12">
        <f>VLOOKUP($D120,global_toc!$C:$K,9,FALSE)</f>
        <v>2393</v>
      </c>
      <c r="AA120" s="19" t="str">
        <f t="shared" si="3"/>
        <v>User action for suppression</v>
      </c>
    </row>
    <row r="121" spans="1:27" ht="12" customHeight="1" x14ac:dyDescent="0.2">
      <c r="A121" s="12">
        <v>320</v>
      </c>
      <c r="B121" s="12">
        <v>2</v>
      </c>
      <c r="C121" s="12" t="str">
        <f t="shared" si="2"/>
        <v>GroupDelayFull</v>
      </c>
      <c r="D121" s="14" t="s">
        <v>902</v>
      </c>
      <c r="E121" s="12">
        <v>1</v>
      </c>
      <c r="F121" s="12">
        <v>1</v>
      </c>
      <c r="G121" s="12">
        <v>1</v>
      </c>
      <c r="H121" s="12" t="s">
        <v>447</v>
      </c>
      <c r="I121" s="12">
        <v>4</v>
      </c>
      <c r="J121" s="12" t="s">
        <v>1686</v>
      </c>
      <c r="K121" s="12" t="s">
        <v>1347</v>
      </c>
      <c r="L121" s="23" t="s">
        <v>1342</v>
      </c>
      <c r="M121" s="13" t="s">
        <v>1464</v>
      </c>
      <c r="N121" s="13" t="s">
        <v>1477</v>
      </c>
      <c r="O121" s="12" t="s">
        <v>1511</v>
      </c>
      <c r="P121" s="12" t="s">
        <v>1656</v>
      </c>
      <c r="Q121" s="12" t="s">
        <v>1342</v>
      </c>
      <c r="R121" s="13" t="s">
        <v>1657</v>
      </c>
      <c r="S121" s="13" t="s">
        <v>1342</v>
      </c>
      <c r="T121" s="23" t="s">
        <v>1659</v>
      </c>
      <c r="U121" s="13" t="s">
        <v>1342</v>
      </c>
      <c r="V121" s="13" t="s">
        <v>1610</v>
      </c>
      <c r="W121" s="13" t="s">
        <v>1342</v>
      </c>
      <c r="X121" s="12" t="str">
        <f>VLOOKUP($D121,global_toc!$C:$K,7,FALSE)</f>
        <v>79AUG03XX</v>
      </c>
      <c r="Y121" s="12" t="str">
        <f>VLOOKUP($D121,global_toc!$C:$K,8,FALSE)</f>
        <v>11OCT17XA</v>
      </c>
      <c r="Z121" s="12">
        <f>VLOOKUP($D121,global_toc!$C:$K,9,FALSE)</f>
        <v>3095</v>
      </c>
      <c r="AA121" s="19" t="str">
        <f t="shared" si="3"/>
        <v>Delay Observable with ambiguities resolved and added.</v>
      </c>
    </row>
    <row r="122" spans="1:27" ht="12" customHeight="1" x14ac:dyDescent="0.2">
      <c r="A122" s="12">
        <v>321</v>
      </c>
      <c r="B122" s="12" t="s">
        <v>1655</v>
      </c>
      <c r="C122" s="12" t="str">
        <f t="shared" si="2"/>
        <v>GroupDelayFull</v>
      </c>
      <c r="D122" s="14" t="s">
        <v>1658</v>
      </c>
      <c r="E122" s="12">
        <v>1</v>
      </c>
      <c r="F122" s="12">
        <v>1</v>
      </c>
      <c r="G122" s="12">
        <v>1</v>
      </c>
      <c r="H122" s="12" t="s">
        <v>447</v>
      </c>
      <c r="I122" s="12" t="s">
        <v>1655</v>
      </c>
      <c r="J122" s="12" t="s">
        <v>1342</v>
      </c>
      <c r="K122" s="12" t="s">
        <v>1347</v>
      </c>
      <c r="L122" s="23" t="s">
        <v>1342</v>
      </c>
      <c r="M122" s="13" t="s">
        <v>1655</v>
      </c>
      <c r="N122" s="13" t="s">
        <v>1477</v>
      </c>
      <c r="O122" s="12" t="s">
        <v>1511</v>
      </c>
      <c r="P122" s="12" t="s">
        <v>1658</v>
      </c>
      <c r="Q122" s="12" t="s">
        <v>1342</v>
      </c>
      <c r="R122" s="13" t="s">
        <v>1657</v>
      </c>
      <c r="S122" s="13" t="s">
        <v>1342</v>
      </c>
      <c r="T122" s="23" t="s">
        <v>1659</v>
      </c>
      <c r="U122" s="13" t="s">
        <v>1342</v>
      </c>
      <c r="V122" s="13" t="s">
        <v>1651</v>
      </c>
      <c r="W122" s="13" t="s">
        <v>1342</v>
      </c>
      <c r="X122" s="12" t="e">
        <f>VLOOKUP($D122,global_toc!$C:$K,7,FALSE)</f>
        <v>#N/A</v>
      </c>
      <c r="Y122" s="12" t="e">
        <f>VLOOKUP($D122,global_toc!$C:$K,8,FALSE)</f>
        <v>#N/A</v>
      </c>
      <c r="Z122" s="12" t="e">
        <f>VLOOKUP($D122,global_toc!$C:$K,9,FALSE)</f>
        <v>#N/A</v>
      </c>
      <c r="AA122" s="19" t="str">
        <f t="shared" si="3"/>
        <v>Delay Observable with ambiguities resolved and added.</v>
      </c>
    </row>
    <row r="123" spans="1:27" ht="12" customHeight="1" x14ac:dyDescent="0.2">
      <c r="A123" s="12">
        <v>328</v>
      </c>
      <c r="B123" s="12" t="s">
        <v>1655</v>
      </c>
      <c r="C123" s="12" t="str">
        <f t="shared" si="2"/>
        <v>NGSQualityFlag</v>
      </c>
      <c r="D123" s="12" t="s">
        <v>2073</v>
      </c>
      <c r="E123" s="12">
        <v>1</v>
      </c>
      <c r="F123" s="12">
        <v>1</v>
      </c>
      <c r="G123" s="12">
        <v>1</v>
      </c>
      <c r="H123" s="12" t="s">
        <v>544</v>
      </c>
      <c r="I123" s="12" t="s">
        <v>1655</v>
      </c>
      <c r="J123" s="12" t="s">
        <v>1342</v>
      </c>
      <c r="K123" s="12" t="s">
        <v>1347</v>
      </c>
      <c r="L123" s="23" t="s">
        <v>1342</v>
      </c>
      <c r="M123" s="13" t="s">
        <v>1464</v>
      </c>
      <c r="N123" s="13" t="s">
        <v>1477</v>
      </c>
      <c r="O123" s="12" t="s">
        <v>1511</v>
      </c>
      <c r="P123" s="12" t="s">
        <v>2073</v>
      </c>
      <c r="Q123" s="12" t="s">
        <v>1342</v>
      </c>
      <c r="R123" s="13" t="s">
        <v>1342</v>
      </c>
      <c r="S123" s="13" t="s">
        <v>1342</v>
      </c>
      <c r="T123" s="23" t="s">
        <v>2074</v>
      </c>
      <c r="U123" s="13" t="s">
        <v>1342</v>
      </c>
      <c r="V123" s="13" t="s">
        <v>1342</v>
      </c>
      <c r="W123" s="13" t="s">
        <v>1342</v>
      </c>
      <c r="X123" s="12" t="e">
        <f>VLOOKUP($D123,global_toc!$C:$K,7,FALSE)</f>
        <v>#N/A</v>
      </c>
      <c r="Y123" s="12" t="e">
        <f>VLOOKUP($D123,global_toc!$C:$K,8,FALSE)</f>
        <v>#N/A</v>
      </c>
      <c r="Z123" s="12" t="e">
        <f>VLOOKUP($D123,global_toc!$C:$K,9,FALSE)</f>
        <v>#N/A</v>
      </c>
      <c r="AA123" s="19" t="str">
        <f t="shared" si="3"/>
        <v>Zero means good. A Combination of DelayFlag and IonCode</v>
      </c>
    </row>
    <row r="124" spans="1:27" ht="12" customHeight="1" x14ac:dyDescent="0.2">
      <c r="A124" s="12">
        <v>329</v>
      </c>
      <c r="B124" s="12">
        <v>2</v>
      </c>
      <c r="C124" s="12" t="str">
        <f t="shared" si="2"/>
        <v>NumGroupAmbig</v>
      </c>
      <c r="D124" s="14" t="s">
        <v>970</v>
      </c>
      <c r="E124" s="12">
        <v>1</v>
      </c>
      <c r="F124" s="12">
        <v>1</v>
      </c>
      <c r="G124" s="12">
        <v>1</v>
      </c>
      <c r="H124" s="12" t="s">
        <v>544</v>
      </c>
      <c r="I124" s="12">
        <v>4</v>
      </c>
      <c r="J124" s="12" t="s">
        <v>971</v>
      </c>
      <c r="K124" s="12" t="s">
        <v>1347</v>
      </c>
      <c r="L124" s="23" t="s">
        <v>1342</v>
      </c>
      <c r="M124" s="13" t="s">
        <v>1464</v>
      </c>
      <c r="N124" s="13" t="s">
        <v>1477</v>
      </c>
      <c r="O124" s="12" t="s">
        <v>1511</v>
      </c>
      <c r="P124" s="12" t="s">
        <v>2141</v>
      </c>
      <c r="Q124" s="12" t="s">
        <v>1342</v>
      </c>
      <c r="R124" s="13" t="s">
        <v>2143</v>
      </c>
      <c r="S124" s="13" t="s">
        <v>1342</v>
      </c>
      <c r="T124" s="23" t="s">
        <v>1663</v>
      </c>
      <c r="U124" s="13" t="s">
        <v>1342</v>
      </c>
      <c r="V124" s="13" t="s">
        <v>1342</v>
      </c>
      <c r="W124" s="13" t="s">
        <v>1342</v>
      </c>
      <c r="X124" s="12" t="str">
        <f>VLOOKUP($D124,global_toc!$C:$K,7,FALSE)</f>
        <v>82JUN21X_</v>
      </c>
      <c r="Y124" s="12" t="str">
        <f>VLOOKUP($D124,global_toc!$C:$K,8,FALSE)</f>
        <v>11OCT17XA</v>
      </c>
      <c r="Z124" s="12">
        <f>VLOOKUP($D124,global_toc!$C:$K,9,FALSE)</f>
        <v>2121</v>
      </c>
      <c r="AA124" s="19" t="str">
        <f t="shared" si="3"/>
        <v>Number of group delay ambiguities</v>
      </c>
    </row>
    <row r="125" spans="1:27" ht="12" customHeight="1" x14ac:dyDescent="0.2">
      <c r="A125" s="12">
        <v>330</v>
      </c>
      <c r="B125" s="12">
        <v>2</v>
      </c>
      <c r="C125" s="12" t="str">
        <f t="shared" si="2"/>
        <v>NumGroupAmbig</v>
      </c>
      <c r="D125" s="14" t="s">
        <v>964</v>
      </c>
      <c r="E125" s="12">
        <v>1</v>
      </c>
      <c r="F125" s="12">
        <v>1</v>
      </c>
      <c r="G125" s="12">
        <v>1</v>
      </c>
      <c r="H125" s="12" t="s">
        <v>544</v>
      </c>
      <c r="I125" s="12">
        <v>4</v>
      </c>
      <c r="J125" s="12" t="s">
        <v>965</v>
      </c>
      <c r="K125" s="12" t="s">
        <v>1347</v>
      </c>
      <c r="L125" s="23" t="s">
        <v>1342</v>
      </c>
      <c r="M125" s="13" t="s">
        <v>1464</v>
      </c>
      <c r="N125" s="13" t="s">
        <v>1477</v>
      </c>
      <c r="O125" s="12" t="s">
        <v>1511</v>
      </c>
      <c r="P125" s="12" t="s">
        <v>2142</v>
      </c>
      <c r="Q125" s="12" t="s">
        <v>1342</v>
      </c>
      <c r="R125" s="13" t="s">
        <v>2143</v>
      </c>
      <c r="S125" s="13" t="s">
        <v>1342</v>
      </c>
      <c r="T125" s="23" t="s">
        <v>1663</v>
      </c>
      <c r="U125" s="13" t="s">
        <v>1342</v>
      </c>
      <c r="V125" s="13" t="s">
        <v>1342</v>
      </c>
      <c r="W125" s="13" t="s">
        <v>1342</v>
      </c>
      <c r="X125" s="12" t="str">
        <f>VLOOKUP($D125,global_toc!$C:$K,7,FALSE)</f>
        <v>79AUG03XX</v>
      </c>
      <c r="Y125" s="12" t="str">
        <f>VLOOKUP($D125,global_toc!$C:$K,8,FALSE)</f>
        <v>11OCT17XA</v>
      </c>
      <c r="Z125" s="12">
        <f>VLOOKUP($D125,global_toc!$C:$K,9,FALSE)</f>
        <v>5029</v>
      </c>
      <c r="AA125" s="19" t="str">
        <f t="shared" si="3"/>
        <v>Number of group delay ambiguities</v>
      </c>
    </row>
    <row r="126" spans="1:27" ht="12" customHeight="1" x14ac:dyDescent="0.2">
      <c r="A126" s="12">
        <v>331</v>
      </c>
      <c r="B126" s="12">
        <v>2</v>
      </c>
      <c r="C126" s="12" t="str">
        <f t="shared" si="2"/>
        <v>NumPhaseAmbig</v>
      </c>
      <c r="D126" s="14" t="s">
        <v>988</v>
      </c>
      <c r="E126" s="12">
        <v>1</v>
      </c>
      <c r="F126" s="12">
        <v>1</v>
      </c>
      <c r="G126" s="12">
        <v>1</v>
      </c>
      <c r="H126" s="12" t="s">
        <v>731</v>
      </c>
      <c r="I126" s="12">
        <v>4</v>
      </c>
      <c r="J126" s="12" t="s">
        <v>989</v>
      </c>
      <c r="K126" s="12" t="s">
        <v>1347</v>
      </c>
      <c r="L126" s="23" t="s">
        <v>1342</v>
      </c>
      <c r="M126" s="13" t="s">
        <v>1464</v>
      </c>
      <c r="N126" s="13" t="s">
        <v>1477</v>
      </c>
      <c r="O126" s="12" t="s">
        <v>1511</v>
      </c>
      <c r="P126" s="12" t="s">
        <v>2145</v>
      </c>
      <c r="Q126" s="12" t="s">
        <v>1342</v>
      </c>
      <c r="R126" s="13" t="s">
        <v>2144</v>
      </c>
      <c r="S126" s="13" t="s">
        <v>1342</v>
      </c>
      <c r="T126" s="23" t="s">
        <v>1662</v>
      </c>
      <c r="U126" s="13" t="s">
        <v>1342</v>
      </c>
      <c r="V126" s="13" t="s">
        <v>1342</v>
      </c>
      <c r="W126" s="13" t="s">
        <v>1342</v>
      </c>
      <c r="X126" s="12" t="str">
        <f>VLOOKUP($D126,global_toc!$C:$K,7,FALSE)</f>
        <v>82JUN21X_</v>
      </c>
      <c r="Y126" s="12" t="str">
        <f>VLOOKUP($D126,global_toc!$C:$K,8,FALSE)</f>
        <v>11OCT17XA</v>
      </c>
      <c r="Z126" s="12">
        <f>VLOOKUP($D126,global_toc!$C:$K,9,FALSE)</f>
        <v>2121</v>
      </c>
      <c r="AA126" s="19" t="str">
        <f t="shared" si="3"/>
        <v>Number of phase ambiguities</v>
      </c>
    </row>
    <row r="127" spans="1:27" ht="12" customHeight="1" x14ac:dyDescent="0.2">
      <c r="A127" s="12">
        <v>332</v>
      </c>
      <c r="B127" s="12">
        <v>2</v>
      </c>
      <c r="C127" s="12" t="str">
        <f t="shared" si="2"/>
        <v>NumPhaseAmbig</v>
      </c>
      <c r="D127" s="14" t="s">
        <v>1211</v>
      </c>
      <c r="E127" s="12">
        <v>1</v>
      </c>
      <c r="F127" s="12">
        <v>1</v>
      </c>
      <c r="G127" s="12">
        <v>1</v>
      </c>
      <c r="H127" s="12" t="s">
        <v>731</v>
      </c>
      <c r="I127" s="12">
        <v>4</v>
      </c>
      <c r="J127" s="12" t="s">
        <v>1600</v>
      </c>
      <c r="K127" s="12" t="s">
        <v>1347</v>
      </c>
      <c r="L127" s="23" t="s">
        <v>1342</v>
      </c>
      <c r="M127" s="13" t="s">
        <v>1464</v>
      </c>
      <c r="N127" s="13" t="s">
        <v>1477</v>
      </c>
      <c r="O127" s="12" t="s">
        <v>1511</v>
      </c>
      <c r="P127" s="12" t="s">
        <v>2146</v>
      </c>
      <c r="Q127" s="12" t="s">
        <v>1342</v>
      </c>
      <c r="R127" s="13" t="s">
        <v>2144</v>
      </c>
      <c r="S127" s="13" t="s">
        <v>1342</v>
      </c>
      <c r="T127" s="23" t="s">
        <v>1662</v>
      </c>
      <c r="U127" s="13" t="s">
        <v>1342</v>
      </c>
      <c r="V127" s="13" t="s">
        <v>1342</v>
      </c>
      <c r="W127" s="13" t="s">
        <v>1342</v>
      </c>
      <c r="X127" s="12" t="str">
        <f>VLOOKUP($D127,global_toc!$C:$K,7,FALSE)</f>
        <v>80OCT17X_</v>
      </c>
      <c r="Y127" s="12" t="str">
        <f>VLOOKUP($D127,global_toc!$C:$K,8,FALSE)</f>
        <v>10FEB11XE</v>
      </c>
      <c r="Z127" s="12">
        <f>VLOOKUP($D127,global_toc!$C:$K,9,FALSE)</f>
        <v>446</v>
      </c>
      <c r="AA127" s="19" t="str">
        <f t="shared" si="3"/>
        <v>Number of phase ambiguities</v>
      </c>
    </row>
    <row r="128" spans="1:27" ht="12" customHeight="1" x14ac:dyDescent="0.2">
      <c r="A128" s="12">
        <v>322</v>
      </c>
      <c r="B128" s="12">
        <v>2</v>
      </c>
      <c r="C128" s="12" t="str">
        <f t="shared" si="2"/>
        <v>PhaseDelay</v>
      </c>
      <c r="D128" s="14" t="s">
        <v>906</v>
      </c>
      <c r="E128" s="12">
        <v>1</v>
      </c>
      <c r="F128" s="12">
        <v>1</v>
      </c>
      <c r="G128" s="12">
        <v>1</v>
      </c>
      <c r="H128" s="12" t="s">
        <v>447</v>
      </c>
      <c r="I128" s="12">
        <v>4</v>
      </c>
      <c r="J128" s="12" t="s">
        <v>1694</v>
      </c>
      <c r="K128" s="12" t="s">
        <v>1347</v>
      </c>
      <c r="L128" s="23" t="s">
        <v>1342</v>
      </c>
      <c r="M128" s="13" t="s">
        <v>1464</v>
      </c>
      <c r="N128" s="13" t="s">
        <v>1490</v>
      </c>
      <c r="O128" s="12" t="s">
        <v>1511</v>
      </c>
      <c r="P128" s="12" t="s">
        <v>1660</v>
      </c>
      <c r="Q128" s="12" t="s">
        <v>1342</v>
      </c>
      <c r="R128" s="13" t="s">
        <v>1483</v>
      </c>
      <c r="S128" s="13" t="s">
        <v>1342</v>
      </c>
      <c r="T128" s="23" t="s">
        <v>1665</v>
      </c>
      <c r="U128" s="13" t="s">
        <v>1342</v>
      </c>
      <c r="V128" s="13" t="s">
        <v>1651</v>
      </c>
      <c r="W128" s="13" t="s">
        <v>1342</v>
      </c>
      <c r="X128" s="12" t="str">
        <f>VLOOKUP($D128,global_toc!$C:$K,7,FALSE)</f>
        <v>79AUG03XX</v>
      </c>
      <c r="Y128" s="12" t="str">
        <f>VLOOKUP($D128,global_toc!$C:$K,8,FALSE)</f>
        <v>11OCT17XA</v>
      </c>
      <c r="Z128" s="12">
        <f>VLOOKUP($D128,global_toc!$C:$K,9,FALSE)</f>
        <v>3095</v>
      </c>
      <c r="AA128" s="19" t="str">
        <f t="shared" si="3"/>
        <v>Phase delay resolved with ambiguities added.</v>
      </c>
    </row>
    <row r="129" spans="1:27" ht="12" customHeight="1" x14ac:dyDescent="0.2">
      <c r="A129" s="12">
        <v>323</v>
      </c>
      <c r="B129" s="12" t="s">
        <v>1655</v>
      </c>
      <c r="C129" s="12" t="str">
        <f t="shared" si="2"/>
        <v>PhaseDelayFull</v>
      </c>
      <c r="D129" s="12" t="s">
        <v>1661</v>
      </c>
      <c r="E129" s="12">
        <v>1</v>
      </c>
      <c r="F129" s="12">
        <v>1</v>
      </c>
      <c r="G129" s="12">
        <v>1</v>
      </c>
      <c r="H129" s="12" t="s">
        <v>447</v>
      </c>
      <c r="I129" s="12">
        <v>4</v>
      </c>
      <c r="J129" s="12" t="s">
        <v>1694</v>
      </c>
      <c r="K129" s="12" t="s">
        <v>1347</v>
      </c>
      <c r="L129" s="23" t="s">
        <v>1342</v>
      </c>
      <c r="M129" s="13" t="s">
        <v>1655</v>
      </c>
      <c r="N129" s="13" t="s">
        <v>1490</v>
      </c>
      <c r="O129" s="12" t="s">
        <v>1511</v>
      </c>
      <c r="P129" s="12" t="s">
        <v>1661</v>
      </c>
      <c r="Q129" s="12" t="s">
        <v>1342</v>
      </c>
      <c r="R129" s="13" t="s">
        <v>2222</v>
      </c>
      <c r="S129" s="13" t="s">
        <v>1342</v>
      </c>
      <c r="T129" s="23" t="s">
        <v>1665</v>
      </c>
      <c r="U129" s="13" t="s">
        <v>1342</v>
      </c>
      <c r="V129" s="13" t="s">
        <v>1651</v>
      </c>
      <c r="W129" s="13" t="s">
        <v>1342</v>
      </c>
      <c r="X129" s="12" t="e">
        <f>VLOOKUP($D129,global_toc!$C:$K,7,FALSE)</f>
        <v>#N/A</v>
      </c>
      <c r="Y129" s="12" t="e">
        <f>VLOOKUP($D129,global_toc!$C:$K,8,FALSE)</f>
        <v>#N/A</v>
      </c>
      <c r="Z129" s="12" t="e">
        <f>VLOOKUP($D129,global_toc!$C:$K,9,FALSE)</f>
        <v>#N/A</v>
      </c>
      <c r="AA129" s="19" t="str">
        <f t="shared" si="3"/>
        <v>Phase delay resolved with ambiguities added.</v>
      </c>
    </row>
    <row r="130" spans="1:27" ht="12" customHeight="1" x14ac:dyDescent="0.2">
      <c r="A130" s="12">
        <v>333</v>
      </c>
      <c r="B130" s="12">
        <v>2</v>
      </c>
      <c r="C130" s="12" t="str">
        <f t="shared" si="2"/>
        <v>AmbigSize</v>
      </c>
      <c r="D130" s="14" t="s">
        <v>922</v>
      </c>
      <c r="E130" s="12">
        <v>1</v>
      </c>
      <c r="F130" s="12">
        <v>1</v>
      </c>
      <c r="G130" s="12">
        <v>1</v>
      </c>
      <c r="H130" s="12" t="s">
        <v>447</v>
      </c>
      <c r="I130" s="12">
        <v>4</v>
      </c>
      <c r="J130" s="12" t="s">
        <v>923</v>
      </c>
      <c r="K130" s="12" t="s">
        <v>1347</v>
      </c>
      <c r="L130" s="23" t="s">
        <v>1342</v>
      </c>
      <c r="M130" s="13" t="s">
        <v>1464</v>
      </c>
      <c r="N130" s="13" t="s">
        <v>1477</v>
      </c>
      <c r="O130" s="12" t="s">
        <v>2112</v>
      </c>
      <c r="P130" s="12" t="s">
        <v>2063</v>
      </c>
      <c r="Q130" s="12" t="s">
        <v>1342</v>
      </c>
      <c r="R130" s="13" t="s">
        <v>1521</v>
      </c>
      <c r="S130" s="13" t="s">
        <v>1342</v>
      </c>
      <c r="T130" s="23" t="s">
        <v>1664</v>
      </c>
      <c r="U130" s="13" t="s">
        <v>1342</v>
      </c>
      <c r="V130" s="13" t="s">
        <v>1651</v>
      </c>
      <c r="W130" s="13" t="s">
        <v>1342</v>
      </c>
      <c r="X130" s="12" t="str">
        <f>VLOOKUP($D130,global_toc!$C:$K,7,FALSE)</f>
        <v>82JUN21X_</v>
      </c>
      <c r="Y130" s="12" t="str">
        <f>VLOOKUP($D130,global_toc!$C:$K,8,FALSE)</f>
        <v>11OCT17XA</v>
      </c>
      <c r="Z130" s="12">
        <f>VLOOKUP($D130,global_toc!$C:$K,9,FALSE)</f>
        <v>2121</v>
      </c>
      <c r="AA130" s="19" t="str">
        <f t="shared" si="3"/>
        <v>Group delay ambiguity spacing</v>
      </c>
    </row>
    <row r="131" spans="1:27" ht="12" customHeight="1" x14ac:dyDescent="0.2">
      <c r="A131" s="12">
        <v>334</v>
      </c>
      <c r="B131" s="12">
        <v>2</v>
      </c>
      <c r="C131" s="12" t="str">
        <f t="shared" si="2"/>
        <v>AmbigSize</v>
      </c>
      <c r="D131" s="14" t="s">
        <v>751</v>
      </c>
      <c r="E131" s="12">
        <v>1</v>
      </c>
      <c r="F131" s="12">
        <v>1</v>
      </c>
      <c r="G131" s="12">
        <v>1</v>
      </c>
      <c r="H131" s="12" t="s">
        <v>447</v>
      </c>
      <c r="I131" s="12">
        <v>4</v>
      </c>
      <c r="J131" s="12" t="s">
        <v>2366</v>
      </c>
      <c r="K131" s="12" t="s">
        <v>1347</v>
      </c>
      <c r="L131" s="23" t="s">
        <v>1342</v>
      </c>
      <c r="M131" s="13" t="s">
        <v>1464</v>
      </c>
      <c r="N131" s="13" t="s">
        <v>1477</v>
      </c>
      <c r="O131" s="12" t="s">
        <v>2112</v>
      </c>
      <c r="P131" s="12" t="s">
        <v>2064</v>
      </c>
      <c r="Q131" s="12" t="s">
        <v>1342</v>
      </c>
      <c r="R131" s="13" t="s">
        <v>1521</v>
      </c>
      <c r="S131" s="13" t="s">
        <v>1342</v>
      </c>
      <c r="T131" s="23" t="s">
        <v>1664</v>
      </c>
      <c r="U131" s="13" t="s">
        <v>1342</v>
      </c>
      <c r="V131" s="13" t="s">
        <v>1651</v>
      </c>
      <c r="W131" s="13" t="s">
        <v>1342</v>
      </c>
      <c r="X131" s="12" t="str">
        <f>VLOOKUP($D131,global_toc!$C:$K,7,FALSE)</f>
        <v>79AUG03XX</v>
      </c>
      <c r="Y131" s="12" t="str">
        <f>VLOOKUP($D131,global_toc!$C:$K,8,FALSE)</f>
        <v>11OCT17XA</v>
      </c>
      <c r="Z131" s="12">
        <f>VLOOKUP($D131,global_toc!$C:$K,9,FALSE)</f>
        <v>5029</v>
      </c>
      <c r="AA131" s="19" t="str">
        <f t="shared" si="3"/>
        <v>Group delay ambiguity spacing</v>
      </c>
    </row>
    <row r="132" spans="1:27" x14ac:dyDescent="0.2">
      <c r="A132" s="12">
        <v>335</v>
      </c>
      <c r="B132" s="12">
        <v>2</v>
      </c>
      <c r="C132" s="12" t="str">
        <f t="shared" si="2"/>
        <v>Baseline</v>
      </c>
      <c r="D132" s="14" t="s">
        <v>974</v>
      </c>
      <c r="E132" s="12">
        <v>4</v>
      </c>
      <c r="F132" s="12">
        <v>2</v>
      </c>
      <c r="G132" s="12">
        <v>1</v>
      </c>
      <c r="H132" s="12" t="s">
        <v>589</v>
      </c>
      <c r="I132" s="12">
        <v>1</v>
      </c>
      <c r="J132" s="12" t="s">
        <v>1315</v>
      </c>
      <c r="K132" s="12" t="s">
        <v>1707</v>
      </c>
      <c r="L132" s="23" t="s">
        <v>1342</v>
      </c>
      <c r="M132" s="13" t="s">
        <v>1464</v>
      </c>
      <c r="N132" s="13" t="s">
        <v>1477</v>
      </c>
      <c r="O132" s="12" t="s">
        <v>2112</v>
      </c>
      <c r="P132" s="12" t="s">
        <v>1457</v>
      </c>
      <c r="Q132" s="12" t="s">
        <v>1342</v>
      </c>
      <c r="R132" s="13" t="s">
        <v>1457</v>
      </c>
      <c r="S132" s="13" t="s">
        <v>1342</v>
      </c>
      <c r="T132" s="23" t="s">
        <v>1342</v>
      </c>
      <c r="U132" s="13" t="s">
        <v>1342</v>
      </c>
      <c r="V132" s="13" t="s">
        <v>1342</v>
      </c>
      <c r="W132" s="13" t="s">
        <v>1342</v>
      </c>
      <c r="X132" s="12" t="str">
        <f>VLOOKUP($D132,global_toc!$C:$K,7,FALSE)</f>
        <v>79AUG03XX</v>
      </c>
      <c r="Y132" s="12" t="str">
        <f>VLOOKUP($D132,global_toc!$C:$K,8,FALSE)</f>
        <v>11OCT17XA</v>
      </c>
      <c r="Z132" s="12">
        <f>VLOOKUP($D132,global_toc!$C:$K,9,FALSE)</f>
        <v>5029</v>
      </c>
      <c r="AA132" s="19" t="str">
        <f t="shared" si="3"/>
        <v>Ref and rem site names.</v>
      </c>
    </row>
    <row r="133" spans="1:27" x14ac:dyDescent="0.2">
      <c r="A133" s="12">
        <v>366</v>
      </c>
      <c r="B133" s="12">
        <v>2</v>
      </c>
      <c r="C133" s="12" t="str">
        <f t="shared" ref="C133:C196" si="8">IF(R133="-",D133,R133)</f>
        <v>Correlation</v>
      </c>
      <c r="D133" s="14" t="s">
        <v>916</v>
      </c>
      <c r="E133" s="12">
        <v>1</v>
      </c>
      <c r="F133" s="12">
        <v>1</v>
      </c>
      <c r="G133" s="12">
        <v>1</v>
      </c>
      <c r="H133" s="12" t="s">
        <v>447</v>
      </c>
      <c r="I133" s="12">
        <v>4</v>
      </c>
      <c r="J133" s="12" t="s">
        <v>917</v>
      </c>
      <c r="K133" s="12" t="s">
        <v>1347</v>
      </c>
      <c r="L133" s="23" t="s">
        <v>1342</v>
      </c>
      <c r="M133" s="13" t="s">
        <v>1464</v>
      </c>
      <c r="N133" s="13" t="s">
        <v>1490</v>
      </c>
      <c r="O133" s="12" t="s">
        <v>2112</v>
      </c>
      <c r="P133" s="12" t="s">
        <v>2190</v>
      </c>
      <c r="Q133" s="12" t="s">
        <v>1342</v>
      </c>
      <c r="R133" s="13" t="s">
        <v>2191</v>
      </c>
      <c r="S133" s="13" t="s">
        <v>1342</v>
      </c>
      <c r="T133" s="23" t="s">
        <v>1342</v>
      </c>
      <c r="U133" s="13" t="s">
        <v>1342</v>
      </c>
      <c r="V133" s="13" t="s">
        <v>1342</v>
      </c>
      <c r="W133" s="13" t="s">
        <v>1342</v>
      </c>
      <c r="X133" s="12" t="str">
        <f>VLOOKUP($D133,global_toc!$C:$K,7,FALSE)</f>
        <v>82JUN21X_</v>
      </c>
      <c r="Y133" s="12" t="str">
        <f>VLOOKUP($D133,global_toc!$C:$K,8,FALSE)</f>
        <v>11OCT17XA</v>
      </c>
      <c r="Z133" s="12">
        <f>VLOOKUP($D133,global_toc!$C:$K,9,FALSE)</f>
        <v>2121</v>
      </c>
      <c r="AA133" s="19" t="str">
        <f t="shared" ref="AA133:AA196" si="9">IF(T133="-",J133,T133)</f>
        <v>Corr coeff (0 --&gt; 1) for S-band</v>
      </c>
    </row>
    <row r="134" spans="1:27" x14ac:dyDescent="0.2">
      <c r="A134" s="12">
        <v>369</v>
      </c>
      <c r="B134" s="12">
        <v>2</v>
      </c>
      <c r="C134" s="12" t="str">
        <f t="shared" si="8"/>
        <v>Correlation</v>
      </c>
      <c r="D134" s="14" t="s">
        <v>739</v>
      </c>
      <c r="E134" s="12">
        <v>1</v>
      </c>
      <c r="F134" s="12">
        <v>1</v>
      </c>
      <c r="G134" s="12">
        <v>1</v>
      </c>
      <c r="H134" s="12" t="s">
        <v>447</v>
      </c>
      <c r="I134" s="12">
        <v>1</v>
      </c>
      <c r="J134" s="12" t="s">
        <v>2341</v>
      </c>
      <c r="K134" s="12" t="s">
        <v>1347</v>
      </c>
      <c r="L134" s="23" t="s">
        <v>1342</v>
      </c>
      <c r="M134" s="13" t="s">
        <v>1464</v>
      </c>
      <c r="N134" s="13" t="s">
        <v>1490</v>
      </c>
      <c r="O134" s="12" t="s">
        <v>2112</v>
      </c>
      <c r="P134" s="12" t="s">
        <v>2192</v>
      </c>
      <c r="Q134" s="12" t="s">
        <v>1342</v>
      </c>
      <c r="R134" s="13" t="s">
        <v>2191</v>
      </c>
      <c r="S134" s="13" t="s">
        <v>1342</v>
      </c>
      <c r="T134" s="23" t="s">
        <v>1342</v>
      </c>
      <c r="U134" s="13" t="s">
        <v>1342</v>
      </c>
      <c r="V134" s="13" t="s">
        <v>1342</v>
      </c>
      <c r="W134" s="13" t="s">
        <v>1342</v>
      </c>
      <c r="X134" s="12" t="str">
        <f>VLOOKUP($D134,global_toc!$C:$K,7,FALSE)</f>
        <v>79AUG03XX</v>
      </c>
      <c r="Y134" s="12" t="str">
        <f>VLOOKUP($D134,global_toc!$C:$K,8,FALSE)</f>
        <v>11OCT17XA</v>
      </c>
      <c r="Z134" s="12">
        <f>VLOOKUP($D134,global_toc!$C:$K,9,FALSE)</f>
        <v>5029</v>
      </c>
      <c r="AA134" s="19" t="str">
        <f t="shared" si="9"/>
        <v>Corr coeff (0 --&gt; 1).</v>
      </c>
    </row>
    <row r="135" spans="1:27" ht="12" customHeight="1" x14ac:dyDescent="0.2">
      <c r="A135" s="12">
        <v>382</v>
      </c>
      <c r="B135" s="12">
        <v>3</v>
      </c>
      <c r="C135" s="12" t="str">
        <f t="shared" si="8"/>
        <v>ABASACCE</v>
      </c>
      <c r="D135" s="14" t="s">
        <v>990</v>
      </c>
      <c r="E135" s="12">
        <v>1</v>
      </c>
      <c r="F135" s="12">
        <v>1</v>
      </c>
      <c r="G135" s="12">
        <v>1</v>
      </c>
      <c r="H135" s="12" t="s">
        <v>447</v>
      </c>
      <c r="I135" s="12">
        <v>1</v>
      </c>
      <c r="J135" s="12" t="s">
        <v>2284</v>
      </c>
      <c r="K135" s="12" t="s">
        <v>1347</v>
      </c>
      <c r="L135" s="23" t="s">
        <v>1342</v>
      </c>
      <c r="M135" s="13" t="s">
        <v>1464</v>
      </c>
      <c r="N135" s="13" t="s">
        <v>1342</v>
      </c>
      <c r="O135" s="12" t="s">
        <v>2112</v>
      </c>
      <c r="P135" s="12" t="s">
        <v>2180</v>
      </c>
      <c r="Q135" s="12" t="s">
        <v>1342</v>
      </c>
      <c r="R135" s="13" t="s">
        <v>1342</v>
      </c>
      <c r="S135" s="13" t="s">
        <v>1342</v>
      </c>
      <c r="T135" s="23" t="s">
        <v>1342</v>
      </c>
      <c r="U135" s="13" t="s">
        <v>1342</v>
      </c>
      <c r="V135" s="13" t="s">
        <v>1342</v>
      </c>
      <c r="W135" s="13" t="s">
        <v>1342</v>
      </c>
      <c r="X135" s="12" t="str">
        <f>VLOOKUP($D135,global_toc!$C:$K,7,FALSE)</f>
        <v>97DEC03XN</v>
      </c>
      <c r="Y135" s="12" t="str">
        <f>VLOOKUP($D135,global_toc!$C:$K,8,FALSE)</f>
        <v>11OCT17XA</v>
      </c>
      <c r="Z135" s="12">
        <f>VLOOKUP($D135,global_toc!$C:$K,9,FALSE)</f>
        <v>1651</v>
      </c>
      <c r="AA135" s="19" t="str">
        <f t="shared" si="9"/>
        <v>Corel bas/apr accel (1/sec**2).</v>
      </c>
    </row>
    <row r="136" spans="1:27" ht="12" customHeight="1" x14ac:dyDescent="0.2">
      <c r="A136" s="12">
        <v>383</v>
      </c>
      <c r="B136" s="12">
        <v>3</v>
      </c>
      <c r="C136" s="12" t="str">
        <f t="shared" si="8"/>
        <v>ABASDEL</v>
      </c>
      <c r="D136" s="14" t="s">
        <v>992</v>
      </c>
      <c r="E136" s="12">
        <v>1</v>
      </c>
      <c r="F136" s="12">
        <v>1</v>
      </c>
      <c r="G136" s="12">
        <v>1</v>
      </c>
      <c r="H136" s="12" t="s">
        <v>447</v>
      </c>
      <c r="I136" s="12">
        <v>1</v>
      </c>
      <c r="J136" s="12" t="s">
        <v>2316</v>
      </c>
      <c r="K136" s="12" t="s">
        <v>1347</v>
      </c>
      <c r="L136" s="23" t="s">
        <v>1342</v>
      </c>
      <c r="M136" s="13" t="s">
        <v>1464</v>
      </c>
      <c r="N136" s="13" t="s">
        <v>1342</v>
      </c>
      <c r="O136" s="12" t="s">
        <v>2112</v>
      </c>
      <c r="P136" s="12" t="s">
        <v>2180</v>
      </c>
      <c r="Q136" s="12" t="s">
        <v>1342</v>
      </c>
      <c r="R136" s="13" t="s">
        <v>1342</v>
      </c>
      <c r="S136" s="13" t="s">
        <v>1342</v>
      </c>
      <c r="T136" s="23" t="s">
        <v>1342</v>
      </c>
      <c r="U136" s="13" t="s">
        <v>1342</v>
      </c>
      <c r="V136" s="13" t="s">
        <v>1342</v>
      </c>
      <c r="W136" s="13" t="s">
        <v>1342</v>
      </c>
      <c r="X136" s="12" t="str">
        <f>VLOOKUP($D136,global_toc!$C:$K,7,FALSE)</f>
        <v>97DEC03XN</v>
      </c>
      <c r="Y136" s="12" t="str">
        <f>VLOOKUP($D136,global_toc!$C:$K,8,FALSE)</f>
        <v>11OCT17XA</v>
      </c>
      <c r="Z136" s="12">
        <f>VLOOKUP($D136,global_toc!$C:$K,9,FALSE)</f>
        <v>1651</v>
      </c>
      <c r="AA136" s="19" t="str">
        <f t="shared" si="9"/>
        <v>Corel bas/apr delay (sec).</v>
      </c>
    </row>
    <row r="137" spans="1:27" x14ac:dyDescent="0.2">
      <c r="A137" s="12">
        <v>384</v>
      </c>
      <c r="B137" s="12">
        <v>3</v>
      </c>
      <c r="C137" s="12" t="str">
        <f t="shared" si="8"/>
        <v>ABASRATE</v>
      </c>
      <c r="D137" s="14" t="s">
        <v>994</v>
      </c>
      <c r="E137" s="12">
        <v>1</v>
      </c>
      <c r="F137" s="12">
        <v>1</v>
      </c>
      <c r="G137" s="12">
        <v>1</v>
      </c>
      <c r="H137" s="12" t="s">
        <v>447</v>
      </c>
      <c r="I137" s="12">
        <v>1</v>
      </c>
      <c r="J137" s="12" t="s">
        <v>2285</v>
      </c>
      <c r="K137" s="12" t="s">
        <v>1347</v>
      </c>
      <c r="L137" s="23" t="s">
        <v>1342</v>
      </c>
      <c r="M137" s="13" t="s">
        <v>1464</v>
      </c>
      <c r="N137" s="13" t="s">
        <v>1342</v>
      </c>
      <c r="O137" s="12" t="s">
        <v>2112</v>
      </c>
      <c r="P137" s="12" t="s">
        <v>2180</v>
      </c>
      <c r="Q137" s="12" t="s">
        <v>1342</v>
      </c>
      <c r="R137" s="13" t="s">
        <v>1342</v>
      </c>
      <c r="S137" s="13" t="s">
        <v>1342</v>
      </c>
      <c r="T137" s="23" t="s">
        <v>1342</v>
      </c>
      <c r="U137" s="13" t="s">
        <v>1342</v>
      </c>
      <c r="V137" s="13" t="s">
        <v>1342</v>
      </c>
      <c r="W137" s="13" t="s">
        <v>1342</v>
      </c>
      <c r="X137" s="12" t="str">
        <f>VLOOKUP($D137,global_toc!$C:$K,7,FALSE)</f>
        <v>97DEC03XN</v>
      </c>
      <c r="Y137" s="12" t="str">
        <f>VLOOKUP($D137,global_toc!$C:$K,8,FALSE)</f>
        <v>11OCT17XA</v>
      </c>
      <c r="Z137" s="12">
        <f>VLOOKUP($D137,global_toc!$C:$K,9,FALSE)</f>
        <v>1651</v>
      </c>
      <c r="AA137" s="19" t="str">
        <f t="shared" si="9"/>
        <v>Corel bas/apr delay rate (s/s).</v>
      </c>
    </row>
    <row r="138" spans="1:27" x14ac:dyDescent="0.2">
      <c r="A138" s="12">
        <v>386</v>
      </c>
      <c r="B138" s="12">
        <v>3</v>
      </c>
      <c r="C138" s="12" t="str">
        <f t="shared" si="8"/>
        <v>APCLOFST</v>
      </c>
      <c r="D138" s="14" t="s">
        <v>1405</v>
      </c>
      <c r="E138" s="12">
        <v>1</v>
      </c>
      <c r="F138" s="12">
        <v>1</v>
      </c>
      <c r="G138" s="12">
        <v>1</v>
      </c>
      <c r="H138" s="12" t="s">
        <v>447</v>
      </c>
      <c r="I138" s="12" t="s">
        <v>1672</v>
      </c>
      <c r="J138" s="12" t="s">
        <v>2301</v>
      </c>
      <c r="K138" s="12" t="s">
        <v>1347</v>
      </c>
      <c r="L138" s="23" t="s">
        <v>1342</v>
      </c>
      <c r="M138" s="13" t="s">
        <v>1464</v>
      </c>
      <c r="N138" s="13" t="s">
        <v>1342</v>
      </c>
      <c r="O138" s="12" t="s">
        <v>2112</v>
      </c>
      <c r="P138" s="12" t="s">
        <v>2180</v>
      </c>
      <c r="Q138" s="12" t="s">
        <v>1342</v>
      </c>
      <c r="R138" s="13" t="s">
        <v>1342</v>
      </c>
      <c r="S138" s="13" t="s">
        <v>1342</v>
      </c>
      <c r="T138" s="23" t="s">
        <v>1342</v>
      </c>
      <c r="U138" s="13" t="s">
        <v>1342</v>
      </c>
      <c r="V138" s="13" t="s">
        <v>1342</v>
      </c>
      <c r="W138" s="13" t="s">
        <v>1342</v>
      </c>
      <c r="X138" s="12" t="str">
        <f>VLOOKUP($D138,global_toc!$C:$K,7,FALSE)</f>
        <v>80JUL26X_</v>
      </c>
      <c r="Y138" s="12" t="str">
        <f>VLOOKUP($D138,global_toc!$C:$K,8,FALSE)</f>
        <v>11JUN23XF</v>
      </c>
      <c r="Z138" s="12">
        <f>VLOOKUP($D138,global_toc!$C:$K,9,FALSE)</f>
        <v>820</v>
      </c>
      <c r="AA138" s="19" t="str">
        <f t="shared" si="9"/>
        <v xml:space="preserve">Apriori clock offset microsec. </v>
      </c>
    </row>
    <row r="139" spans="1:27" ht="13.5" customHeight="1" x14ac:dyDescent="0.2">
      <c r="A139" s="12">
        <v>387</v>
      </c>
      <c r="B139" s="12">
        <v>3</v>
      </c>
      <c r="C139" s="12" t="str">
        <f t="shared" si="8"/>
        <v>AUTOEDIT</v>
      </c>
      <c r="D139" s="14" t="s">
        <v>100</v>
      </c>
      <c r="E139" s="12">
        <v>1</v>
      </c>
      <c r="F139" s="12">
        <v>1</v>
      </c>
      <c r="G139" s="12">
        <v>1</v>
      </c>
      <c r="H139" s="12" t="s">
        <v>544</v>
      </c>
      <c r="I139" s="12" t="s">
        <v>1672</v>
      </c>
      <c r="J139" s="12" t="s">
        <v>2302</v>
      </c>
      <c r="K139" s="12" t="s">
        <v>1347</v>
      </c>
      <c r="L139" s="23" t="s">
        <v>1342</v>
      </c>
      <c r="M139" s="13" t="s">
        <v>1464</v>
      </c>
      <c r="N139" s="13" t="s">
        <v>1342</v>
      </c>
      <c r="O139" s="12" t="s">
        <v>2112</v>
      </c>
      <c r="P139" s="12" t="s">
        <v>2180</v>
      </c>
      <c r="Q139" s="12" t="s">
        <v>1342</v>
      </c>
      <c r="R139" s="13" t="s">
        <v>1342</v>
      </c>
      <c r="S139" s="13" t="s">
        <v>1342</v>
      </c>
      <c r="T139" s="23" t="s">
        <v>1342</v>
      </c>
      <c r="U139" s="13" t="s">
        <v>1342</v>
      </c>
      <c r="V139" s="13" t="s">
        <v>1342</v>
      </c>
      <c r="W139" s="13" t="s">
        <v>1342</v>
      </c>
      <c r="X139" s="12" t="str">
        <f>VLOOKUP($D139,global_toc!$C:$K,7,FALSE)</f>
        <v>79AUG03XX</v>
      </c>
      <c r="Y139" s="12" t="str">
        <f>VLOOKUP($D139,global_toc!$C:$K,8,FALSE)</f>
        <v>10DEC07XA</v>
      </c>
      <c r="Z139" s="12">
        <f>VLOOKUP($D139,global_toc!$C:$K,9,FALSE)</f>
        <v>3068</v>
      </c>
      <c r="AA139" s="19" t="str">
        <f t="shared" si="9"/>
        <v xml:space="preserve">1=Run resulted from AUTOEDIT. </v>
      </c>
    </row>
    <row r="140" spans="1:27" x14ac:dyDescent="0.2">
      <c r="A140" s="12">
        <v>388</v>
      </c>
      <c r="B140" s="12">
        <v>2</v>
      </c>
      <c r="C140" s="12" t="str">
        <f t="shared" si="8"/>
        <v>BBCIndex</v>
      </c>
      <c r="D140" s="14" t="s">
        <v>944</v>
      </c>
      <c r="E140" s="12">
        <v>2</v>
      </c>
      <c r="F140" s="12">
        <v>16</v>
      </c>
      <c r="G140" s="12">
        <v>1</v>
      </c>
      <c r="H140" s="12" t="s">
        <v>544</v>
      </c>
      <c r="I140" s="12">
        <v>1</v>
      </c>
      <c r="J140" s="12" t="s">
        <v>2286</v>
      </c>
      <c r="K140" s="12" t="s">
        <v>1347</v>
      </c>
      <c r="L140" s="23" t="s">
        <v>1342</v>
      </c>
      <c r="M140" s="13" t="s">
        <v>1464</v>
      </c>
      <c r="N140" s="13" t="s">
        <v>1342</v>
      </c>
      <c r="O140" s="12" t="s">
        <v>2112</v>
      </c>
      <c r="P140" s="12" t="s">
        <v>2180</v>
      </c>
      <c r="Q140" s="12" t="s">
        <v>1342</v>
      </c>
      <c r="R140" s="13" t="s">
        <v>1538</v>
      </c>
      <c r="S140" s="13" t="s">
        <v>1342</v>
      </c>
      <c r="T140" s="23" t="s">
        <v>1342</v>
      </c>
      <c r="U140" s="13" t="s">
        <v>1342</v>
      </c>
      <c r="V140" s="13" t="s">
        <v>1342</v>
      </c>
      <c r="W140" s="13" t="s">
        <v>1342</v>
      </c>
      <c r="X140" s="12" t="str">
        <f>VLOOKUP($D140,global_toc!$C:$K,7,FALSE)</f>
        <v>97DEC03XN</v>
      </c>
      <c r="Y140" s="12" t="str">
        <f>VLOOKUP($D140,global_toc!$C:$K,8,FALSE)</f>
        <v>11OCT17XA</v>
      </c>
      <c r="Z140" s="12">
        <f>VLOOKUP($D140,global_toc!$C:$K,9,FALSE)</f>
        <v>1651</v>
      </c>
      <c r="AA140" s="19" t="str">
        <f t="shared" si="9"/>
        <v>Physical BBC number by channel.</v>
      </c>
    </row>
    <row r="141" spans="1:27" x14ac:dyDescent="0.2">
      <c r="A141" s="12">
        <v>389</v>
      </c>
      <c r="B141" s="12">
        <v>2</v>
      </c>
      <c r="C141" s="12" t="str">
        <f t="shared" si="8"/>
        <v>BITSAMPL</v>
      </c>
      <c r="D141" s="14" t="s">
        <v>1568</v>
      </c>
      <c r="E141" s="12">
        <v>1</v>
      </c>
      <c r="F141" s="12">
        <v>1</v>
      </c>
      <c r="G141" s="12">
        <v>1</v>
      </c>
      <c r="H141" s="12" t="s">
        <v>544</v>
      </c>
      <c r="I141" s="12"/>
      <c r="J141" s="12" t="s">
        <v>2317</v>
      </c>
      <c r="K141" s="12" t="s">
        <v>1347</v>
      </c>
      <c r="L141" s="23" t="s">
        <v>1342</v>
      </c>
      <c r="M141" s="13" t="s">
        <v>1464</v>
      </c>
      <c r="N141" s="13" t="s">
        <v>1342</v>
      </c>
      <c r="O141" s="12" t="s">
        <v>2112</v>
      </c>
      <c r="P141" s="12" t="s">
        <v>2180</v>
      </c>
      <c r="Q141" s="12" t="s">
        <v>1342</v>
      </c>
      <c r="R141" s="13" t="s">
        <v>1342</v>
      </c>
      <c r="S141" s="13" t="s">
        <v>1342</v>
      </c>
      <c r="T141" s="23" t="s">
        <v>1342</v>
      </c>
      <c r="U141" s="13" t="s">
        <v>1342</v>
      </c>
      <c r="V141" s="13" t="s">
        <v>1342</v>
      </c>
      <c r="W141" s="13" t="s">
        <v>1342</v>
      </c>
      <c r="X141" s="12" t="str">
        <f>VLOOKUP($D141,global_toc!$C:$K,7,FALSE)</f>
        <v>04MAY12XA</v>
      </c>
      <c r="Y141" s="12" t="str">
        <f>VLOOKUP($D141,global_toc!$C:$K,8,FALSE)</f>
        <v>11OCT17XA</v>
      </c>
      <c r="Z141" s="12">
        <f>VLOOKUP($D141,global_toc!$C:$K,9,FALSE)</f>
        <v>600</v>
      </c>
      <c r="AA141" s="19" t="str">
        <f t="shared" si="9"/>
        <v xml:space="preserve">Number of bits per sample. </v>
      </c>
    </row>
    <row r="142" spans="1:27" x14ac:dyDescent="0.2">
      <c r="A142" s="12">
        <v>385</v>
      </c>
      <c r="B142" s="12">
        <v>2</v>
      </c>
      <c r="C142" s="12" t="str">
        <f t="shared" si="8"/>
        <v>ChanAmpPhase</v>
      </c>
      <c r="D142" s="14" t="s">
        <v>737</v>
      </c>
      <c r="E142" s="12">
        <v>2</v>
      </c>
      <c r="F142" s="12">
        <v>16</v>
      </c>
      <c r="G142" s="12">
        <v>1</v>
      </c>
      <c r="H142" s="12" t="s">
        <v>447</v>
      </c>
      <c r="I142" s="12">
        <v>1</v>
      </c>
      <c r="J142" s="12" t="s">
        <v>1690</v>
      </c>
      <c r="K142" s="12" t="s">
        <v>1347</v>
      </c>
      <c r="L142" s="23" t="s">
        <v>1342</v>
      </c>
      <c r="M142" s="13" t="s">
        <v>1464</v>
      </c>
      <c r="N142" s="13" t="s">
        <v>1342</v>
      </c>
      <c r="O142" s="12" t="s">
        <v>2112</v>
      </c>
      <c r="P142" s="12" t="s">
        <v>2180</v>
      </c>
      <c r="Q142" s="12" t="s">
        <v>1342</v>
      </c>
      <c r="R142" s="13" t="s">
        <v>1540</v>
      </c>
      <c r="S142" s="13" t="s">
        <v>1342</v>
      </c>
      <c r="T142" s="23" t="s">
        <v>1342</v>
      </c>
      <c r="U142" s="13" t="s">
        <v>1342</v>
      </c>
      <c r="V142" s="13" t="s">
        <v>1342</v>
      </c>
      <c r="W142" s="13" t="s">
        <v>1342</v>
      </c>
      <c r="X142" s="12" t="str">
        <f>VLOOKUP($D142,global_toc!$C:$K,7,FALSE)</f>
        <v>79AUG03XX</v>
      </c>
      <c r="Y142" s="12" t="str">
        <f>VLOOKUP($D142,global_toc!$C:$K,8,FALSE)</f>
        <v>11OCT17XA</v>
      </c>
      <c r="Z142" s="12">
        <f>VLOOKUP($D142,global_toc!$C:$K,9,FALSE)</f>
        <v>4979</v>
      </c>
      <c r="AA142" s="19" t="str">
        <f t="shared" si="9"/>
        <v>Amp(0-1)  phs by chan(-180to180)</v>
      </c>
    </row>
    <row r="143" spans="1:27" x14ac:dyDescent="0.2">
      <c r="A143" s="12">
        <v>437</v>
      </c>
      <c r="B143" s="12">
        <v>2</v>
      </c>
      <c r="C143" s="12" t="str">
        <f t="shared" si="8"/>
        <v>ChannelFreq</v>
      </c>
      <c r="D143" s="14" t="s">
        <v>767</v>
      </c>
      <c r="E143" s="12">
        <v>16</v>
      </c>
      <c r="F143" s="12">
        <v>1</v>
      </c>
      <c r="G143" s="12">
        <v>1</v>
      </c>
      <c r="H143" s="12" t="s">
        <v>447</v>
      </c>
      <c r="I143" s="12">
        <v>1</v>
      </c>
      <c r="J143" s="12" t="s">
        <v>2318</v>
      </c>
      <c r="K143" s="12" t="s">
        <v>1347</v>
      </c>
      <c r="L143" s="23" t="s">
        <v>1342</v>
      </c>
      <c r="M143" s="13" t="s">
        <v>1464</v>
      </c>
      <c r="N143" s="13" t="s">
        <v>1342</v>
      </c>
      <c r="O143" s="12" t="s">
        <v>2112</v>
      </c>
      <c r="P143" s="12" t="s">
        <v>2180</v>
      </c>
      <c r="Q143" s="12" t="s">
        <v>1342</v>
      </c>
      <c r="R143" s="13" t="s">
        <v>1544</v>
      </c>
      <c r="S143" s="13" t="s">
        <v>1342</v>
      </c>
      <c r="T143" s="23" t="s">
        <v>1342</v>
      </c>
      <c r="U143" s="13" t="s">
        <v>1342</v>
      </c>
      <c r="V143" s="13" t="s">
        <v>1632</v>
      </c>
      <c r="W143" s="13" t="s">
        <v>1342</v>
      </c>
      <c r="X143" s="12" t="str">
        <f>VLOOKUP($D143,global_toc!$C:$K,7,FALSE)</f>
        <v>79AUG03XX</v>
      </c>
      <c r="Y143" s="12" t="str">
        <f>VLOOKUP($D143,global_toc!$C:$K,8,FALSE)</f>
        <v>11OCT17XA</v>
      </c>
      <c r="Z143" s="12">
        <f>VLOOKUP($D143,global_toc!$C:$K,9,FALSE)</f>
        <v>5029</v>
      </c>
      <c r="AA143" s="19" t="str">
        <f t="shared" si="9"/>
        <v>RF freq by channel (MHz).</v>
      </c>
    </row>
    <row r="144" spans="1:27" x14ac:dyDescent="0.2">
      <c r="A144" s="12">
        <v>391</v>
      </c>
      <c r="B144" s="12">
        <v>3</v>
      </c>
      <c r="C144" s="12" t="str">
        <f t="shared" si="8"/>
        <v>ChannelID</v>
      </c>
      <c r="D144" s="14" t="s">
        <v>1048</v>
      </c>
      <c r="E144" s="12">
        <v>16</v>
      </c>
      <c r="F144" s="12">
        <v>1</v>
      </c>
      <c r="G144" s="12">
        <v>1</v>
      </c>
      <c r="H144" s="12" t="s">
        <v>589</v>
      </c>
      <c r="I144" s="12">
        <v>1</v>
      </c>
      <c r="J144" s="12" t="s">
        <v>1339</v>
      </c>
      <c r="K144" s="12" t="s">
        <v>1347</v>
      </c>
      <c r="L144" s="23" t="s">
        <v>1342</v>
      </c>
      <c r="M144" s="13" t="s">
        <v>1464</v>
      </c>
      <c r="N144" s="13" t="s">
        <v>1342</v>
      </c>
      <c r="O144" s="12" t="s">
        <v>2112</v>
      </c>
      <c r="P144" s="12" t="s">
        <v>2180</v>
      </c>
      <c r="Q144" s="12" t="s">
        <v>1342</v>
      </c>
      <c r="R144" s="13" t="s">
        <v>1545</v>
      </c>
      <c r="S144" s="13" t="s">
        <v>1342</v>
      </c>
      <c r="T144" s="23" t="s">
        <v>1342</v>
      </c>
      <c r="U144" s="13" t="s">
        <v>1342</v>
      </c>
      <c r="V144" s="13" t="s">
        <v>1342</v>
      </c>
      <c r="W144" s="13" t="s">
        <v>1342</v>
      </c>
      <c r="X144" s="12" t="str">
        <f>VLOOKUP($D144,global_toc!$C:$K,7,FALSE)</f>
        <v>97DEC03XN</v>
      </c>
      <c r="Y144" s="12" t="str">
        <f>VLOOKUP($D144,global_toc!$C:$K,8,FALSE)</f>
        <v>11OCT17XA</v>
      </c>
      <c r="Z144" s="12">
        <f>VLOOKUP($D144,global_toc!$C:$K,9,FALSE)</f>
        <v>1651</v>
      </c>
      <c r="AA144" s="19" t="str">
        <f t="shared" si="9"/>
        <v>One-letter Fourfit channel ID.</v>
      </c>
    </row>
    <row r="145" spans="1:27" x14ac:dyDescent="0.2">
      <c r="A145" s="12">
        <v>392</v>
      </c>
      <c r="B145" s="12">
        <v>3</v>
      </c>
      <c r="C145" s="12" t="str">
        <f t="shared" si="8"/>
        <v>CORBASCD</v>
      </c>
      <c r="D145" s="14" t="s">
        <v>1050</v>
      </c>
      <c r="E145" s="12">
        <v>1</v>
      </c>
      <c r="F145" s="12">
        <v>1</v>
      </c>
      <c r="G145" s="12">
        <v>1</v>
      </c>
      <c r="H145" s="12" t="s">
        <v>589</v>
      </c>
      <c r="I145" s="12">
        <v>1</v>
      </c>
      <c r="J145" s="12" t="s">
        <v>1051</v>
      </c>
      <c r="K145" s="12" t="s">
        <v>1347</v>
      </c>
      <c r="L145" s="23" t="s">
        <v>1342</v>
      </c>
      <c r="M145" s="13" t="s">
        <v>1464</v>
      </c>
      <c r="N145" s="13" t="s">
        <v>1342</v>
      </c>
      <c r="O145" s="12" t="s">
        <v>2112</v>
      </c>
      <c r="P145" s="12" t="s">
        <v>2180</v>
      </c>
      <c r="Q145" s="12" t="s">
        <v>1342</v>
      </c>
      <c r="R145" s="13" t="s">
        <v>1342</v>
      </c>
      <c r="S145" s="13" t="s">
        <v>1342</v>
      </c>
      <c r="T145" s="23" t="s">
        <v>1342</v>
      </c>
      <c r="U145" s="13" t="s">
        <v>1342</v>
      </c>
      <c r="V145" s="13" t="s">
        <v>1342</v>
      </c>
      <c r="W145" s="13" t="s">
        <v>1342</v>
      </c>
      <c r="X145" s="12" t="str">
        <f>VLOOKUP($D145,global_toc!$C:$K,7,FALSE)</f>
        <v>80SEP28X_</v>
      </c>
      <c r="Y145" s="12" t="str">
        <f>VLOOKUP($D145,global_toc!$C:$K,8,FALSE)</f>
        <v>82OCT25X_</v>
      </c>
      <c r="Z145" s="12">
        <f>VLOOKUP($D145,global_toc!$C:$K,9,FALSE)</f>
        <v>43</v>
      </c>
      <c r="AA145" s="19" t="str">
        <f t="shared" si="9"/>
        <v>Correlator baseline code (2 ch).</v>
      </c>
    </row>
    <row r="146" spans="1:27" x14ac:dyDescent="0.2">
      <c r="A146" s="12">
        <v>393</v>
      </c>
      <c r="B146" s="12">
        <v>3</v>
      </c>
      <c r="C146" s="12" t="str">
        <f t="shared" si="8"/>
        <v>CORBASNO</v>
      </c>
      <c r="D146" s="14" t="s">
        <v>57</v>
      </c>
      <c r="E146" s="12">
        <v>1</v>
      </c>
      <c r="F146" s="12">
        <v>1</v>
      </c>
      <c r="G146" s="12">
        <v>1</v>
      </c>
      <c r="H146" s="12" t="s">
        <v>544</v>
      </c>
      <c r="I146" s="12" t="s">
        <v>1672</v>
      </c>
      <c r="J146" s="12" t="s">
        <v>2319</v>
      </c>
      <c r="K146" s="12" t="s">
        <v>1347</v>
      </c>
      <c r="L146" s="23" t="s">
        <v>1342</v>
      </c>
      <c r="M146" s="13" t="s">
        <v>1464</v>
      </c>
      <c r="N146" s="13" t="s">
        <v>1342</v>
      </c>
      <c r="O146" s="12" t="s">
        <v>2112</v>
      </c>
      <c r="P146" s="12" t="s">
        <v>2180</v>
      </c>
      <c r="Q146" s="12" t="s">
        <v>1342</v>
      </c>
      <c r="R146" s="13" t="s">
        <v>1342</v>
      </c>
      <c r="S146" s="13" t="s">
        <v>1342</v>
      </c>
      <c r="T146" s="23" t="s">
        <v>1342</v>
      </c>
      <c r="U146" s="13" t="s">
        <v>1342</v>
      </c>
      <c r="V146" s="13" t="s">
        <v>1342</v>
      </c>
      <c r="W146" s="13" t="s">
        <v>1342</v>
      </c>
      <c r="X146" s="12" t="str">
        <f>VLOOKUP($D146,global_toc!$C:$K,7,FALSE)</f>
        <v>80SEP28X_</v>
      </c>
      <c r="Y146" s="12" t="str">
        <f>VLOOKUP($D146,global_toc!$C:$K,8,FALSE)</f>
        <v>82OCT25X_</v>
      </c>
      <c r="Z146" s="12">
        <f>VLOOKUP($D146,global_toc!$C:$K,9,FALSE)</f>
        <v>43</v>
      </c>
      <c r="AA146" s="19" t="str">
        <f t="shared" si="9"/>
        <v xml:space="preserve">Correlator baseline number. </v>
      </c>
    </row>
    <row r="147" spans="1:27" x14ac:dyDescent="0.2">
      <c r="A147" s="12">
        <v>394</v>
      </c>
      <c r="B147" s="12">
        <v>3</v>
      </c>
      <c r="C147" s="12" t="str">
        <f t="shared" si="8"/>
        <v>CORCLOCK</v>
      </c>
      <c r="D147" s="14" t="s">
        <v>996</v>
      </c>
      <c r="E147" s="12">
        <v>2</v>
      </c>
      <c r="F147" s="12">
        <v>2</v>
      </c>
      <c r="G147" s="12">
        <v>1</v>
      </c>
      <c r="H147" s="12" t="s">
        <v>447</v>
      </c>
      <c r="I147" s="12">
        <v>1</v>
      </c>
      <c r="J147" s="12" t="s">
        <v>997</v>
      </c>
      <c r="K147" s="12" t="s">
        <v>1347</v>
      </c>
      <c r="L147" s="23" t="s">
        <v>1342</v>
      </c>
      <c r="M147" s="13" t="s">
        <v>1464</v>
      </c>
      <c r="N147" s="13" t="s">
        <v>1342</v>
      </c>
      <c r="O147" s="12" t="s">
        <v>2112</v>
      </c>
      <c r="P147" s="12" t="s">
        <v>2180</v>
      </c>
      <c r="Q147" s="12" t="s">
        <v>1342</v>
      </c>
      <c r="R147" s="13" t="s">
        <v>1342</v>
      </c>
      <c r="S147" s="13" t="s">
        <v>1342</v>
      </c>
      <c r="T147" s="23" t="s">
        <v>1342</v>
      </c>
      <c r="U147" s="13" t="s">
        <v>1342</v>
      </c>
      <c r="V147" s="13" t="s">
        <v>1342</v>
      </c>
      <c r="W147" s="13" t="s">
        <v>1342</v>
      </c>
      <c r="X147" s="12" t="str">
        <f>VLOOKUP($D147,global_toc!$C:$K,7,FALSE)</f>
        <v>97DEC03XN</v>
      </c>
      <c r="Y147" s="12" t="str">
        <f>VLOOKUP($D147,global_toc!$C:$K,8,FALSE)</f>
        <v>11OCT17XA</v>
      </c>
      <c r="Z147" s="12">
        <f>VLOOKUP($D147,global_toc!$C:$K,9,FALSE)</f>
        <v>1677</v>
      </c>
      <c r="AA147" s="19" t="str">
        <f t="shared" si="9"/>
        <v>Clock offset(sec)/rate(sec/sec).</v>
      </c>
    </row>
    <row r="148" spans="1:27" x14ac:dyDescent="0.2">
      <c r="A148" s="12">
        <v>459</v>
      </c>
      <c r="B148" s="12">
        <v>2</v>
      </c>
      <c r="C148" s="12" t="str">
        <f t="shared" si="8"/>
        <v>CorCofErr</v>
      </c>
      <c r="D148" s="12" t="s">
        <v>1752</v>
      </c>
      <c r="E148" s="12">
        <v>1</v>
      </c>
      <c r="F148" s="12">
        <v>1</v>
      </c>
      <c r="G148" s="12">
        <v>1</v>
      </c>
      <c r="H148" s="12" t="s">
        <v>447</v>
      </c>
      <c r="I148" s="12">
        <v>1</v>
      </c>
      <c r="J148" s="12" t="s">
        <v>1753</v>
      </c>
      <c r="K148" s="12" t="s">
        <v>1347</v>
      </c>
      <c r="L148" s="23" t="s">
        <v>1342</v>
      </c>
      <c r="M148" s="13" t="s">
        <v>1464</v>
      </c>
      <c r="N148" s="13" t="s">
        <v>1342</v>
      </c>
      <c r="O148" s="12" t="s">
        <v>2112</v>
      </c>
      <c r="P148" s="12" t="s">
        <v>2180</v>
      </c>
      <c r="Q148" s="12" t="s">
        <v>1342</v>
      </c>
      <c r="R148" s="13" t="s">
        <v>2118</v>
      </c>
      <c r="S148" s="13" t="s">
        <v>1342</v>
      </c>
      <c r="T148" s="23" t="s">
        <v>1342</v>
      </c>
      <c r="U148" s="13" t="s">
        <v>1342</v>
      </c>
      <c r="V148" s="13" t="s">
        <v>1342</v>
      </c>
      <c r="W148" s="13" t="s">
        <v>1342</v>
      </c>
      <c r="X148" s="12" t="str">
        <f>VLOOKUP($D148,global_toc!$C:$K,7,FALSE)</f>
        <v>02MAR13XG</v>
      </c>
      <c r="Y148" s="12" t="str">
        <f>VLOOKUP($D148,global_toc!$C:$K,8,FALSE)</f>
        <v>06AUG02XG</v>
      </c>
      <c r="Z148" s="12">
        <f>VLOOKUP($D148,global_toc!$C:$K,9,FALSE)</f>
        <v>50</v>
      </c>
      <c r="AA148" s="19" t="str">
        <f t="shared" si="9"/>
        <v>Corr. Coeff. formal error</v>
      </c>
    </row>
    <row r="149" spans="1:27" x14ac:dyDescent="0.2">
      <c r="A149" s="12">
        <v>395</v>
      </c>
      <c r="B149" s="12">
        <v>3</v>
      </c>
      <c r="C149" s="12" t="str">
        <f t="shared" si="8"/>
        <v>CORELVER</v>
      </c>
      <c r="D149" s="14" t="s">
        <v>1026</v>
      </c>
      <c r="E149" s="12">
        <v>1</v>
      </c>
      <c r="F149" s="12">
        <v>1</v>
      </c>
      <c r="G149" s="12">
        <v>1</v>
      </c>
      <c r="H149" s="12" t="s">
        <v>544</v>
      </c>
      <c r="I149" s="12">
        <v>1</v>
      </c>
      <c r="J149" s="12" t="s">
        <v>1027</v>
      </c>
      <c r="K149" s="12" t="s">
        <v>1347</v>
      </c>
      <c r="L149" s="23" t="s">
        <v>1342</v>
      </c>
      <c r="M149" s="13" t="s">
        <v>1464</v>
      </c>
      <c r="N149" s="13" t="s">
        <v>1342</v>
      </c>
      <c r="O149" s="12" t="s">
        <v>2112</v>
      </c>
      <c r="P149" s="12" t="s">
        <v>2180</v>
      </c>
      <c r="Q149" s="12" t="s">
        <v>1342</v>
      </c>
      <c r="R149" s="13" t="s">
        <v>1342</v>
      </c>
      <c r="S149" s="13" t="s">
        <v>1342</v>
      </c>
      <c r="T149" s="23" t="s">
        <v>1342</v>
      </c>
      <c r="U149" s="13" t="s">
        <v>1342</v>
      </c>
      <c r="V149" s="13" t="s">
        <v>1342</v>
      </c>
      <c r="W149" s="13" t="s">
        <v>1342</v>
      </c>
      <c r="X149" s="12" t="str">
        <f>VLOOKUP($D149,global_toc!$C:$K,7,FALSE)</f>
        <v>79AUG03XX</v>
      </c>
      <c r="Y149" s="12" t="str">
        <f>VLOOKUP($D149,global_toc!$C:$K,8,FALSE)</f>
        <v>11OCT17XA</v>
      </c>
      <c r="Z149" s="12">
        <f>VLOOKUP($D149,global_toc!$C:$K,9,FALSE)</f>
        <v>4719</v>
      </c>
      <c r="AA149" s="19" t="str">
        <f t="shared" si="9"/>
        <v>Correlator software version numb</v>
      </c>
    </row>
    <row r="150" spans="1:27" x14ac:dyDescent="0.2">
      <c r="A150" s="12">
        <v>397</v>
      </c>
      <c r="B150" s="12">
        <v>3</v>
      </c>
      <c r="C150" s="12" t="str">
        <f t="shared" si="8"/>
        <v>CROOTFIL</v>
      </c>
      <c r="D150" s="14" t="s">
        <v>1052</v>
      </c>
      <c r="E150" s="12">
        <v>8</v>
      </c>
      <c r="F150" s="12">
        <v>1</v>
      </c>
      <c r="G150" s="12">
        <v>1</v>
      </c>
      <c r="H150" s="12" t="s">
        <v>589</v>
      </c>
      <c r="I150" s="12">
        <v>1</v>
      </c>
      <c r="J150" s="12" t="s">
        <v>2320</v>
      </c>
      <c r="K150" s="12" t="s">
        <v>1347</v>
      </c>
      <c r="L150" s="23" t="s">
        <v>1342</v>
      </c>
      <c r="M150" s="13" t="s">
        <v>1464</v>
      </c>
      <c r="N150" s="13" t="s">
        <v>1342</v>
      </c>
      <c r="O150" s="12" t="s">
        <v>2112</v>
      </c>
      <c r="P150" s="12" t="s">
        <v>2180</v>
      </c>
      <c r="Q150" s="12" t="s">
        <v>1342</v>
      </c>
      <c r="R150" s="13" t="s">
        <v>1342</v>
      </c>
      <c r="S150" s="13" t="s">
        <v>1342</v>
      </c>
      <c r="T150" s="23" t="s">
        <v>1342</v>
      </c>
      <c r="U150" s="13" t="s">
        <v>1342</v>
      </c>
      <c r="V150" s="13" t="s">
        <v>1342</v>
      </c>
      <c r="W150" s="13" t="s">
        <v>1342</v>
      </c>
      <c r="X150" s="12" t="str">
        <f>VLOOKUP($D150,global_toc!$C:$K,7,FALSE)</f>
        <v>97DEC03XN</v>
      </c>
      <c r="Y150" s="12" t="str">
        <f>VLOOKUP($D150,global_toc!$C:$K,8,FALSE)</f>
        <v>11OCT17XA</v>
      </c>
      <c r="Z150" s="12">
        <f>VLOOKUP($D150,global_toc!$C:$K,9,FALSE)</f>
        <v>1651</v>
      </c>
      <c r="AA150" s="19" t="str">
        <f t="shared" si="9"/>
        <v>Correlator root file name.</v>
      </c>
    </row>
    <row r="151" spans="1:27" x14ac:dyDescent="0.2">
      <c r="A151" s="12">
        <v>398</v>
      </c>
      <c r="B151" s="12">
        <v>3</v>
      </c>
      <c r="C151" s="12" t="str">
        <f t="shared" si="8"/>
        <v>DBEDITVE</v>
      </c>
      <c r="D151" s="14" t="s">
        <v>1030</v>
      </c>
      <c r="E151" s="12">
        <v>3</v>
      </c>
      <c r="F151" s="12">
        <v>1</v>
      </c>
      <c r="G151" s="12">
        <v>1</v>
      </c>
      <c r="H151" s="12" t="s">
        <v>544</v>
      </c>
      <c r="I151" s="12">
        <v>1</v>
      </c>
      <c r="J151" s="12" t="s">
        <v>1031</v>
      </c>
      <c r="K151" s="12" t="s">
        <v>1347</v>
      </c>
      <c r="L151" s="23" t="s">
        <v>1342</v>
      </c>
      <c r="M151" s="13" t="s">
        <v>1464</v>
      </c>
      <c r="N151" s="13" t="s">
        <v>1342</v>
      </c>
      <c r="O151" s="12" t="s">
        <v>2112</v>
      </c>
      <c r="P151" s="12" t="s">
        <v>2180</v>
      </c>
      <c r="Q151" s="12" t="s">
        <v>1342</v>
      </c>
      <c r="R151" s="13" t="s">
        <v>1342</v>
      </c>
      <c r="S151" s="13" t="s">
        <v>1342</v>
      </c>
      <c r="T151" s="23" t="s">
        <v>1342</v>
      </c>
      <c r="U151" s="13" t="s">
        <v>1342</v>
      </c>
      <c r="V151" s="13" t="s">
        <v>1342</v>
      </c>
      <c r="W151" s="13" t="s">
        <v>1342</v>
      </c>
      <c r="X151" s="12" t="str">
        <f>VLOOKUP($D151,global_toc!$C:$K,7,FALSE)</f>
        <v>94JUL08XV</v>
      </c>
      <c r="Y151" s="12" t="str">
        <f>VLOOKUP($D151,global_toc!$C:$K,8,FALSE)</f>
        <v>11OCT17XA</v>
      </c>
      <c r="Z151" s="12">
        <f>VLOOKUP($D151,global_toc!$C:$K,9,FALSE)</f>
        <v>1736</v>
      </c>
      <c r="AA151" s="19" t="str">
        <f t="shared" si="9"/>
        <v>Dbedit revision date YYYY MM DD</v>
      </c>
    </row>
    <row r="152" spans="1:27" x14ac:dyDescent="0.2">
      <c r="A152" s="12">
        <v>399</v>
      </c>
      <c r="B152" s="12">
        <v>2</v>
      </c>
      <c r="C152" s="12" t="str">
        <f t="shared" si="8"/>
        <v>DELOBSVM</v>
      </c>
      <c r="D152" s="14" t="s">
        <v>1443</v>
      </c>
      <c r="E152" s="12">
        <v>2</v>
      </c>
      <c r="F152" s="12">
        <v>1</v>
      </c>
      <c r="G152" s="12">
        <v>1</v>
      </c>
      <c r="H152" s="12" t="s">
        <v>447</v>
      </c>
      <c r="I152" s="12"/>
      <c r="J152" s="12" t="s">
        <v>2303</v>
      </c>
      <c r="K152" s="12" t="s">
        <v>1347</v>
      </c>
      <c r="L152" s="23" t="s">
        <v>1342</v>
      </c>
      <c r="M152" s="13" t="s">
        <v>1464</v>
      </c>
      <c r="N152" s="13" t="s">
        <v>1342</v>
      </c>
      <c r="O152" s="12" t="s">
        <v>2112</v>
      </c>
      <c r="P152" s="12" t="s">
        <v>2180</v>
      </c>
      <c r="Q152" s="12" t="s">
        <v>1342</v>
      </c>
      <c r="R152" s="13" t="s">
        <v>1342</v>
      </c>
      <c r="S152" s="13" t="s">
        <v>1342</v>
      </c>
      <c r="T152" s="23" t="s">
        <v>1342</v>
      </c>
      <c r="U152" s="13" t="s">
        <v>1342</v>
      </c>
      <c r="V152" s="13" t="s">
        <v>1342</v>
      </c>
      <c r="W152" s="13" t="s">
        <v>1342</v>
      </c>
      <c r="X152" s="12" t="str">
        <f>VLOOKUP($D152,global_toc!$C:$K,7,FALSE)</f>
        <v>94JUL08XV</v>
      </c>
      <c r="Y152" s="12" t="str">
        <f>VLOOKUP($D152,global_toc!$C:$K,8,FALSE)</f>
        <v>10DEC07XA</v>
      </c>
      <c r="Z152" s="12">
        <f>VLOOKUP($D152,global_toc!$C:$K,9,FALSE)</f>
        <v>85</v>
      </c>
      <c r="AA152" s="19" t="str">
        <f t="shared" si="9"/>
        <v xml:space="preserve">Obs delay at central epoch us. </v>
      </c>
    </row>
    <row r="153" spans="1:27" ht="15" customHeight="1" x14ac:dyDescent="0.2">
      <c r="A153" s="12">
        <v>400</v>
      </c>
      <c r="B153" s="12">
        <v>2</v>
      </c>
      <c r="C153" s="12" t="str">
        <f t="shared" si="8"/>
        <v>DELRESID</v>
      </c>
      <c r="D153" s="14" t="s">
        <v>743</v>
      </c>
      <c r="E153" s="12">
        <v>1</v>
      </c>
      <c r="F153" s="12">
        <v>1</v>
      </c>
      <c r="G153" s="12">
        <v>1</v>
      </c>
      <c r="H153" s="12" t="s">
        <v>447</v>
      </c>
      <c r="I153" s="12">
        <v>1</v>
      </c>
      <c r="J153" s="12" t="s">
        <v>2342</v>
      </c>
      <c r="K153" s="12" t="s">
        <v>1347</v>
      </c>
      <c r="L153" s="21"/>
      <c r="M153" s="13" t="s">
        <v>1464</v>
      </c>
      <c r="N153" s="13" t="s">
        <v>1342</v>
      </c>
      <c r="O153" s="12" t="s">
        <v>2112</v>
      </c>
      <c r="P153" s="12" t="s">
        <v>2180</v>
      </c>
      <c r="Q153" s="12" t="s">
        <v>1342</v>
      </c>
      <c r="R153" s="13" t="s">
        <v>1342</v>
      </c>
      <c r="S153" s="13" t="s">
        <v>1342</v>
      </c>
      <c r="T153" s="23" t="s">
        <v>1342</v>
      </c>
      <c r="U153" s="13" t="s">
        <v>1342</v>
      </c>
      <c r="V153" s="13" t="s">
        <v>1342</v>
      </c>
      <c r="W153" s="13" t="s">
        <v>1342</v>
      </c>
      <c r="X153" s="12" t="str">
        <f>VLOOKUP($D153,global_toc!$C:$K,7,FALSE)</f>
        <v>79AUG03XX</v>
      </c>
      <c r="Y153" s="12" t="str">
        <f>VLOOKUP($D153,global_toc!$C:$K,8,FALSE)</f>
        <v>11OCT17XA</v>
      </c>
      <c r="Z153" s="12">
        <f>VLOOKUP($D153,global_toc!$C:$K,9,FALSE)</f>
        <v>5029</v>
      </c>
      <c r="AA153" s="19" t="str">
        <f t="shared" si="9"/>
        <v>Delay residual (sec).</v>
      </c>
    </row>
    <row r="154" spans="1:27" ht="12.75" customHeight="1" x14ac:dyDescent="0.2">
      <c r="A154" s="12">
        <v>401</v>
      </c>
      <c r="B154" s="12">
        <v>2</v>
      </c>
      <c r="C154" s="12" t="str">
        <f t="shared" si="8"/>
        <v>DELTAEPO</v>
      </c>
      <c r="D154" s="14" t="s">
        <v>747</v>
      </c>
      <c r="E154" s="12">
        <v>1</v>
      </c>
      <c r="F154" s="12">
        <v>1</v>
      </c>
      <c r="G154" s="12">
        <v>1</v>
      </c>
      <c r="H154" s="12" t="s">
        <v>447</v>
      </c>
      <c r="I154" s="12">
        <v>1</v>
      </c>
      <c r="J154" s="12" t="s">
        <v>748</v>
      </c>
      <c r="K154" s="12" t="s">
        <v>1347</v>
      </c>
      <c r="L154" s="23" t="s">
        <v>1342</v>
      </c>
      <c r="M154" s="13" t="s">
        <v>1464</v>
      </c>
      <c r="N154" s="13" t="s">
        <v>1342</v>
      </c>
      <c r="O154" s="12" t="s">
        <v>2112</v>
      </c>
      <c r="P154" s="12" t="s">
        <v>2180</v>
      </c>
      <c r="Q154" s="12" t="s">
        <v>1342</v>
      </c>
      <c r="R154" s="13" t="s">
        <v>1342</v>
      </c>
      <c r="S154" s="13" t="s">
        <v>1342</v>
      </c>
      <c r="T154" s="23" t="s">
        <v>1342</v>
      </c>
      <c r="U154" s="13" t="s">
        <v>1342</v>
      </c>
      <c r="V154" s="13" t="s">
        <v>1342</v>
      </c>
      <c r="W154" s="13" t="s">
        <v>1342</v>
      </c>
      <c r="X154" s="12" t="str">
        <f>VLOOKUP($D154,global_toc!$C:$K,7,FALSE)</f>
        <v>94JUL08XV</v>
      </c>
      <c r="Y154" s="12" t="str">
        <f>VLOOKUP($D154,global_toc!$C:$K,8,FALSE)</f>
        <v>11OCT17XA</v>
      </c>
      <c r="Z154" s="12">
        <f>VLOOKUP($D154,global_toc!$C:$K,9,FALSE)</f>
        <v>1736</v>
      </c>
      <c r="AA154" s="19" t="str">
        <f t="shared" si="9"/>
        <v>Offset from center of scan (sec)</v>
      </c>
    </row>
    <row r="155" spans="1:27" x14ac:dyDescent="0.2">
      <c r="A155" s="12">
        <v>402</v>
      </c>
      <c r="B155" s="12">
        <v>3</v>
      </c>
      <c r="C155" s="12" t="str">
        <f t="shared" si="8"/>
        <v>DISCARD</v>
      </c>
      <c r="D155" s="14" t="s">
        <v>998</v>
      </c>
      <c r="E155" s="12">
        <v>1</v>
      </c>
      <c r="F155" s="12">
        <v>1</v>
      </c>
      <c r="G155" s="12">
        <v>1</v>
      </c>
      <c r="H155" s="12" t="s">
        <v>447</v>
      </c>
      <c r="I155" s="12">
        <v>1</v>
      </c>
      <c r="J155" s="12" t="s">
        <v>999</v>
      </c>
      <c r="K155" s="12" t="s">
        <v>1347</v>
      </c>
      <c r="L155" s="23" t="s">
        <v>1342</v>
      </c>
      <c r="M155" s="13" t="s">
        <v>1464</v>
      </c>
      <c r="N155" s="13" t="s">
        <v>1342</v>
      </c>
      <c r="O155" s="12" t="s">
        <v>2112</v>
      </c>
      <c r="P155" s="12" t="s">
        <v>2180</v>
      </c>
      <c r="Q155" s="12" t="s">
        <v>1342</v>
      </c>
      <c r="R155" s="13" t="s">
        <v>1342</v>
      </c>
      <c r="S155" s="13" t="s">
        <v>1342</v>
      </c>
      <c r="T155" s="23" t="s">
        <v>1342</v>
      </c>
      <c r="U155" s="13" t="s">
        <v>1342</v>
      </c>
      <c r="V155" s="13" t="s">
        <v>1342</v>
      </c>
      <c r="W155" s="13" t="s">
        <v>1342</v>
      </c>
      <c r="X155" s="12" t="str">
        <f>VLOOKUP($D155,global_toc!$C:$K,7,FALSE)</f>
        <v>79AUG03XX</v>
      </c>
      <c r="Y155" s="12" t="str">
        <f>VLOOKUP($D155,global_toc!$C:$K,8,FALSE)</f>
        <v>11OCT17XA</v>
      </c>
      <c r="Z155" s="12">
        <f>VLOOKUP($D155,global_toc!$C:$K,9,FALSE)</f>
        <v>4935</v>
      </c>
      <c r="AA155" s="19" t="str">
        <f t="shared" si="9"/>
        <v>Percent data discarded by FRNGE.</v>
      </c>
    </row>
    <row r="156" spans="1:27" x14ac:dyDescent="0.2">
      <c r="A156" s="12">
        <v>403</v>
      </c>
      <c r="B156" s="12">
        <v>3</v>
      </c>
      <c r="C156" s="12" t="str">
        <f t="shared" si="8"/>
        <v>DLYEPO+1</v>
      </c>
      <c r="D156" s="14" t="s">
        <v>1445</v>
      </c>
      <c r="E156" s="12">
        <v>2</v>
      </c>
      <c r="F156" s="12">
        <v>1</v>
      </c>
      <c r="G156" s="12">
        <v>1</v>
      </c>
      <c r="H156" s="12" t="s">
        <v>447</v>
      </c>
      <c r="I156" s="12" t="s">
        <v>1672</v>
      </c>
      <c r="J156" s="12" t="s">
        <v>2321</v>
      </c>
      <c r="K156" s="12" t="s">
        <v>1347</v>
      </c>
      <c r="L156" s="23" t="s">
        <v>1342</v>
      </c>
      <c r="M156" s="13" t="s">
        <v>1464</v>
      </c>
      <c r="N156" s="13" t="s">
        <v>1342</v>
      </c>
      <c r="O156" s="12" t="s">
        <v>2112</v>
      </c>
      <c r="P156" s="12" t="s">
        <v>2180</v>
      </c>
      <c r="Q156" s="12" t="s">
        <v>1342</v>
      </c>
      <c r="R156" s="13" t="s">
        <v>1342</v>
      </c>
      <c r="S156" s="13" t="s">
        <v>1342</v>
      </c>
      <c r="T156" s="23" t="s">
        <v>1342</v>
      </c>
      <c r="U156" s="13" t="s">
        <v>1342</v>
      </c>
      <c r="V156" s="13" t="s">
        <v>1610</v>
      </c>
      <c r="W156" s="13" t="s">
        <v>1342</v>
      </c>
      <c r="X156" s="12" t="str">
        <f>VLOOKUP($D156,global_toc!$C:$K,7,FALSE)</f>
        <v>79AUG03XX</v>
      </c>
      <c r="Y156" s="12" t="str">
        <f>VLOOKUP($D156,global_toc!$C:$K,8,FALSE)</f>
        <v>11JUN23XF</v>
      </c>
      <c r="Z156" s="12">
        <f>VLOOKUP($D156,global_toc!$C:$K,9,FALSE)</f>
        <v>3284</v>
      </c>
      <c r="AA156" s="19" t="str">
        <f t="shared" si="9"/>
        <v xml:space="preserve">Phase delay at epoch+1 sec. </v>
      </c>
    </row>
    <row r="157" spans="1:27" x14ac:dyDescent="0.2">
      <c r="A157" s="12">
        <v>404</v>
      </c>
      <c r="B157" s="12">
        <v>3</v>
      </c>
      <c r="C157" s="12" t="str">
        <f t="shared" si="8"/>
        <v>DLYEPO-1</v>
      </c>
      <c r="D157" s="14" t="s">
        <v>1449</v>
      </c>
      <c r="E157" s="12">
        <v>2</v>
      </c>
      <c r="F157" s="12">
        <v>1</v>
      </c>
      <c r="G157" s="12">
        <v>1</v>
      </c>
      <c r="H157" s="12" t="s">
        <v>447</v>
      </c>
      <c r="I157" s="12" t="s">
        <v>1672</v>
      </c>
      <c r="J157" s="12" t="s">
        <v>2322</v>
      </c>
      <c r="K157" s="12" t="s">
        <v>1347</v>
      </c>
      <c r="L157" s="23" t="s">
        <v>1342</v>
      </c>
      <c r="M157" s="13" t="s">
        <v>1464</v>
      </c>
      <c r="N157" s="13" t="s">
        <v>1342</v>
      </c>
      <c r="O157" s="12" t="s">
        <v>2112</v>
      </c>
      <c r="P157" s="12" t="s">
        <v>2180</v>
      </c>
      <c r="Q157" s="12" t="s">
        <v>1342</v>
      </c>
      <c r="R157" s="13" t="s">
        <v>1342</v>
      </c>
      <c r="S157" s="13" t="s">
        <v>1342</v>
      </c>
      <c r="T157" s="23" t="s">
        <v>1342</v>
      </c>
      <c r="U157" s="13" t="s">
        <v>1342</v>
      </c>
      <c r="V157" s="13" t="s">
        <v>1610</v>
      </c>
      <c r="W157" s="13" t="s">
        <v>1342</v>
      </c>
      <c r="X157" s="12" t="str">
        <f>VLOOKUP($D157,global_toc!$C:$K,7,FALSE)</f>
        <v>79AUG03XX</v>
      </c>
      <c r="Y157" s="12" t="str">
        <f>VLOOKUP($D157,global_toc!$C:$K,8,FALSE)</f>
        <v>11JUN23XF</v>
      </c>
      <c r="Z157" s="12">
        <f>VLOOKUP($D157,global_toc!$C:$K,9,FALSE)</f>
        <v>3284</v>
      </c>
      <c r="AA157" s="19" t="str">
        <f t="shared" si="9"/>
        <v xml:space="preserve">Phase delay at epoch-1 sec. </v>
      </c>
    </row>
    <row r="158" spans="1:27" x14ac:dyDescent="0.2">
      <c r="A158" s="12">
        <v>40</v>
      </c>
      <c r="B158" s="12">
        <v>3</v>
      </c>
      <c r="C158" s="12" t="str">
        <f t="shared" si="8"/>
        <v>DLYEPOCH</v>
      </c>
      <c r="D158" s="12" t="s">
        <v>1447</v>
      </c>
      <c r="E158" s="12">
        <v>2</v>
      </c>
      <c r="F158" s="12">
        <v>1</v>
      </c>
      <c r="G158" s="12">
        <v>1</v>
      </c>
      <c r="H158" s="12" t="s">
        <v>447</v>
      </c>
      <c r="I158" s="12">
        <v>1</v>
      </c>
      <c r="J158" s="12" t="s">
        <v>2378</v>
      </c>
      <c r="K158" s="12" t="s">
        <v>1347</v>
      </c>
      <c r="L158" s="23" t="s">
        <v>1342</v>
      </c>
      <c r="M158" s="13" t="s">
        <v>1464</v>
      </c>
      <c r="N158" s="13" t="s">
        <v>1342</v>
      </c>
      <c r="O158" s="12" t="s">
        <v>2112</v>
      </c>
      <c r="P158" s="12" t="s">
        <v>2180</v>
      </c>
      <c r="Q158" s="12" t="s">
        <v>1342</v>
      </c>
      <c r="R158" s="13" t="s">
        <v>1342</v>
      </c>
      <c r="S158" s="13" t="s">
        <v>1342</v>
      </c>
      <c r="T158" s="23" t="s">
        <v>1342</v>
      </c>
      <c r="U158" s="13" t="s">
        <v>1342</v>
      </c>
      <c r="V158" s="13" t="s">
        <v>1610</v>
      </c>
      <c r="W158" s="13" t="s">
        <v>1342</v>
      </c>
      <c r="X158" s="12" t="str">
        <f>VLOOKUP($D158,global_toc!$C:$K,7,FALSE)</f>
        <v>84JUL18DX</v>
      </c>
      <c r="Y158" s="12" t="str">
        <f>VLOOKUP($D158,global_toc!$C:$K,8,FALSE)</f>
        <v>11JUN23XF</v>
      </c>
      <c r="Z158" s="12">
        <f>VLOOKUP($D158,global_toc!$C:$K,9,FALSE)</f>
        <v>213</v>
      </c>
      <c r="AA158" s="19" t="str">
        <f t="shared" si="9"/>
        <v>Phase delay at epoch   usec .</v>
      </c>
    </row>
    <row r="159" spans="1:27" x14ac:dyDescent="0.2">
      <c r="A159" s="12">
        <v>460</v>
      </c>
      <c r="B159" s="12">
        <v>2</v>
      </c>
      <c r="C159" s="12" t="str">
        <f t="shared" si="8"/>
        <v>DURATION</v>
      </c>
      <c r="D159" s="12" t="s">
        <v>1756</v>
      </c>
      <c r="E159" s="12">
        <v>1</v>
      </c>
      <c r="F159" s="12">
        <v>1</v>
      </c>
      <c r="G159" s="12">
        <v>1</v>
      </c>
      <c r="H159" s="12" t="s">
        <v>447</v>
      </c>
      <c r="I159" s="12">
        <v>1</v>
      </c>
      <c r="J159" s="12" t="s">
        <v>2343</v>
      </c>
      <c r="K159" s="12" t="s">
        <v>1347</v>
      </c>
      <c r="L159" s="23" t="s">
        <v>1342</v>
      </c>
      <c r="M159" s="13" t="s">
        <v>1464</v>
      </c>
      <c r="N159" s="13" t="s">
        <v>1342</v>
      </c>
      <c r="O159" s="12" t="s">
        <v>2112</v>
      </c>
      <c r="P159" s="12" t="s">
        <v>2180</v>
      </c>
      <c r="Q159" s="12" t="s">
        <v>1342</v>
      </c>
      <c r="R159" s="13" t="s">
        <v>1342</v>
      </c>
      <c r="S159" s="13" t="s">
        <v>1342</v>
      </c>
      <c r="T159" s="23" t="s">
        <v>1342</v>
      </c>
      <c r="U159" s="13" t="s">
        <v>1342</v>
      </c>
      <c r="V159" s="13" t="s">
        <v>1342</v>
      </c>
      <c r="W159" s="13" t="s">
        <v>1342</v>
      </c>
      <c r="X159" s="12" t="str">
        <f>VLOOKUP($D159,global_toc!$C:$K,7,FALSE)</f>
        <v>02MAR13XG</v>
      </c>
      <c r="Y159" s="12" t="str">
        <f>VLOOKUP($D159,global_toc!$C:$K,8,FALSE)</f>
        <v>06AUG02XG</v>
      </c>
      <c r="Z159" s="12">
        <f>VLOOKUP($D159,global_toc!$C:$K,9,FALSE)</f>
        <v>50</v>
      </c>
      <c r="AA159" s="19" t="str">
        <f t="shared" si="9"/>
        <v>Scan duration (sec).</v>
      </c>
    </row>
    <row r="160" spans="1:27" x14ac:dyDescent="0.2">
      <c r="A160" s="12">
        <v>405</v>
      </c>
      <c r="B160" s="12">
        <v>3</v>
      </c>
      <c r="C160" s="12" t="str">
        <f t="shared" si="8"/>
        <v>EffectiveDuration</v>
      </c>
      <c r="D160" s="14" t="s">
        <v>1000</v>
      </c>
      <c r="E160" s="12">
        <v>1</v>
      </c>
      <c r="F160" s="12">
        <v>1</v>
      </c>
      <c r="G160" s="12">
        <v>1</v>
      </c>
      <c r="H160" s="12" t="s">
        <v>447</v>
      </c>
      <c r="I160" s="12">
        <v>1</v>
      </c>
      <c r="J160" s="12" t="s">
        <v>2323</v>
      </c>
      <c r="K160" s="12" t="s">
        <v>1347</v>
      </c>
      <c r="L160" s="23" t="s">
        <v>1342</v>
      </c>
      <c r="M160" s="13" t="s">
        <v>1464</v>
      </c>
      <c r="N160" s="13" t="s">
        <v>1342</v>
      </c>
      <c r="O160" s="12" t="s">
        <v>2112</v>
      </c>
      <c r="P160" s="12" t="s">
        <v>2180</v>
      </c>
      <c r="Q160" s="12" t="s">
        <v>1342</v>
      </c>
      <c r="R160" s="13" t="s">
        <v>1529</v>
      </c>
      <c r="S160" s="13" t="s">
        <v>1342</v>
      </c>
      <c r="T160" s="23" t="s">
        <v>1342</v>
      </c>
      <c r="U160" s="13" t="s">
        <v>1342</v>
      </c>
      <c r="V160" s="13" t="s">
        <v>1342</v>
      </c>
      <c r="W160" s="13" t="s">
        <v>1342</v>
      </c>
      <c r="X160" s="12" t="str">
        <f>VLOOKUP($D160,global_toc!$C:$K,7,FALSE)</f>
        <v>79AUG03XX</v>
      </c>
      <c r="Y160" s="12" t="str">
        <f>VLOOKUP($D160,global_toc!$C:$K,8,FALSE)</f>
        <v>11OCT17XA</v>
      </c>
      <c r="Z160" s="12">
        <f>VLOOKUP($D160,global_toc!$C:$K,9,FALSE)</f>
        <v>4935</v>
      </c>
      <c r="AA160" s="19" t="str">
        <f t="shared" si="9"/>
        <v>Effective run duration sec.</v>
      </c>
    </row>
    <row r="161" spans="1:27" x14ac:dyDescent="0.2">
      <c r="A161" s="12">
        <v>406</v>
      </c>
      <c r="B161" s="12">
        <v>3</v>
      </c>
      <c r="C161" s="12" t="str">
        <f t="shared" si="8"/>
        <v>ERRORATE</v>
      </c>
      <c r="D161" s="14" t="s">
        <v>1032</v>
      </c>
      <c r="E161" s="12">
        <v>2</v>
      </c>
      <c r="F161" s="12">
        <v>2</v>
      </c>
      <c r="G161" s="12">
        <v>16</v>
      </c>
      <c r="H161" s="12" t="s">
        <v>544</v>
      </c>
      <c r="I161" s="12">
        <v>1</v>
      </c>
      <c r="J161" s="12" t="s">
        <v>1701</v>
      </c>
      <c r="K161" s="12" t="s">
        <v>1347</v>
      </c>
      <c r="L161" s="23" t="s">
        <v>1342</v>
      </c>
      <c r="M161" s="13" t="s">
        <v>1464</v>
      </c>
      <c r="N161" s="13" t="s">
        <v>1342</v>
      </c>
      <c r="O161" s="12" t="s">
        <v>2112</v>
      </c>
      <c r="P161" s="12" t="s">
        <v>2180</v>
      </c>
      <c r="Q161" s="12" t="s">
        <v>1342</v>
      </c>
      <c r="R161" s="13" t="s">
        <v>1342</v>
      </c>
      <c r="S161" s="13" t="s">
        <v>1342</v>
      </c>
      <c r="T161" s="23" t="s">
        <v>1342</v>
      </c>
      <c r="U161" s="13" t="s">
        <v>1342</v>
      </c>
      <c r="V161" s="13" t="s">
        <v>1342</v>
      </c>
      <c r="W161" s="13" t="s">
        <v>1342</v>
      </c>
      <c r="X161" s="12" t="str">
        <f>VLOOKUP($D161,global_toc!$C:$K,7,FALSE)</f>
        <v>80APR11XQ</v>
      </c>
      <c r="Y161" s="12" t="str">
        <f>VLOOKUP($D161,global_toc!$C:$K,8,FALSE)</f>
        <v>82OCT25X_</v>
      </c>
      <c r="Z161" s="12">
        <f>VLOOKUP($D161,global_toc!$C:$K,9,FALSE)</f>
        <v>44</v>
      </c>
      <c r="AA161" s="19" t="str">
        <f t="shared" si="9"/>
        <v>Log err rate by sta  sb  channel</v>
      </c>
    </row>
    <row r="162" spans="1:27" x14ac:dyDescent="0.2">
      <c r="A162" s="12">
        <v>408</v>
      </c>
      <c r="B162" s="12">
        <v>3</v>
      </c>
      <c r="C162" s="12" t="str">
        <f t="shared" si="8"/>
        <v>FOURFFIL</v>
      </c>
      <c r="D162" s="14" t="s">
        <v>1054</v>
      </c>
      <c r="E162" s="12">
        <v>8</v>
      </c>
      <c r="F162" s="12">
        <v>1</v>
      </c>
      <c r="G162" s="12">
        <v>1</v>
      </c>
      <c r="H162" s="12" t="s">
        <v>589</v>
      </c>
      <c r="I162" s="12">
        <v>1</v>
      </c>
      <c r="J162" s="12" t="s">
        <v>2344</v>
      </c>
      <c r="K162" s="12" t="s">
        <v>1347</v>
      </c>
      <c r="L162" s="23" t="s">
        <v>1342</v>
      </c>
      <c r="M162" s="13" t="s">
        <v>1464</v>
      </c>
      <c r="N162" s="13" t="s">
        <v>1342</v>
      </c>
      <c r="O162" s="12" t="s">
        <v>2112</v>
      </c>
      <c r="P162" s="12" t="s">
        <v>2180</v>
      </c>
      <c r="Q162" s="12" t="s">
        <v>1342</v>
      </c>
      <c r="R162" s="13" t="s">
        <v>1342</v>
      </c>
      <c r="S162" s="13" t="s">
        <v>1342</v>
      </c>
      <c r="T162" s="23" t="s">
        <v>1342</v>
      </c>
      <c r="U162" s="13" t="s">
        <v>1342</v>
      </c>
      <c r="V162" s="13" t="s">
        <v>1342</v>
      </c>
      <c r="W162" s="13" t="s">
        <v>1342</v>
      </c>
      <c r="X162" s="12" t="str">
        <f>VLOOKUP($D162,global_toc!$C:$K,7,FALSE)</f>
        <v>97DEC03XN</v>
      </c>
      <c r="Y162" s="12" t="str">
        <f>VLOOKUP($D162,global_toc!$C:$K,8,FALSE)</f>
        <v>11OCT17XA</v>
      </c>
      <c r="Z162" s="12">
        <f>VLOOKUP($D162,global_toc!$C:$K,9,FALSE)</f>
        <v>1651</v>
      </c>
      <c r="AA162" s="19" t="str">
        <f t="shared" si="9"/>
        <v>Fourfit output filename.</v>
      </c>
    </row>
    <row r="163" spans="1:27" x14ac:dyDescent="0.2">
      <c r="A163" s="12">
        <v>409</v>
      </c>
      <c r="B163" s="12">
        <v>3</v>
      </c>
      <c r="C163" s="12" t="str">
        <f t="shared" si="8"/>
        <v>FOURFFXS</v>
      </c>
      <c r="D163" s="14" t="s">
        <v>1064</v>
      </c>
      <c r="E163" s="12">
        <v>8</v>
      </c>
      <c r="F163" s="12">
        <v>1</v>
      </c>
      <c r="G163" s="12">
        <v>1</v>
      </c>
      <c r="H163" s="12" t="s">
        <v>589</v>
      </c>
      <c r="I163" s="12">
        <v>4</v>
      </c>
      <c r="J163" s="12" t="s">
        <v>1065</v>
      </c>
      <c r="K163" s="12" t="s">
        <v>1347</v>
      </c>
      <c r="L163" s="23" t="s">
        <v>1342</v>
      </c>
      <c r="M163" s="13" t="s">
        <v>1464</v>
      </c>
      <c r="N163" s="13" t="s">
        <v>1342</v>
      </c>
      <c r="O163" s="12" t="s">
        <v>2112</v>
      </c>
      <c r="P163" s="12" t="s">
        <v>2180</v>
      </c>
      <c r="Q163" s="12" t="s">
        <v>1342</v>
      </c>
      <c r="R163" s="13" t="s">
        <v>1342</v>
      </c>
      <c r="S163" s="13" t="s">
        <v>1342</v>
      </c>
      <c r="T163" s="23" t="s">
        <v>1342</v>
      </c>
      <c r="U163" s="13" t="s">
        <v>1342</v>
      </c>
      <c r="V163" s="13" t="s">
        <v>1342</v>
      </c>
      <c r="W163" s="13" t="s">
        <v>1342</v>
      </c>
      <c r="X163" s="12" t="str">
        <f>VLOOKUP($D163,global_toc!$C:$K,7,FALSE)</f>
        <v>82JUN21X_</v>
      </c>
      <c r="Y163" s="12" t="str">
        <f>VLOOKUP($D163,global_toc!$C:$K,8,FALSE)</f>
        <v>11OCT17XA</v>
      </c>
      <c r="Z163" s="12">
        <f>VLOOKUP($D163,global_toc!$C:$K,9,FALSE)</f>
        <v>1256</v>
      </c>
      <c r="AA163" s="19" t="str">
        <f t="shared" si="9"/>
        <v>Fourfit output filename S-band</v>
      </c>
    </row>
    <row r="164" spans="1:27" x14ac:dyDescent="0.2">
      <c r="A164" s="12">
        <v>410</v>
      </c>
      <c r="B164" s="12">
        <v>3</v>
      </c>
      <c r="C164" s="12" t="str">
        <f t="shared" si="8"/>
        <v>FOURFUTC</v>
      </c>
      <c r="D164" s="14" t="s">
        <v>1034</v>
      </c>
      <c r="E164" s="12">
        <v>6</v>
      </c>
      <c r="F164" s="12">
        <v>1</v>
      </c>
      <c r="G164" s="12">
        <v>1</v>
      </c>
      <c r="H164" s="12" t="s">
        <v>544</v>
      </c>
      <c r="I164" s="12">
        <v>1</v>
      </c>
      <c r="J164" s="12" t="s">
        <v>2287</v>
      </c>
      <c r="K164" s="12" t="s">
        <v>1347</v>
      </c>
      <c r="L164" s="23" t="s">
        <v>1342</v>
      </c>
      <c r="M164" s="13" t="s">
        <v>1464</v>
      </c>
      <c r="N164" s="13" t="s">
        <v>1342</v>
      </c>
      <c r="O164" s="12" t="s">
        <v>2112</v>
      </c>
      <c r="P164" s="12" t="s">
        <v>2180</v>
      </c>
      <c r="Q164" s="12" t="s">
        <v>1342</v>
      </c>
      <c r="R164" s="13" t="s">
        <v>1342</v>
      </c>
      <c r="S164" s="13" t="s">
        <v>1342</v>
      </c>
      <c r="T164" s="23" t="s">
        <v>1342</v>
      </c>
      <c r="U164" s="13" t="s">
        <v>1342</v>
      </c>
      <c r="V164" s="13" t="s">
        <v>1342</v>
      </c>
      <c r="W164" s="13" t="s">
        <v>1342</v>
      </c>
      <c r="X164" s="12" t="str">
        <f>VLOOKUP($D164,global_toc!$C:$K,7,FALSE)</f>
        <v>97DEC03XN</v>
      </c>
      <c r="Y164" s="12" t="str">
        <f>VLOOKUP($D164,global_toc!$C:$K,8,FALSE)</f>
        <v>11OCT17XA</v>
      </c>
      <c r="Z164" s="12">
        <f>VLOOKUP($D164,global_toc!$C:$K,9,FALSE)</f>
        <v>1651</v>
      </c>
      <c r="AA164" s="19" t="str">
        <f t="shared" si="9"/>
        <v>Fourfit processing time YMDHMS.</v>
      </c>
    </row>
    <row r="165" spans="1:27" x14ac:dyDescent="0.2">
      <c r="A165" s="12">
        <v>411</v>
      </c>
      <c r="B165" s="12">
        <v>3</v>
      </c>
      <c r="C165" s="12" t="str">
        <f t="shared" si="8"/>
        <v>FOURFVER</v>
      </c>
      <c r="D165" s="14" t="s">
        <v>1036</v>
      </c>
      <c r="E165" s="12">
        <v>2</v>
      </c>
      <c r="F165" s="12">
        <v>1</v>
      </c>
      <c r="G165" s="12">
        <v>1</v>
      </c>
      <c r="H165" s="12" t="s">
        <v>544</v>
      </c>
      <c r="I165" s="12">
        <v>1</v>
      </c>
      <c r="J165" s="12" t="s">
        <v>2345</v>
      </c>
      <c r="K165" s="12" t="s">
        <v>1347</v>
      </c>
      <c r="L165" s="23" t="s">
        <v>1342</v>
      </c>
      <c r="M165" s="13" t="s">
        <v>1464</v>
      </c>
      <c r="N165" s="13" t="s">
        <v>1342</v>
      </c>
      <c r="O165" s="12" t="s">
        <v>2112</v>
      </c>
      <c r="P165" s="12" t="s">
        <v>2180</v>
      </c>
      <c r="Q165" s="12" t="s">
        <v>1342</v>
      </c>
      <c r="R165" s="13" t="s">
        <v>1342</v>
      </c>
      <c r="S165" s="13" t="s">
        <v>1342</v>
      </c>
      <c r="T165" s="23" t="s">
        <v>1342</v>
      </c>
      <c r="U165" s="13" t="s">
        <v>1342</v>
      </c>
      <c r="V165" s="13" t="s">
        <v>1342</v>
      </c>
      <c r="W165" s="13" t="s">
        <v>1342</v>
      </c>
      <c r="X165" s="12" t="str">
        <f>VLOOKUP($D165,global_toc!$C:$K,7,FALSE)</f>
        <v>97DEC03XN</v>
      </c>
      <c r="Y165" s="12" t="str">
        <f>VLOOKUP($D165,global_toc!$C:$K,8,FALSE)</f>
        <v>11OCT17XA</v>
      </c>
      <c r="Z165" s="12">
        <f>VLOOKUP($D165,global_toc!$C:$K,9,FALSE)</f>
        <v>1651</v>
      </c>
      <c r="AA165" s="19" t="str">
        <f t="shared" si="9"/>
        <v>Fourfit version number.</v>
      </c>
    </row>
    <row r="166" spans="1:27" x14ac:dyDescent="0.2">
      <c r="A166" s="12">
        <v>412</v>
      </c>
      <c r="B166" s="12">
        <v>3</v>
      </c>
      <c r="C166" s="12" t="str">
        <f t="shared" si="8"/>
        <v>FRNGERR</v>
      </c>
      <c r="D166" s="14" t="s">
        <v>1056</v>
      </c>
      <c r="E166" s="12">
        <v>1</v>
      </c>
      <c r="F166" s="12">
        <v>1</v>
      </c>
      <c r="G166" s="12">
        <v>1</v>
      </c>
      <c r="H166" s="12" t="s">
        <v>589</v>
      </c>
      <c r="I166" s="12">
        <v>1</v>
      </c>
      <c r="J166" s="12" t="s">
        <v>2324</v>
      </c>
      <c r="K166" s="12" t="s">
        <v>1347</v>
      </c>
      <c r="L166" s="23" t="s">
        <v>1342</v>
      </c>
      <c r="M166" s="13" t="s">
        <v>1464</v>
      </c>
      <c r="N166" s="13" t="s">
        <v>1342</v>
      </c>
      <c r="O166" s="12" t="s">
        <v>2112</v>
      </c>
      <c r="P166" s="12" t="s">
        <v>2180</v>
      </c>
      <c r="Q166" s="12" t="s">
        <v>1342</v>
      </c>
      <c r="R166" s="13" t="s">
        <v>1342</v>
      </c>
      <c r="S166" s="13" t="s">
        <v>1342</v>
      </c>
      <c r="T166" s="23" t="s">
        <v>1342</v>
      </c>
      <c r="U166" s="13" t="s">
        <v>1342</v>
      </c>
      <c r="V166" s="13" t="s">
        <v>1342</v>
      </c>
      <c r="W166" s="13" t="s">
        <v>1342</v>
      </c>
      <c r="X166" s="12" t="str">
        <f>VLOOKUP($D166,global_toc!$C:$K,7,FALSE)</f>
        <v>80SEP28X_</v>
      </c>
      <c r="Y166" s="12" t="str">
        <f>VLOOKUP($D166,global_toc!$C:$K,8,FALSE)</f>
        <v>82OCT25X_</v>
      </c>
      <c r="Z166" s="12">
        <f>VLOOKUP($D166,global_toc!$C:$K,9,FALSE)</f>
        <v>43</v>
      </c>
      <c r="AA166" s="19" t="str">
        <f t="shared" si="9"/>
        <v>Fourfit error flag blank=OK.</v>
      </c>
    </row>
    <row r="167" spans="1:27" x14ac:dyDescent="0.2">
      <c r="A167" s="12">
        <v>413</v>
      </c>
      <c r="B167" s="12">
        <v>3</v>
      </c>
      <c r="C167" s="12" t="str">
        <f t="shared" si="8"/>
        <v>FRQGROUP</v>
      </c>
      <c r="D167" s="14" t="s">
        <v>1058</v>
      </c>
      <c r="E167" s="12">
        <v>1</v>
      </c>
      <c r="F167" s="12">
        <v>1</v>
      </c>
      <c r="G167" s="12">
        <v>1</v>
      </c>
      <c r="H167" s="12" t="s">
        <v>589</v>
      </c>
      <c r="I167" s="12">
        <v>1</v>
      </c>
      <c r="J167" s="12" t="s">
        <v>2346</v>
      </c>
      <c r="K167" s="12" t="s">
        <v>1347</v>
      </c>
      <c r="L167" s="23" t="s">
        <v>1342</v>
      </c>
      <c r="M167" s="13" t="s">
        <v>1464</v>
      </c>
      <c r="N167" s="13" t="s">
        <v>1342</v>
      </c>
      <c r="O167" s="12" t="s">
        <v>2112</v>
      </c>
      <c r="P167" s="12" t="s">
        <v>2180</v>
      </c>
      <c r="Q167" s="12" t="s">
        <v>1342</v>
      </c>
      <c r="R167" s="13" t="s">
        <v>1342</v>
      </c>
      <c r="S167" s="13" t="s">
        <v>1342</v>
      </c>
      <c r="T167" s="23" t="s">
        <v>1342</v>
      </c>
      <c r="U167" s="13" t="s">
        <v>1342</v>
      </c>
      <c r="V167" s="13" t="s">
        <v>1342</v>
      </c>
      <c r="W167" s="13" t="s">
        <v>1342</v>
      </c>
      <c r="X167" s="12" t="str">
        <f>VLOOKUP($D167,global_toc!$C:$K,7,FALSE)</f>
        <v>80SEP28X_</v>
      </c>
      <c r="Y167" s="12" t="str">
        <f>VLOOKUP($D167,global_toc!$C:$K,8,FALSE)</f>
        <v>82OCT25X_</v>
      </c>
      <c r="Z167" s="12">
        <f>VLOOKUP($D167,global_toc!$C:$K,9,FALSE)</f>
        <v>43</v>
      </c>
      <c r="AA167" s="19" t="str">
        <f t="shared" si="9"/>
        <v>Frequency group code.</v>
      </c>
    </row>
    <row r="168" spans="1:27" x14ac:dyDescent="0.2">
      <c r="A168" s="12">
        <v>414</v>
      </c>
      <c r="B168" s="12">
        <v>3</v>
      </c>
      <c r="C168" s="12" t="str">
        <f t="shared" si="8"/>
        <v>GeocMBD</v>
      </c>
      <c r="D168" s="14" t="s">
        <v>1004</v>
      </c>
      <c r="E168" s="12">
        <v>1</v>
      </c>
      <c r="F168" s="12">
        <v>1</v>
      </c>
      <c r="G168" s="12">
        <v>1</v>
      </c>
      <c r="H168" s="12" t="s">
        <v>447</v>
      </c>
      <c r="I168" s="12">
        <v>1</v>
      </c>
      <c r="J168" s="12" t="s">
        <v>1005</v>
      </c>
      <c r="K168" s="12" t="s">
        <v>1347</v>
      </c>
      <c r="L168" s="23" t="s">
        <v>1342</v>
      </c>
      <c r="M168" s="13" t="s">
        <v>1464</v>
      </c>
      <c r="N168" s="13" t="s">
        <v>1342</v>
      </c>
      <c r="O168" s="12" t="s">
        <v>2112</v>
      </c>
      <c r="P168" s="12" t="s">
        <v>2180</v>
      </c>
      <c r="Q168" s="12" t="s">
        <v>1342</v>
      </c>
      <c r="R168" s="13" t="s">
        <v>1531</v>
      </c>
      <c r="S168" s="13" t="s">
        <v>1342</v>
      </c>
      <c r="T168" s="23" t="s">
        <v>1342</v>
      </c>
      <c r="U168" s="13" t="s">
        <v>1342</v>
      </c>
      <c r="V168" s="13" t="s">
        <v>1651</v>
      </c>
      <c r="W168" s="13" t="s">
        <v>1342</v>
      </c>
      <c r="X168" s="12" t="str">
        <f>VLOOKUP($D168,global_toc!$C:$K,7,FALSE)</f>
        <v>97DEC03XN</v>
      </c>
      <c r="Y168" s="12" t="str">
        <f>VLOOKUP($D168,global_toc!$C:$K,8,FALSE)</f>
        <v>11OCT17XA</v>
      </c>
      <c r="Z168" s="12">
        <f>VLOOKUP($D168,global_toc!$C:$K,9,FALSE)</f>
        <v>1651</v>
      </c>
      <c r="AA168" s="19" t="str">
        <f t="shared" si="9"/>
        <v>Tot geocenter group delay (sec).</v>
      </c>
    </row>
    <row r="169" spans="1:27" x14ac:dyDescent="0.2">
      <c r="A169" s="12">
        <v>415</v>
      </c>
      <c r="B169" s="12">
        <v>2</v>
      </c>
      <c r="C169" s="12" t="str">
        <f t="shared" si="8"/>
        <v>GeocPhase</v>
      </c>
      <c r="D169" s="14" t="s">
        <v>749</v>
      </c>
      <c r="E169" s="12">
        <v>1</v>
      </c>
      <c r="F169" s="12">
        <v>1</v>
      </c>
      <c r="G169" s="12">
        <v>1</v>
      </c>
      <c r="H169" s="12" t="s">
        <v>447</v>
      </c>
      <c r="I169" s="12">
        <v>1</v>
      </c>
      <c r="J169" s="12" t="s">
        <v>2304</v>
      </c>
      <c r="K169" s="12" t="s">
        <v>1347</v>
      </c>
      <c r="L169" s="23" t="s">
        <v>1342</v>
      </c>
      <c r="M169" s="13" t="s">
        <v>1464</v>
      </c>
      <c r="N169" s="13" t="s">
        <v>1342</v>
      </c>
      <c r="O169" s="12" t="s">
        <v>2112</v>
      </c>
      <c r="P169" s="12" t="s">
        <v>2180</v>
      </c>
      <c r="Q169" s="12" t="s">
        <v>1342</v>
      </c>
      <c r="R169" s="13" t="s">
        <v>1543</v>
      </c>
      <c r="S169" s="13" t="s">
        <v>1342</v>
      </c>
      <c r="T169" s="23" t="s">
        <v>1342</v>
      </c>
      <c r="U169" s="13" t="s">
        <v>1342</v>
      </c>
      <c r="V169" s="13" t="s">
        <v>1342</v>
      </c>
      <c r="W169" s="13" t="s">
        <v>1342</v>
      </c>
      <c r="X169" s="12" t="str">
        <f>VLOOKUP($D169,global_toc!$C:$K,7,FALSE)</f>
        <v>80JUL26X_</v>
      </c>
      <c r="Y169" s="12" t="str">
        <f>VLOOKUP($D169,global_toc!$C:$K,8,FALSE)</f>
        <v>11OCT17XA</v>
      </c>
      <c r="Z169" s="12">
        <f>VLOOKUP($D169,global_toc!$C:$K,9,FALSE)</f>
        <v>5026</v>
      </c>
      <c r="AA169" s="19" t="str">
        <f t="shared" si="9"/>
        <v>Tot phase ref to cen of Earth.</v>
      </c>
    </row>
    <row r="170" spans="1:27" x14ac:dyDescent="0.2">
      <c r="A170" s="12">
        <v>416</v>
      </c>
      <c r="B170" s="12">
        <v>3</v>
      </c>
      <c r="C170" s="12" t="str">
        <f t="shared" si="8"/>
        <v>GeocRate</v>
      </c>
      <c r="D170" s="14" t="s">
        <v>1006</v>
      </c>
      <c r="E170" s="12">
        <v>1</v>
      </c>
      <c r="F170" s="12">
        <v>1</v>
      </c>
      <c r="G170" s="12">
        <v>1</v>
      </c>
      <c r="H170" s="12" t="s">
        <v>447</v>
      </c>
      <c r="I170" s="12">
        <v>1</v>
      </c>
      <c r="J170" s="12" t="s">
        <v>2288</v>
      </c>
      <c r="K170" s="12" t="s">
        <v>1347</v>
      </c>
      <c r="L170" s="23" t="s">
        <v>1342</v>
      </c>
      <c r="M170" s="13" t="s">
        <v>1464</v>
      </c>
      <c r="N170" s="13" t="s">
        <v>1342</v>
      </c>
      <c r="O170" s="12" t="s">
        <v>2112</v>
      </c>
      <c r="P170" s="12" t="s">
        <v>2180</v>
      </c>
      <c r="Q170" s="12" t="s">
        <v>1342</v>
      </c>
      <c r="R170" s="13" t="s">
        <v>1546</v>
      </c>
      <c r="S170" s="13" t="s">
        <v>1342</v>
      </c>
      <c r="T170" s="23" t="s">
        <v>1342</v>
      </c>
      <c r="U170" s="13" t="s">
        <v>1342</v>
      </c>
      <c r="V170" s="13" t="s">
        <v>1342</v>
      </c>
      <c r="W170" s="13" t="s">
        <v>1342</v>
      </c>
      <c r="X170" s="12" t="str">
        <f>VLOOKUP($D170,global_toc!$C:$K,7,FALSE)</f>
        <v>97DEC03XN</v>
      </c>
      <c r="Y170" s="12" t="str">
        <f>VLOOKUP($D170,global_toc!$C:$K,8,FALSE)</f>
        <v>11OCT17XA</v>
      </c>
      <c r="Z170" s="12">
        <f>VLOOKUP($D170,global_toc!$C:$K,9,FALSE)</f>
        <v>1651</v>
      </c>
      <c r="AA170" s="19" t="str">
        <f t="shared" si="9"/>
        <v>Tot geocenter delay rate (s/s).</v>
      </c>
    </row>
    <row r="171" spans="1:27" x14ac:dyDescent="0.2">
      <c r="A171" s="12">
        <v>418</v>
      </c>
      <c r="B171" s="12">
        <v>3</v>
      </c>
      <c r="C171" s="12" t="str">
        <f t="shared" si="8"/>
        <v>GeocResidPhase</v>
      </c>
      <c r="D171" s="14" t="s">
        <v>1010</v>
      </c>
      <c r="E171" s="12">
        <v>1</v>
      </c>
      <c r="F171" s="12">
        <v>1</v>
      </c>
      <c r="G171" s="12">
        <v>1</v>
      </c>
      <c r="H171" s="12" t="s">
        <v>447</v>
      </c>
      <c r="I171" s="12">
        <v>1</v>
      </c>
      <c r="J171" s="12" t="s">
        <v>1011</v>
      </c>
      <c r="K171" s="12" t="s">
        <v>1347</v>
      </c>
      <c r="L171" s="23" t="s">
        <v>1342</v>
      </c>
      <c r="M171" s="13" t="s">
        <v>1464</v>
      </c>
      <c r="N171" s="13" t="s">
        <v>1342</v>
      </c>
      <c r="O171" s="12" t="s">
        <v>2112</v>
      </c>
      <c r="P171" s="12" t="s">
        <v>2180</v>
      </c>
      <c r="Q171" s="12" t="s">
        <v>1342</v>
      </c>
      <c r="R171" s="13" t="s">
        <v>1548</v>
      </c>
      <c r="S171" s="13" t="s">
        <v>1342</v>
      </c>
      <c r="T171" s="23" t="s">
        <v>1342</v>
      </c>
      <c r="U171" s="13" t="s">
        <v>1342</v>
      </c>
      <c r="V171" s="13" t="s">
        <v>1342</v>
      </c>
      <c r="W171" s="13" t="s">
        <v>1342</v>
      </c>
      <c r="X171" s="12" t="str">
        <f>VLOOKUP($D171,global_toc!$C:$K,7,FALSE)</f>
        <v>79AUG03XX</v>
      </c>
      <c r="Y171" s="12" t="str">
        <f>VLOOKUP($D171,global_toc!$C:$K,8,FALSE)</f>
        <v>11OCT17XA</v>
      </c>
      <c r="Z171" s="12">
        <f>VLOOKUP($D171,global_toc!$C:$K,9,FALSE)</f>
        <v>4935</v>
      </c>
      <c r="AA171" s="19" t="str">
        <f t="shared" si="9"/>
        <v>Resid phs corrected to cen of E.</v>
      </c>
    </row>
    <row r="172" spans="1:27" x14ac:dyDescent="0.2">
      <c r="A172" s="12">
        <v>417</v>
      </c>
      <c r="B172" s="12">
        <v>3</v>
      </c>
      <c r="C172" s="12" t="str">
        <f t="shared" si="8"/>
        <v>GeocSBD</v>
      </c>
      <c r="D172" s="14" t="s">
        <v>1008</v>
      </c>
      <c r="E172" s="12">
        <v>1</v>
      </c>
      <c r="F172" s="12">
        <v>1</v>
      </c>
      <c r="G172" s="12">
        <v>1</v>
      </c>
      <c r="H172" s="12" t="s">
        <v>447</v>
      </c>
      <c r="I172" s="12">
        <v>1</v>
      </c>
      <c r="J172" s="12" t="s">
        <v>2305</v>
      </c>
      <c r="K172" s="12" t="s">
        <v>1347</v>
      </c>
      <c r="L172" s="23" t="s">
        <v>1342</v>
      </c>
      <c r="M172" s="13" t="s">
        <v>1464</v>
      </c>
      <c r="N172" s="13" t="s">
        <v>1342</v>
      </c>
      <c r="O172" s="12" t="s">
        <v>2112</v>
      </c>
      <c r="P172" s="12" t="s">
        <v>2180</v>
      </c>
      <c r="Q172" s="12" t="s">
        <v>1342</v>
      </c>
      <c r="R172" s="13" t="s">
        <v>1547</v>
      </c>
      <c r="S172" s="13" t="s">
        <v>1342</v>
      </c>
      <c r="T172" s="23" t="s">
        <v>1342</v>
      </c>
      <c r="U172" s="13" t="s">
        <v>1342</v>
      </c>
      <c r="V172" s="13" t="s">
        <v>1342</v>
      </c>
      <c r="W172" s="13" t="s">
        <v>1342</v>
      </c>
      <c r="X172" s="12" t="str">
        <f>VLOOKUP($D172,global_toc!$C:$K,7,FALSE)</f>
        <v>97DEC03XN</v>
      </c>
      <c r="Y172" s="12" t="str">
        <f>VLOOKUP($D172,global_toc!$C:$K,8,FALSE)</f>
        <v>11OCT17XA</v>
      </c>
      <c r="Z172" s="12">
        <f>VLOOKUP($D172,global_toc!$C:$K,9,FALSE)</f>
        <v>1651</v>
      </c>
      <c r="AA172" s="19" t="str">
        <f t="shared" si="9"/>
        <v>Tot geocenter sbd delay (sec).</v>
      </c>
    </row>
    <row r="173" spans="1:27" x14ac:dyDescent="0.2">
      <c r="A173" s="12">
        <v>419</v>
      </c>
      <c r="B173" s="12">
        <v>3</v>
      </c>
      <c r="C173" s="12" t="str">
        <f t="shared" si="8"/>
        <v>IDELAY</v>
      </c>
      <c r="D173" s="14" t="s">
        <v>1012</v>
      </c>
      <c r="E173" s="12">
        <v>2</v>
      </c>
      <c r="F173" s="12">
        <v>1</v>
      </c>
      <c r="G173" s="12">
        <v>1</v>
      </c>
      <c r="H173" s="12" t="s">
        <v>447</v>
      </c>
      <c r="I173" s="12">
        <v>1</v>
      </c>
      <c r="J173" s="12" t="s">
        <v>2289</v>
      </c>
      <c r="K173" s="12" t="s">
        <v>1347</v>
      </c>
      <c r="L173" s="23" t="s">
        <v>1342</v>
      </c>
      <c r="M173" s="13" t="s">
        <v>1464</v>
      </c>
      <c r="N173" s="13" t="s">
        <v>1342</v>
      </c>
      <c r="O173" s="12" t="s">
        <v>2112</v>
      </c>
      <c r="P173" s="12" t="s">
        <v>2180</v>
      </c>
      <c r="Q173" s="12" t="s">
        <v>1342</v>
      </c>
      <c r="R173" s="13" t="s">
        <v>1342</v>
      </c>
      <c r="S173" s="13" t="s">
        <v>1342</v>
      </c>
      <c r="T173" s="23" t="s">
        <v>1342</v>
      </c>
      <c r="U173" s="13" t="s">
        <v>1342</v>
      </c>
      <c r="V173" s="13" t="s">
        <v>1342</v>
      </c>
      <c r="W173" s="13" t="s">
        <v>1342</v>
      </c>
      <c r="X173" s="12" t="str">
        <f>VLOOKUP($D173,global_toc!$C:$K,7,FALSE)</f>
        <v>97DEC03XN</v>
      </c>
      <c r="Y173" s="12" t="str">
        <f>VLOOKUP($D173,global_toc!$C:$K,8,FALSE)</f>
        <v>11OCT17XA</v>
      </c>
      <c r="Z173" s="12">
        <f>VLOOKUP($D173,global_toc!$C:$K,9,FALSE)</f>
        <v>1651</v>
      </c>
      <c r="AA173" s="19" t="str">
        <f t="shared" si="9"/>
        <v>Corel instrumental delay (sec).</v>
      </c>
    </row>
    <row r="174" spans="1:27" x14ac:dyDescent="0.2">
      <c r="A174" s="12">
        <v>420</v>
      </c>
      <c r="B174" s="12">
        <v>3</v>
      </c>
      <c r="C174" s="12" t="str">
        <f t="shared" si="8"/>
        <v>INCOH2</v>
      </c>
      <c r="D174" s="14" t="s">
        <v>1014</v>
      </c>
      <c r="E174" s="12">
        <v>1</v>
      </c>
      <c r="F174" s="12">
        <v>1</v>
      </c>
      <c r="G174" s="12">
        <v>1</v>
      </c>
      <c r="H174" s="12" t="s">
        <v>447</v>
      </c>
      <c r="I174" s="12">
        <v>1</v>
      </c>
      <c r="J174" s="12" t="s">
        <v>2290</v>
      </c>
      <c r="K174" s="12" t="s">
        <v>1347</v>
      </c>
      <c r="L174" s="23" t="s">
        <v>1342</v>
      </c>
      <c r="M174" s="13" t="s">
        <v>1464</v>
      </c>
      <c r="N174" s="13" t="s">
        <v>1342</v>
      </c>
      <c r="O174" s="12" t="s">
        <v>2112</v>
      </c>
      <c r="P174" s="12" t="s">
        <v>2180</v>
      </c>
      <c r="Q174" s="12" t="s">
        <v>1342</v>
      </c>
      <c r="R174" s="13" t="s">
        <v>1342</v>
      </c>
      <c r="S174" s="13" t="s">
        <v>1342</v>
      </c>
      <c r="T174" s="23" t="s">
        <v>1342</v>
      </c>
      <c r="U174" s="13" t="s">
        <v>1342</v>
      </c>
      <c r="V174" s="13" t="s">
        <v>1342</v>
      </c>
      <c r="W174" s="13" t="s">
        <v>1342</v>
      </c>
      <c r="X174" s="12" t="str">
        <f>VLOOKUP($D174,global_toc!$C:$K,7,FALSE)</f>
        <v>79AUG03XX</v>
      </c>
      <c r="Y174" s="12" t="str">
        <f>VLOOKUP($D174,global_toc!$C:$K,8,FALSE)</f>
        <v>11OCT17XA</v>
      </c>
      <c r="Z174" s="12">
        <f>VLOOKUP($D174,global_toc!$C:$K,9,FALSE)</f>
        <v>4935</v>
      </c>
      <c r="AA174" s="19" t="str">
        <f t="shared" si="9"/>
        <v>Incoh amp from FRNGE plot segs.</v>
      </c>
    </row>
    <row r="175" spans="1:27" x14ac:dyDescent="0.2">
      <c r="A175" s="12">
        <v>421</v>
      </c>
      <c r="B175" s="12">
        <v>3</v>
      </c>
      <c r="C175" s="12" t="str">
        <f t="shared" si="8"/>
        <v>INCOHAMP</v>
      </c>
      <c r="D175" s="14" t="s">
        <v>1016</v>
      </c>
      <c r="E175" s="12">
        <v>1</v>
      </c>
      <c r="F175" s="12">
        <v>1</v>
      </c>
      <c r="G175" s="12">
        <v>1</v>
      </c>
      <c r="H175" s="12" t="s">
        <v>447</v>
      </c>
      <c r="I175" s="12">
        <v>1</v>
      </c>
      <c r="J175" s="12" t="s">
        <v>2291</v>
      </c>
      <c r="K175" s="12" t="s">
        <v>1347</v>
      </c>
      <c r="L175" s="23" t="s">
        <v>1342</v>
      </c>
      <c r="M175" s="13" t="s">
        <v>1464</v>
      </c>
      <c r="N175" s="13" t="s">
        <v>1342</v>
      </c>
      <c r="O175" s="12" t="s">
        <v>2112</v>
      </c>
      <c r="P175" s="12" t="s">
        <v>2180</v>
      </c>
      <c r="Q175" s="12" t="s">
        <v>1342</v>
      </c>
      <c r="R175" s="13" t="s">
        <v>1342</v>
      </c>
      <c r="S175" s="13" t="s">
        <v>1342</v>
      </c>
      <c r="T175" s="23" t="s">
        <v>1342</v>
      </c>
      <c r="U175" s="13" t="s">
        <v>1342</v>
      </c>
      <c r="V175" s="13" t="s">
        <v>1342</v>
      </c>
      <c r="W175" s="13" t="s">
        <v>1342</v>
      </c>
      <c r="X175" s="12" t="str">
        <f>VLOOKUP($D175,global_toc!$C:$K,7,FALSE)</f>
        <v>79AUG03XX</v>
      </c>
      <c r="Y175" s="12" t="str">
        <f>VLOOKUP($D175,global_toc!$C:$K,8,FALSE)</f>
        <v>11OCT17XA</v>
      </c>
      <c r="Z175" s="12">
        <f>VLOOKUP($D175,global_toc!$C:$K,9,FALSE)</f>
        <v>4935</v>
      </c>
      <c r="AA175" s="19" t="str">
        <f t="shared" si="9"/>
        <v>Fr. amp from incoh int of chan.</v>
      </c>
    </row>
    <row r="176" spans="1:27" x14ac:dyDescent="0.2">
      <c r="A176" s="12">
        <v>422</v>
      </c>
      <c r="B176" s="12">
        <v>3</v>
      </c>
      <c r="C176" s="12" t="str">
        <f t="shared" si="8"/>
        <v>INDEXNUM</v>
      </c>
      <c r="D176" s="14" t="s">
        <v>1038</v>
      </c>
      <c r="E176" s="12">
        <v>2</v>
      </c>
      <c r="F176" s="12">
        <v>16</v>
      </c>
      <c r="G176" s="12">
        <v>1</v>
      </c>
      <c r="H176" s="12" t="s">
        <v>544</v>
      </c>
      <c r="I176" s="12">
        <v>1</v>
      </c>
      <c r="J176" s="12" t="s">
        <v>2292</v>
      </c>
      <c r="K176" s="12" t="s">
        <v>1347</v>
      </c>
      <c r="L176" s="23" t="s">
        <v>1342</v>
      </c>
      <c r="M176" s="13" t="s">
        <v>1464</v>
      </c>
      <c r="N176" s="13" t="s">
        <v>1342</v>
      </c>
      <c r="O176" s="12" t="s">
        <v>2112</v>
      </c>
      <c r="P176" s="12" t="s">
        <v>2180</v>
      </c>
      <c r="Q176" s="12" t="s">
        <v>1342</v>
      </c>
      <c r="R176" s="13" t="s">
        <v>1342</v>
      </c>
      <c r="S176" s="13" t="s">
        <v>1342</v>
      </c>
      <c r="T176" s="23" t="s">
        <v>1342</v>
      </c>
      <c r="U176" s="13" t="s">
        <v>1342</v>
      </c>
      <c r="V176" s="13" t="s">
        <v>1342</v>
      </c>
      <c r="W176" s="13" t="s">
        <v>1342</v>
      </c>
      <c r="X176" s="12" t="str">
        <f>VLOOKUP($D176,global_toc!$C:$K,7,FALSE)</f>
        <v>79AUG03XX</v>
      </c>
      <c r="Y176" s="12" t="str">
        <f>VLOOKUP($D176,global_toc!$C:$K,8,FALSE)</f>
        <v>11OCT17XA</v>
      </c>
      <c r="Z176" s="12">
        <f>VLOOKUP($D176,global_toc!$C:$K,9,FALSE)</f>
        <v>4719</v>
      </c>
      <c r="AA176" s="19" t="str">
        <f t="shared" si="9"/>
        <v>Corel index numbers by sb freq.</v>
      </c>
    </row>
    <row r="177" spans="1:27" x14ac:dyDescent="0.2">
      <c r="A177" s="12">
        <v>423</v>
      </c>
      <c r="B177" s="12">
        <v>2</v>
      </c>
      <c r="C177" s="12" t="str">
        <f t="shared" si="8"/>
        <v>LOFreq</v>
      </c>
      <c r="D177" s="14" t="s">
        <v>755</v>
      </c>
      <c r="E177" s="12">
        <v>2</v>
      </c>
      <c r="F177" s="12">
        <v>16</v>
      </c>
      <c r="G177" s="12">
        <v>1</v>
      </c>
      <c r="H177" s="12" t="s">
        <v>447</v>
      </c>
      <c r="I177" s="12">
        <v>1</v>
      </c>
      <c r="J177" s="12" t="s">
        <v>2293</v>
      </c>
      <c r="K177" s="12" t="s">
        <v>1347</v>
      </c>
      <c r="L177" s="23" t="s">
        <v>1342</v>
      </c>
      <c r="M177" s="13" t="s">
        <v>1464</v>
      </c>
      <c r="N177" s="13" t="s">
        <v>1342</v>
      </c>
      <c r="O177" s="12" t="s">
        <v>2112</v>
      </c>
      <c r="P177" s="12" t="s">
        <v>2180</v>
      </c>
      <c r="Q177" s="12" t="s">
        <v>1342</v>
      </c>
      <c r="R177" s="13" t="s">
        <v>1539</v>
      </c>
      <c r="S177" s="13" t="s">
        <v>1342</v>
      </c>
      <c r="T177" s="23" t="s">
        <v>1342</v>
      </c>
      <c r="U177" s="13" t="s">
        <v>1342</v>
      </c>
      <c r="V177" s="13" t="s">
        <v>1631</v>
      </c>
      <c r="W177" s="13" t="s">
        <v>1342</v>
      </c>
      <c r="X177" s="12" t="str">
        <f>VLOOKUP($D177,global_toc!$C:$K,7,FALSE)</f>
        <v>97DEC03XN</v>
      </c>
      <c r="Y177" s="12" t="str">
        <f>VLOOKUP($D177,global_toc!$C:$K,8,FALSE)</f>
        <v>11OCT17XA</v>
      </c>
      <c r="Z177" s="12">
        <f>VLOOKUP($D177,global_toc!$C:$K,9,FALSE)</f>
        <v>1651</v>
      </c>
      <c r="AA177" s="19" t="str">
        <f t="shared" si="9"/>
        <v>LO frequencies per cha/sta MHz.</v>
      </c>
    </row>
    <row r="178" spans="1:27" x14ac:dyDescent="0.2">
      <c r="A178" s="12">
        <v>468</v>
      </c>
      <c r="B178" s="12">
        <v>2</v>
      </c>
      <c r="C178" s="12" t="str">
        <f t="shared" si="8"/>
        <v>NumAccum</v>
      </c>
      <c r="D178" s="12" t="s">
        <v>1774</v>
      </c>
      <c r="E178" s="12">
        <v>32</v>
      </c>
      <c r="F178" s="12">
        <v>1</v>
      </c>
      <c r="G178" s="12">
        <v>1</v>
      </c>
      <c r="H178" s="12" t="s">
        <v>544</v>
      </c>
      <c r="I178" s="12">
        <v>2</v>
      </c>
      <c r="J178" s="12" t="s">
        <v>1823</v>
      </c>
      <c r="K178" s="12" t="s">
        <v>1347</v>
      </c>
      <c r="L178" s="23" t="s">
        <v>1342</v>
      </c>
      <c r="M178" s="13" t="s">
        <v>1464</v>
      </c>
      <c r="N178" s="13" t="s">
        <v>1342</v>
      </c>
      <c r="O178" s="12" t="s">
        <v>2112</v>
      </c>
      <c r="P178" s="12" t="s">
        <v>2180</v>
      </c>
      <c r="Q178" s="12" t="s">
        <v>1342</v>
      </c>
      <c r="R178" s="13" t="s">
        <v>2123</v>
      </c>
      <c r="S178" s="13" t="s">
        <v>1342</v>
      </c>
      <c r="T178" s="23" t="s">
        <v>1342</v>
      </c>
      <c r="U178" s="13" t="s">
        <v>1342</v>
      </c>
      <c r="V178" s="13" t="s">
        <v>1342</v>
      </c>
      <c r="W178" s="13" t="s">
        <v>1342</v>
      </c>
      <c r="X178" s="12" t="str">
        <f>VLOOKUP($D178,global_toc!$C:$K,7,FALSE)</f>
        <v>02MAR13XG</v>
      </c>
      <c r="Y178" s="12" t="str">
        <f>VLOOKUP($D178,global_toc!$C:$K,8,FALSE)</f>
        <v>06AUG02XG</v>
      </c>
      <c r="Z178" s="12">
        <f>VLOOKUP($D178,global_toc!$C:$K,9,FALSE)</f>
        <v>50</v>
      </c>
      <c r="AA178" s="19" t="str">
        <f t="shared" si="9"/>
        <v>No. of accum. periods in Channel</v>
      </c>
    </row>
    <row r="179" spans="1:27" x14ac:dyDescent="0.2">
      <c r="A179" s="12">
        <v>424</v>
      </c>
      <c r="B179" s="12">
        <v>2</v>
      </c>
      <c r="C179" s="12" t="str">
        <f t="shared" si="8"/>
        <v>NumAp</v>
      </c>
      <c r="D179" s="14" t="s">
        <v>950</v>
      </c>
      <c r="E179" s="12">
        <v>2</v>
      </c>
      <c r="F179" s="12">
        <v>16</v>
      </c>
      <c r="G179" s="12">
        <v>1</v>
      </c>
      <c r="H179" s="12" t="s">
        <v>544</v>
      </c>
      <c r="I179" s="12">
        <v>1</v>
      </c>
      <c r="J179" s="12" t="s">
        <v>951</v>
      </c>
      <c r="K179" s="12" t="s">
        <v>1347</v>
      </c>
      <c r="L179" s="23" t="s">
        <v>1342</v>
      </c>
      <c r="M179" s="13" t="s">
        <v>1464</v>
      </c>
      <c r="N179" s="13" t="s">
        <v>1342</v>
      </c>
      <c r="O179" s="12" t="s">
        <v>2112</v>
      </c>
      <c r="P179" s="12" t="s">
        <v>2180</v>
      </c>
      <c r="Q179" s="12" t="s">
        <v>1342</v>
      </c>
      <c r="R179" s="13" t="s">
        <v>1541</v>
      </c>
      <c r="S179" s="13" t="s">
        <v>1342</v>
      </c>
      <c r="T179" s="23" t="s">
        <v>1342</v>
      </c>
      <c r="U179" s="13" t="s">
        <v>1342</v>
      </c>
      <c r="V179" s="13" t="s">
        <v>1342</v>
      </c>
      <c r="W179" s="13" t="s">
        <v>1342</v>
      </c>
      <c r="X179" s="12" t="str">
        <f>VLOOKUP($D179,global_toc!$C:$K,7,FALSE)</f>
        <v>79AUG03XX</v>
      </c>
      <c r="Y179" s="12" t="str">
        <f>VLOOKUP($D179,global_toc!$C:$K,8,FALSE)</f>
        <v>11OCT17XA</v>
      </c>
      <c r="Z179" s="12">
        <f>VLOOKUP($D179,global_toc!$C:$K,9,FALSE)</f>
        <v>5027</v>
      </c>
      <c r="AA179" s="19" t="str">
        <f t="shared" si="9"/>
        <v># of AP by sideband and channel.</v>
      </c>
    </row>
    <row r="180" spans="1:27" x14ac:dyDescent="0.2">
      <c r="A180" s="12">
        <v>458</v>
      </c>
      <c r="B180" s="12">
        <v>2</v>
      </c>
      <c r="C180" s="12" t="str">
        <f t="shared" si="8"/>
        <v>NumBBCFreqs</v>
      </c>
      <c r="D180" s="12" t="s">
        <v>1773</v>
      </c>
      <c r="E180" s="12">
        <v>1</v>
      </c>
      <c r="F180" s="12">
        <v>1</v>
      </c>
      <c r="G180" s="12">
        <v>1</v>
      </c>
      <c r="H180" s="12" t="s">
        <v>544</v>
      </c>
      <c r="I180" s="12">
        <v>2</v>
      </c>
      <c r="J180" s="12" t="s">
        <v>1822</v>
      </c>
      <c r="K180" s="12" t="s">
        <v>1347</v>
      </c>
      <c r="L180" s="23" t="s">
        <v>1342</v>
      </c>
      <c r="M180" s="13" t="s">
        <v>1464</v>
      </c>
      <c r="N180" s="13" t="s">
        <v>1342</v>
      </c>
      <c r="O180" s="12" t="s">
        <v>2112</v>
      </c>
      <c r="P180" s="12" t="s">
        <v>2180</v>
      </c>
      <c r="Q180" s="12" t="s">
        <v>1342</v>
      </c>
      <c r="R180" s="13" t="s">
        <v>2122</v>
      </c>
      <c r="S180" s="13" t="s">
        <v>1342</v>
      </c>
      <c r="T180" s="23" t="s">
        <v>1342</v>
      </c>
      <c r="U180" s="13" t="s">
        <v>1342</v>
      </c>
      <c r="V180" s="13" t="s">
        <v>1342</v>
      </c>
      <c r="W180" s="13" t="s">
        <v>1342</v>
      </c>
      <c r="X180" s="12" t="str">
        <f>VLOOKUP($D180,global_toc!$C:$K,7,FALSE)</f>
        <v>02MAR13XG</v>
      </c>
      <c r="Y180" s="12" t="str">
        <f>VLOOKUP($D180,global_toc!$C:$K,8,FALSE)</f>
        <v>06AUG02XG</v>
      </c>
      <c r="Z180" s="12">
        <f>VLOOKUP($D180,global_toc!$C:$K,9,FALSE)</f>
        <v>50</v>
      </c>
      <c r="AA180" s="19" t="str">
        <f t="shared" si="9"/>
        <v>No. of BBC frequencies in Band</v>
      </c>
    </row>
    <row r="181" spans="1:27" x14ac:dyDescent="0.2">
      <c r="A181" s="12">
        <v>380</v>
      </c>
      <c r="B181" s="12">
        <v>2</v>
      </c>
      <c r="C181" s="12" t="str">
        <f t="shared" si="8"/>
        <v>NumChannels</v>
      </c>
      <c r="D181" s="14" t="s">
        <v>942</v>
      </c>
      <c r="E181" s="12">
        <v>1</v>
      </c>
      <c r="F181" s="12">
        <v>1</v>
      </c>
      <c r="G181" s="12">
        <v>1</v>
      </c>
      <c r="H181" s="12" t="s">
        <v>544</v>
      </c>
      <c r="I181" s="12">
        <v>1</v>
      </c>
      <c r="J181" s="12" t="s">
        <v>943</v>
      </c>
      <c r="K181" s="12" t="s">
        <v>1347</v>
      </c>
      <c r="L181" s="23" t="s">
        <v>1342</v>
      </c>
      <c r="M181" s="13" t="s">
        <v>1464</v>
      </c>
      <c r="N181" s="13" t="s">
        <v>1342</v>
      </c>
      <c r="O181" s="12" t="s">
        <v>2112</v>
      </c>
      <c r="P181" s="12" t="s">
        <v>2180</v>
      </c>
      <c r="Q181" s="12" t="s">
        <v>1342</v>
      </c>
      <c r="R181" s="13" t="s">
        <v>1471</v>
      </c>
      <c r="S181" s="13" t="s">
        <v>1342</v>
      </c>
      <c r="T181" s="23" t="s">
        <v>1342</v>
      </c>
      <c r="U181" s="13" t="s">
        <v>1342</v>
      </c>
      <c r="V181" s="13" t="s">
        <v>1342</v>
      </c>
      <c r="W181" s="13" t="s">
        <v>1342</v>
      </c>
      <c r="X181" s="12" t="str">
        <f>VLOOKUP($D181,global_toc!$C:$K,7,FALSE)</f>
        <v>79AUG03XX</v>
      </c>
      <c r="Y181" s="12" t="str">
        <f>VLOOKUP($D181,global_toc!$C:$K,8,FALSE)</f>
        <v>11OCT17XA</v>
      </c>
      <c r="Z181" s="12">
        <f>VLOOKUP($D181,global_toc!$C:$K,9,FALSE)</f>
        <v>5029</v>
      </c>
      <c r="AA181" s="19" t="str">
        <f t="shared" si="9"/>
        <v>No. of U-L pairs in integration.</v>
      </c>
    </row>
    <row r="182" spans="1:27" x14ac:dyDescent="0.2">
      <c r="A182" s="12">
        <v>381</v>
      </c>
      <c r="B182" s="12">
        <v>2</v>
      </c>
      <c r="C182" s="12" t="str">
        <f t="shared" si="8"/>
        <v>NumSamples</v>
      </c>
      <c r="D182" s="14" t="s">
        <v>735</v>
      </c>
      <c r="E182" s="12">
        <v>2</v>
      </c>
      <c r="F182" s="12">
        <v>16</v>
      </c>
      <c r="G182" s="12">
        <v>1</v>
      </c>
      <c r="H182" s="12" t="s">
        <v>447</v>
      </c>
      <c r="I182" s="12">
        <v>1</v>
      </c>
      <c r="J182" s="12" t="s">
        <v>736</v>
      </c>
      <c r="K182" s="12" t="s">
        <v>1347</v>
      </c>
      <c r="L182" s="23" t="s">
        <v>1342</v>
      </c>
      <c r="M182" s="13" t="s">
        <v>1464</v>
      </c>
      <c r="N182" s="13" t="s">
        <v>1342</v>
      </c>
      <c r="O182" s="12" t="s">
        <v>2112</v>
      </c>
      <c r="P182" s="12" t="s">
        <v>2180</v>
      </c>
      <c r="Q182" s="12" t="s">
        <v>1342</v>
      </c>
      <c r="R182" s="13" t="s">
        <v>1532</v>
      </c>
      <c r="S182" s="13" t="s">
        <v>1342</v>
      </c>
      <c r="T182" s="23" t="s">
        <v>1342</v>
      </c>
      <c r="U182" s="13" t="s">
        <v>1342</v>
      </c>
      <c r="V182" s="13" t="s">
        <v>1342</v>
      </c>
      <c r="W182" s="13" t="s">
        <v>1342</v>
      </c>
      <c r="X182" s="12" t="str">
        <f>VLOOKUP($D182,global_toc!$C:$K,7,FALSE)</f>
        <v>97DEC03XN</v>
      </c>
      <c r="Y182" s="12" t="str">
        <f>VLOOKUP($D182,global_toc!$C:$K,8,FALSE)</f>
        <v>11OCT17XA</v>
      </c>
      <c r="Z182" s="12">
        <f>VLOOKUP($D182,global_toc!$C:$K,9,FALSE)</f>
        <v>1566</v>
      </c>
      <c r="AA182" s="19" t="str">
        <f t="shared" si="9"/>
        <v># of samples by sideband and cha</v>
      </c>
    </row>
    <row r="183" spans="1:27" x14ac:dyDescent="0.2">
      <c r="A183" s="12">
        <v>425</v>
      </c>
      <c r="B183" s="12">
        <v>3</v>
      </c>
      <c r="C183" s="12" t="str">
        <f t="shared" si="8"/>
        <v>OCCUPNUM</v>
      </c>
      <c r="D183" s="14" t="s">
        <v>435</v>
      </c>
      <c r="E183" s="12">
        <v>4</v>
      </c>
      <c r="F183" s="12">
        <v>2</v>
      </c>
      <c r="G183" s="12">
        <v>1</v>
      </c>
      <c r="H183" s="12" t="s">
        <v>589</v>
      </c>
      <c r="I183" s="12" t="s">
        <v>1672</v>
      </c>
      <c r="J183" s="12" t="s">
        <v>2347</v>
      </c>
      <c r="K183" s="12" t="s">
        <v>1347</v>
      </c>
      <c r="L183" s="23" t="s">
        <v>1342</v>
      </c>
      <c r="M183" s="13" t="s">
        <v>1464</v>
      </c>
      <c r="N183" s="13" t="s">
        <v>1342</v>
      </c>
      <c r="O183" s="12" t="s">
        <v>2112</v>
      </c>
      <c r="P183" s="12" t="s">
        <v>2180</v>
      </c>
      <c r="Q183" s="12" t="s">
        <v>1342</v>
      </c>
      <c r="R183" s="13" t="s">
        <v>1342</v>
      </c>
      <c r="S183" s="13" t="s">
        <v>1342</v>
      </c>
      <c r="T183" s="23" t="s">
        <v>1342</v>
      </c>
      <c r="U183" s="13" t="s">
        <v>1342</v>
      </c>
      <c r="V183" s="13" t="s">
        <v>1342</v>
      </c>
      <c r="W183" s="13" t="s">
        <v>1342</v>
      </c>
      <c r="X183" s="12" t="str">
        <f>VLOOKUP($D183,global_toc!$C:$K,7,FALSE)</f>
        <v>83MAY05X_</v>
      </c>
      <c r="Y183" s="12" t="str">
        <f>VLOOKUP($D183,global_toc!$C:$K,8,FALSE)</f>
        <v>10DEC07XA</v>
      </c>
      <c r="Z183" s="12">
        <f>VLOOKUP($D183,global_toc!$C:$K,9,FALSE)</f>
        <v>2572</v>
      </c>
      <c r="AA183" s="19" t="str">
        <f t="shared" si="9"/>
        <v xml:space="preserve">Site Occupation Number. </v>
      </c>
    </row>
    <row r="184" spans="1:27" x14ac:dyDescent="0.2">
      <c r="A184" s="12">
        <v>426</v>
      </c>
      <c r="B184" s="12">
        <v>3</v>
      </c>
      <c r="C184" s="12" t="str">
        <f t="shared" si="8"/>
        <v>ORIGFILE</v>
      </c>
      <c r="D184" s="14" t="s">
        <v>103</v>
      </c>
      <c r="E184" s="12">
        <v>3</v>
      </c>
      <c r="F184" s="12">
        <v>1</v>
      </c>
      <c r="G184" s="12">
        <v>1</v>
      </c>
      <c r="H184" s="12" t="s">
        <v>589</v>
      </c>
      <c r="I184" s="12" t="s">
        <v>1672</v>
      </c>
      <c r="J184" s="12" t="s">
        <v>2325</v>
      </c>
      <c r="K184" s="12" t="s">
        <v>1347</v>
      </c>
      <c r="L184" s="23" t="s">
        <v>1342</v>
      </c>
      <c r="M184" s="13" t="s">
        <v>1464</v>
      </c>
      <c r="N184" s="13" t="s">
        <v>1342</v>
      </c>
      <c r="O184" s="12" t="s">
        <v>2112</v>
      </c>
      <c r="P184" s="12" t="s">
        <v>2180</v>
      </c>
      <c r="Q184" s="12" t="s">
        <v>1342</v>
      </c>
      <c r="R184" s="13" t="s">
        <v>1342</v>
      </c>
      <c r="S184" s="13" t="s">
        <v>1342</v>
      </c>
      <c r="T184" s="23" t="s">
        <v>1342</v>
      </c>
      <c r="U184" s="13" t="s">
        <v>1342</v>
      </c>
      <c r="V184" s="13" t="s">
        <v>1342</v>
      </c>
      <c r="W184" s="13" t="s">
        <v>1342</v>
      </c>
      <c r="X184" s="12" t="str">
        <f>VLOOKUP($D184,global_toc!$C:$K,7,FALSE)</f>
        <v>79AUG03XX</v>
      </c>
      <c r="Y184" s="12" t="str">
        <f>VLOOKUP($D184,global_toc!$C:$K,8,FALSE)</f>
        <v>10DEC07XA</v>
      </c>
      <c r="Z184" s="12">
        <f>VLOOKUP($D184,global_toc!$C:$K,9,FALSE)</f>
        <v>3068</v>
      </c>
      <c r="AA184" s="19" t="str">
        <f t="shared" si="9"/>
        <v xml:space="preserve">Original COREL file name. </v>
      </c>
    </row>
    <row r="185" spans="1:27" x14ac:dyDescent="0.2">
      <c r="A185" s="12">
        <v>427</v>
      </c>
      <c r="B185" s="12">
        <v>2</v>
      </c>
      <c r="C185" s="12" t="str">
        <f t="shared" si="8"/>
        <v>PHASECAL</v>
      </c>
      <c r="D185" s="14" t="s">
        <v>757</v>
      </c>
      <c r="E185" s="12">
        <v>2</v>
      </c>
      <c r="F185" s="12">
        <v>1</v>
      </c>
      <c r="G185" s="12">
        <v>1</v>
      </c>
      <c r="H185" s="12" t="s">
        <v>447</v>
      </c>
      <c r="I185" s="12">
        <v>1</v>
      </c>
      <c r="J185" s="12" t="s">
        <v>2326</v>
      </c>
      <c r="K185" s="12" t="s">
        <v>1347</v>
      </c>
      <c r="L185" s="23" t="s">
        <v>1342</v>
      </c>
      <c r="M185" s="13" t="s">
        <v>1464</v>
      </c>
      <c r="N185" s="13" t="s">
        <v>1342</v>
      </c>
      <c r="O185" s="12" t="s">
        <v>2112</v>
      </c>
      <c r="P185" s="12" t="s">
        <v>2180</v>
      </c>
      <c r="Q185" s="12" t="s">
        <v>1342</v>
      </c>
      <c r="R185" s="13" t="s">
        <v>1342</v>
      </c>
      <c r="S185" s="13" t="s">
        <v>1342</v>
      </c>
      <c r="T185" s="23" t="s">
        <v>1342</v>
      </c>
      <c r="U185" s="13" t="s">
        <v>1342</v>
      </c>
      <c r="V185" s="13" t="s">
        <v>1342</v>
      </c>
      <c r="W185" s="13" t="s">
        <v>1342</v>
      </c>
      <c r="X185" s="12" t="str">
        <f>VLOOKUP($D185,global_toc!$C:$K,7,FALSE)</f>
        <v>79AUG03XX</v>
      </c>
      <c r="Y185" s="12" t="str">
        <f>VLOOKUP($D185,global_toc!$C:$K,8,FALSE)</f>
        <v>11OCT17XA</v>
      </c>
      <c r="Z185" s="12">
        <f>VLOOKUP($D185,global_toc!$C:$K,9,FALSE)</f>
        <v>5028</v>
      </c>
      <c r="AA185" s="19" t="str">
        <f t="shared" si="9"/>
        <v>PC rate by sta ( us per s).</v>
      </c>
    </row>
    <row r="186" spans="1:27" x14ac:dyDescent="0.2">
      <c r="A186" s="12">
        <v>390</v>
      </c>
      <c r="B186" s="12">
        <v>2</v>
      </c>
      <c r="C186" s="12" t="str">
        <f t="shared" si="8"/>
        <v>PhaseCalAmpPhase</v>
      </c>
      <c r="D186" s="14" t="s">
        <v>946</v>
      </c>
      <c r="E186" s="12">
        <v>3</v>
      </c>
      <c r="F186" s="12">
        <v>2</v>
      </c>
      <c r="G186" s="12">
        <v>16</v>
      </c>
      <c r="H186" s="12" t="s">
        <v>544</v>
      </c>
      <c r="I186" s="12">
        <v>1</v>
      </c>
      <c r="J186" s="12" t="s">
        <v>2306</v>
      </c>
      <c r="K186" s="12" t="s">
        <v>1347</v>
      </c>
      <c r="L186" s="23" t="s">
        <v>1342</v>
      </c>
      <c r="M186" s="13" t="s">
        <v>1464</v>
      </c>
      <c r="N186" s="13" t="s">
        <v>1342</v>
      </c>
      <c r="O186" s="12" t="s">
        <v>2112</v>
      </c>
      <c r="P186" s="12" t="s">
        <v>2180</v>
      </c>
      <c r="Q186" s="12" t="s">
        <v>1342</v>
      </c>
      <c r="R186" s="13" t="s">
        <v>1557</v>
      </c>
      <c r="S186" s="13" t="s">
        <v>1342</v>
      </c>
      <c r="T186" s="23" t="s">
        <v>1342</v>
      </c>
      <c r="U186" s="13" t="s">
        <v>1342</v>
      </c>
      <c r="V186" s="13" t="s">
        <v>1342</v>
      </c>
      <c r="W186" s="13" t="s">
        <v>1342</v>
      </c>
      <c r="X186" s="12" t="str">
        <f>VLOOKUP($D186,global_toc!$C:$K,7,FALSE)</f>
        <v>79AUG03XX</v>
      </c>
      <c r="Y186" s="12" t="str">
        <f>VLOOKUP($D186,global_toc!$C:$K,8,FALSE)</f>
        <v>11OCT17XA</v>
      </c>
      <c r="Z186" s="12">
        <f>VLOOKUP($D186,global_toc!$C:$K,9,FALSE)</f>
        <v>4979</v>
      </c>
      <c r="AA186" s="19" t="str">
        <f t="shared" si="9"/>
        <v>PC amp phs frq by sta channel.</v>
      </c>
    </row>
    <row r="187" spans="1:27" x14ac:dyDescent="0.2">
      <c r="A187" s="12">
        <v>428</v>
      </c>
      <c r="B187" s="12">
        <v>2</v>
      </c>
      <c r="C187" s="12" t="str">
        <f t="shared" si="8"/>
        <v>PhaseCalOffset</v>
      </c>
      <c r="D187" s="14" t="s">
        <v>952</v>
      </c>
      <c r="E187" s="12">
        <v>2</v>
      </c>
      <c r="F187" s="12">
        <v>16</v>
      </c>
      <c r="G187" s="12">
        <v>1</v>
      </c>
      <c r="H187" s="12" t="s">
        <v>544</v>
      </c>
      <c r="I187" s="12">
        <v>1</v>
      </c>
      <c r="J187" s="12" t="s">
        <v>953</v>
      </c>
      <c r="K187" s="12" t="s">
        <v>1347</v>
      </c>
      <c r="L187" s="23" t="s">
        <v>1342</v>
      </c>
      <c r="M187" s="13" t="s">
        <v>1464</v>
      </c>
      <c r="N187" s="13" t="s">
        <v>1342</v>
      </c>
      <c r="O187" s="12" t="s">
        <v>2112</v>
      </c>
      <c r="P187" s="12" t="s">
        <v>2180</v>
      </c>
      <c r="Q187" s="12" t="s">
        <v>1342</v>
      </c>
      <c r="R187" s="13" t="s">
        <v>1556</v>
      </c>
      <c r="S187" s="13" t="s">
        <v>1342</v>
      </c>
      <c r="T187" s="23" t="s">
        <v>1342</v>
      </c>
      <c r="U187" s="13" t="s">
        <v>1342</v>
      </c>
      <c r="V187" s="13" t="s">
        <v>1342</v>
      </c>
      <c r="W187" s="13" t="s">
        <v>1342</v>
      </c>
      <c r="X187" s="12" t="str">
        <f>VLOOKUP($D187,global_toc!$C:$K,7,FALSE)</f>
        <v>97DEC03XN</v>
      </c>
      <c r="Y187" s="12" t="str">
        <f>VLOOKUP($D187,global_toc!$C:$K,8,FALSE)</f>
        <v>11OCT17XA</v>
      </c>
      <c r="Z187" s="12">
        <f>VLOOKUP($D187,global_toc!$C:$K,9,FALSE)</f>
        <v>1651</v>
      </c>
      <c r="AA187" s="19" t="str">
        <f t="shared" si="9"/>
        <v>Phase cal offset (-18000/18000).</v>
      </c>
    </row>
    <row r="188" spans="1:27" x14ac:dyDescent="0.2">
      <c r="A188" s="12">
        <v>429</v>
      </c>
      <c r="B188" s="12">
        <v>2</v>
      </c>
      <c r="C188" s="12" t="str">
        <f t="shared" si="8"/>
        <v>Polarization</v>
      </c>
      <c r="D188" s="14" t="s">
        <v>976</v>
      </c>
      <c r="E188" s="12">
        <v>2</v>
      </c>
      <c r="F188" s="12">
        <v>16</v>
      </c>
      <c r="G188" s="12">
        <v>1</v>
      </c>
      <c r="H188" s="12" t="s">
        <v>589</v>
      </c>
      <c r="I188" s="12">
        <v>1</v>
      </c>
      <c r="J188" s="12" t="s">
        <v>2307</v>
      </c>
      <c r="K188" s="12" t="s">
        <v>1347</v>
      </c>
      <c r="L188" s="23" t="s">
        <v>1342</v>
      </c>
      <c r="M188" s="13" t="s">
        <v>1464</v>
      </c>
      <c r="N188" s="13" t="s">
        <v>1342</v>
      </c>
      <c r="O188" s="12" t="s">
        <v>2112</v>
      </c>
      <c r="P188" s="12" t="s">
        <v>2180</v>
      </c>
      <c r="Q188" s="12" t="s">
        <v>1342</v>
      </c>
      <c r="R188" s="13" t="s">
        <v>1542</v>
      </c>
      <c r="S188" s="13" t="s">
        <v>1342</v>
      </c>
      <c r="T188" s="23" t="s">
        <v>1342</v>
      </c>
      <c r="U188" s="13" t="s">
        <v>1342</v>
      </c>
      <c r="V188" s="13" t="s">
        <v>1342</v>
      </c>
      <c r="W188" s="13" t="s">
        <v>1342</v>
      </c>
      <c r="X188" s="12" t="str">
        <f>VLOOKUP($D188,global_toc!$C:$K,7,FALSE)</f>
        <v>97DEC03XN</v>
      </c>
      <c r="Y188" s="12" t="str">
        <f>VLOOKUP($D188,global_toc!$C:$K,8,FALSE)</f>
        <v>11OCT17XA</v>
      </c>
      <c r="Z188" s="12">
        <f>VLOOKUP($D188,global_toc!$C:$K,9,FALSE)</f>
        <v>1651</v>
      </c>
      <c r="AA188" s="19" t="str">
        <f t="shared" si="9"/>
        <v>Polarization per sta/chan R/L.</v>
      </c>
    </row>
    <row r="189" spans="1:27" x14ac:dyDescent="0.2">
      <c r="A189" s="12">
        <v>407</v>
      </c>
      <c r="B189" s="12">
        <v>3</v>
      </c>
      <c r="C189" s="12" t="str">
        <f t="shared" si="8"/>
        <v>ProbFalseDetection</v>
      </c>
      <c r="D189" s="14" t="s">
        <v>1002</v>
      </c>
      <c r="E189" s="12">
        <v>1</v>
      </c>
      <c r="F189" s="12">
        <v>1</v>
      </c>
      <c r="G189" s="12">
        <v>1</v>
      </c>
      <c r="H189" s="12" t="s">
        <v>447</v>
      </c>
      <c r="I189" s="12">
        <v>1</v>
      </c>
      <c r="J189" s="12" t="s">
        <v>2308</v>
      </c>
      <c r="K189" s="12" t="s">
        <v>1347</v>
      </c>
      <c r="L189" s="23" t="s">
        <v>1342</v>
      </c>
      <c r="M189" s="13" t="s">
        <v>1464</v>
      </c>
      <c r="N189" s="13" t="s">
        <v>1342</v>
      </c>
      <c r="O189" s="12" t="s">
        <v>2112</v>
      </c>
      <c r="P189" s="12" t="s">
        <v>2180</v>
      </c>
      <c r="Q189" s="12" t="s">
        <v>1342</v>
      </c>
      <c r="R189" s="13" t="s">
        <v>1530</v>
      </c>
      <c r="S189" s="13" t="s">
        <v>1342</v>
      </c>
      <c r="T189" s="23" t="s">
        <v>1342</v>
      </c>
      <c r="U189" s="13" t="s">
        <v>1342</v>
      </c>
      <c r="V189" s="13" t="s">
        <v>1342</v>
      </c>
      <c r="W189" s="13" t="s">
        <v>1342</v>
      </c>
      <c r="X189" s="12" t="str">
        <f>VLOOKUP($D189,global_toc!$C:$K,7,FALSE)</f>
        <v>80SEP28X_</v>
      </c>
      <c r="Y189" s="12" t="str">
        <f>VLOOKUP($D189,global_toc!$C:$K,8,FALSE)</f>
        <v>82OCT25X_</v>
      </c>
      <c r="Z189" s="12">
        <f>VLOOKUP($D189,global_toc!$C:$K,9,FALSE)</f>
        <v>43</v>
      </c>
      <c r="AA189" s="19" t="str">
        <f t="shared" si="9"/>
        <v>Prob of false det from FRNGE.</v>
      </c>
    </row>
    <row r="190" spans="1:27" x14ac:dyDescent="0.2">
      <c r="A190" s="12">
        <v>431</v>
      </c>
      <c r="B190" s="12">
        <v>3</v>
      </c>
      <c r="C190" s="12" t="str">
        <f t="shared" si="8"/>
        <v>QBFACTOR</v>
      </c>
      <c r="D190" s="14" t="s">
        <v>1018</v>
      </c>
      <c r="E190" s="12">
        <v>1</v>
      </c>
      <c r="F190" s="12">
        <v>1</v>
      </c>
      <c r="G190" s="12">
        <v>1</v>
      </c>
      <c r="H190" s="12" t="s">
        <v>447</v>
      </c>
      <c r="I190" s="12">
        <v>1</v>
      </c>
      <c r="J190" s="12" t="s">
        <v>2309</v>
      </c>
      <c r="K190" s="12" t="s">
        <v>1347</v>
      </c>
      <c r="L190" s="23" t="s">
        <v>1342</v>
      </c>
      <c r="M190" s="13" t="s">
        <v>1464</v>
      </c>
      <c r="N190" s="13" t="s">
        <v>1342</v>
      </c>
      <c r="O190" s="12" t="s">
        <v>2112</v>
      </c>
      <c r="P190" s="12" t="s">
        <v>2180</v>
      </c>
      <c r="Q190" s="12" t="s">
        <v>1342</v>
      </c>
      <c r="R190" s="13" t="s">
        <v>1342</v>
      </c>
      <c r="S190" s="13" t="s">
        <v>1342</v>
      </c>
      <c r="T190" s="23" t="s">
        <v>1342</v>
      </c>
      <c r="U190" s="13" t="s">
        <v>1342</v>
      </c>
      <c r="V190" s="13" t="s">
        <v>1342</v>
      </c>
      <c r="W190" s="13" t="s">
        <v>1342</v>
      </c>
      <c r="X190" s="12" t="str">
        <f>VLOOKUP($D190,global_toc!$C:$K,7,FALSE)</f>
        <v>79AUG03XX</v>
      </c>
      <c r="Y190" s="12" t="str">
        <f>VLOOKUP($D190,global_toc!$C:$K,8,FALSE)</f>
        <v>11OCT17XA</v>
      </c>
      <c r="Z190" s="12">
        <f>VLOOKUP($D190,global_toc!$C:$K,9,FALSE)</f>
        <v>4720</v>
      </c>
      <c r="AA190" s="19" t="str">
        <f t="shared" si="9"/>
        <v>Measure of uniformity of data.</v>
      </c>
    </row>
    <row r="191" spans="1:27" x14ac:dyDescent="0.2">
      <c r="A191" s="12">
        <v>432</v>
      </c>
      <c r="B191" s="12">
        <v>3</v>
      </c>
      <c r="C191" s="12" t="str">
        <f t="shared" si="8"/>
        <v>RATOBSVM</v>
      </c>
      <c r="D191" s="14" t="s">
        <v>1430</v>
      </c>
      <c r="E191" s="12">
        <v>1</v>
      </c>
      <c r="F191" s="12">
        <v>1</v>
      </c>
      <c r="G191" s="12">
        <v>1</v>
      </c>
      <c r="H191" s="12" t="s">
        <v>447</v>
      </c>
      <c r="I191" s="12" t="s">
        <v>1672</v>
      </c>
      <c r="J191" s="12" t="s">
        <v>2327</v>
      </c>
      <c r="K191" s="12" t="s">
        <v>1347</v>
      </c>
      <c r="L191" s="23" t="s">
        <v>1342</v>
      </c>
      <c r="M191" s="13" t="s">
        <v>1464</v>
      </c>
      <c r="N191" s="13" t="s">
        <v>1342</v>
      </c>
      <c r="O191" s="12" t="s">
        <v>2112</v>
      </c>
      <c r="P191" s="12" t="s">
        <v>2180</v>
      </c>
      <c r="Q191" s="12" t="s">
        <v>1342</v>
      </c>
      <c r="R191" s="13" t="s">
        <v>1342</v>
      </c>
      <c r="S191" s="13" t="s">
        <v>1342</v>
      </c>
      <c r="T191" s="23" t="s">
        <v>1342</v>
      </c>
      <c r="U191" s="13" t="s">
        <v>1342</v>
      </c>
      <c r="V191" s="13" t="s">
        <v>1342</v>
      </c>
      <c r="W191" s="13" t="s">
        <v>1342</v>
      </c>
      <c r="X191" s="12" t="str">
        <f>VLOOKUP($D191,global_toc!$C:$K,7,FALSE)</f>
        <v>79AUG03XX</v>
      </c>
      <c r="Y191" s="12" t="str">
        <f>VLOOKUP($D191,global_toc!$C:$K,8,FALSE)</f>
        <v>11JUN23XF</v>
      </c>
      <c r="Z191" s="12">
        <f>VLOOKUP($D191,global_toc!$C:$K,9,FALSE)</f>
        <v>3284</v>
      </c>
      <c r="AA191" s="19" t="str">
        <f t="shared" si="9"/>
        <v xml:space="preserve">Obs rate at central epoch . </v>
      </c>
    </row>
    <row r="192" spans="1:27" x14ac:dyDescent="0.2">
      <c r="A192" s="12">
        <v>433</v>
      </c>
      <c r="B192" s="12">
        <v>2</v>
      </c>
      <c r="C192" s="12" t="str">
        <f t="shared" si="8"/>
        <v>RATRESID</v>
      </c>
      <c r="D192" s="14" t="s">
        <v>761</v>
      </c>
      <c r="E192" s="12">
        <v>1</v>
      </c>
      <c r="F192" s="12">
        <v>1</v>
      </c>
      <c r="G192" s="12">
        <v>1</v>
      </c>
      <c r="H192" s="12" t="s">
        <v>447</v>
      </c>
      <c r="I192" s="12">
        <v>1</v>
      </c>
      <c r="J192" s="12" t="s">
        <v>2328</v>
      </c>
      <c r="K192" s="12" t="s">
        <v>1347</v>
      </c>
      <c r="L192" s="21" t="s">
        <v>1342</v>
      </c>
      <c r="M192" s="13" t="s">
        <v>1464</v>
      </c>
      <c r="N192" s="13" t="s">
        <v>1342</v>
      </c>
      <c r="O192" s="12" t="s">
        <v>2112</v>
      </c>
      <c r="P192" s="12" t="s">
        <v>2180</v>
      </c>
      <c r="Q192" s="12" t="s">
        <v>1342</v>
      </c>
      <c r="R192" s="13" t="s">
        <v>1342</v>
      </c>
      <c r="S192" s="13" t="s">
        <v>1342</v>
      </c>
      <c r="T192" s="23" t="s">
        <v>1342</v>
      </c>
      <c r="U192" s="13" t="s">
        <v>1342</v>
      </c>
      <c r="V192" s="13" t="s">
        <v>1342</v>
      </c>
      <c r="W192" s="13" t="s">
        <v>1342</v>
      </c>
      <c r="X192" s="12" t="str">
        <f>VLOOKUP($D192,global_toc!$C:$K,7,FALSE)</f>
        <v>79AUG03XX</v>
      </c>
      <c r="Y192" s="12" t="str">
        <f>VLOOKUP($D192,global_toc!$C:$K,8,FALSE)</f>
        <v>11OCT17XA</v>
      </c>
      <c r="Z192" s="12">
        <f>VLOOKUP($D192,global_toc!$C:$K,9,FALSE)</f>
        <v>4987</v>
      </c>
      <c r="AA192" s="19" t="str">
        <f t="shared" si="9"/>
        <v>Rate resid (sec per sec).</v>
      </c>
    </row>
    <row r="193" spans="1:28" x14ac:dyDescent="0.2">
      <c r="A193" s="12">
        <v>434</v>
      </c>
      <c r="B193" s="12">
        <v>2</v>
      </c>
      <c r="C193" s="12" t="str">
        <f t="shared" si="8"/>
        <v>RECSETUP</v>
      </c>
      <c r="D193" s="14" t="s">
        <v>1234</v>
      </c>
      <c r="E193" s="12">
        <v>3</v>
      </c>
      <c r="F193" s="12">
        <v>1</v>
      </c>
      <c r="G193" s="12">
        <v>1</v>
      </c>
      <c r="H193" s="12" t="s">
        <v>544</v>
      </c>
      <c r="I193" s="12"/>
      <c r="J193" s="12" t="s">
        <v>2294</v>
      </c>
      <c r="K193" s="12" t="s">
        <v>1347</v>
      </c>
      <c r="L193" s="23" t="s">
        <v>1342</v>
      </c>
      <c r="M193" s="13" t="s">
        <v>1464</v>
      </c>
      <c r="N193" s="13" t="s">
        <v>1342</v>
      </c>
      <c r="O193" s="12" t="s">
        <v>2112</v>
      </c>
      <c r="P193" s="12" t="s">
        <v>2180</v>
      </c>
      <c r="Q193" s="12" t="s">
        <v>1342</v>
      </c>
      <c r="R193" s="13" t="s">
        <v>1342</v>
      </c>
      <c r="S193" s="13" t="s">
        <v>1342</v>
      </c>
      <c r="T193" s="23" t="s">
        <v>1342</v>
      </c>
      <c r="U193" s="13" t="s">
        <v>1342</v>
      </c>
      <c r="V193" s="13" t="s">
        <v>1342</v>
      </c>
      <c r="W193" s="13" t="s">
        <v>1342</v>
      </c>
      <c r="X193" s="12" t="str">
        <f>VLOOKUP($D193,global_toc!$C:$K,7,FALSE)</f>
        <v>79AUG03XX</v>
      </c>
      <c r="Y193" s="12" t="str">
        <f>VLOOKUP($D193,global_toc!$C:$K,8,FALSE)</f>
        <v>11JUN23XF</v>
      </c>
      <c r="Z193" s="12">
        <f>VLOOKUP($D193,global_toc!$C:$K,9,FALSE)</f>
        <v>3378</v>
      </c>
      <c r="AA193" s="19" t="str">
        <f t="shared" si="9"/>
        <v xml:space="preserve">Samp rate(kHz) Frames/PP PP/AP. </v>
      </c>
    </row>
    <row r="194" spans="1:28" x14ac:dyDescent="0.2">
      <c r="A194" s="12">
        <v>435</v>
      </c>
      <c r="B194" s="12">
        <v>3</v>
      </c>
      <c r="C194" s="12" t="str">
        <f t="shared" si="8"/>
        <v>RECTRACK</v>
      </c>
      <c r="D194" s="14" t="s">
        <v>60</v>
      </c>
      <c r="E194" s="12">
        <v>2</v>
      </c>
      <c r="F194" s="12">
        <v>2</v>
      </c>
      <c r="G194" s="12">
        <v>14</v>
      </c>
      <c r="H194" s="12" t="s">
        <v>544</v>
      </c>
      <c r="I194" s="12" t="s">
        <v>1672</v>
      </c>
      <c r="J194" s="12" t="s">
        <v>2295</v>
      </c>
      <c r="K194" s="12" t="s">
        <v>1347</v>
      </c>
      <c r="L194" s="23" t="s">
        <v>1342</v>
      </c>
      <c r="M194" s="13" t="s">
        <v>1464</v>
      </c>
      <c r="N194" s="13" t="s">
        <v>1342</v>
      </c>
      <c r="O194" s="12" t="s">
        <v>2112</v>
      </c>
      <c r="P194" s="12" t="s">
        <v>2180</v>
      </c>
      <c r="Q194" s="12" t="s">
        <v>1342</v>
      </c>
      <c r="R194" s="13" t="s">
        <v>1342</v>
      </c>
      <c r="S194" s="13" t="s">
        <v>1342</v>
      </c>
      <c r="T194" s="23" t="s">
        <v>1342</v>
      </c>
      <c r="U194" s="13" t="s">
        <v>1342</v>
      </c>
      <c r="V194" s="13" t="s">
        <v>1342</v>
      </c>
      <c r="W194" s="13" t="s">
        <v>1342</v>
      </c>
      <c r="X194" s="12" t="str">
        <f>VLOOKUP($D194,global_toc!$C:$K,7,FALSE)</f>
        <v>80APR11XQ</v>
      </c>
      <c r="Y194" s="12" t="str">
        <f>VLOOKUP($D194,global_toc!$C:$K,8,FALSE)</f>
        <v>82OCT25X_</v>
      </c>
      <c r="Z194" s="12">
        <f>VLOOKUP($D194,global_toc!$C:$K,9,FALSE)</f>
        <v>44</v>
      </c>
      <c r="AA194" s="19" t="str">
        <f t="shared" si="9"/>
        <v xml:space="preserve">Trk table by sta sideb channel. </v>
      </c>
    </row>
    <row r="195" spans="1:28" x14ac:dyDescent="0.2">
      <c r="A195" s="12">
        <v>436</v>
      </c>
      <c r="B195" s="12">
        <v>3</v>
      </c>
      <c r="C195" s="12" t="str">
        <f t="shared" si="8"/>
        <v>REFCLKER</v>
      </c>
      <c r="D195" s="14" t="s">
        <v>1020</v>
      </c>
      <c r="E195" s="12">
        <v>1</v>
      </c>
      <c r="F195" s="12">
        <v>1</v>
      </c>
      <c r="G195" s="12">
        <v>1</v>
      </c>
      <c r="H195" s="12" t="s">
        <v>447</v>
      </c>
      <c r="I195" s="12">
        <v>1</v>
      </c>
      <c r="J195" s="12" t="s">
        <v>2310</v>
      </c>
      <c r="K195" s="12" t="s">
        <v>1347</v>
      </c>
      <c r="L195" s="23" t="s">
        <v>1342</v>
      </c>
      <c r="M195" s="13" t="s">
        <v>1464</v>
      </c>
      <c r="N195" s="13" t="s">
        <v>1342</v>
      </c>
      <c r="O195" s="12" t="s">
        <v>2112</v>
      </c>
      <c r="P195" s="12" t="s">
        <v>2180</v>
      </c>
      <c r="Q195" s="12" t="s">
        <v>1342</v>
      </c>
      <c r="R195" s="13" t="s">
        <v>1342</v>
      </c>
      <c r="S195" s="13" t="s">
        <v>1342</v>
      </c>
      <c r="T195" s="23" t="s">
        <v>1342</v>
      </c>
      <c r="U195" s="13" t="s">
        <v>1342</v>
      </c>
      <c r="V195" s="13" t="s">
        <v>1342</v>
      </c>
      <c r="W195" s="13" t="s">
        <v>1342</v>
      </c>
      <c r="X195" s="12" t="str">
        <f>VLOOKUP($D195,global_toc!$C:$K,7,FALSE)</f>
        <v>80JUL26X_</v>
      </c>
      <c r="Y195" s="12" t="str">
        <f>VLOOKUP($D195,global_toc!$C:$K,8,FALSE)</f>
        <v>91NOV27X_</v>
      </c>
      <c r="Z195" s="12">
        <f>VLOOKUP($D195,global_toc!$C:$K,9,FALSE)</f>
        <v>605</v>
      </c>
      <c r="AA195" s="19" t="str">
        <f t="shared" si="9"/>
        <v>Ref sta clock epoch microsec.</v>
      </c>
    </row>
    <row r="196" spans="1:28" x14ac:dyDescent="0.2">
      <c r="A196" s="12">
        <v>438</v>
      </c>
      <c r="B196" s="12">
        <v>3</v>
      </c>
      <c r="C196" s="12" t="str">
        <f t="shared" si="8"/>
        <v>RunCode</v>
      </c>
      <c r="D196" s="14" t="s">
        <v>1235</v>
      </c>
      <c r="E196" s="12">
        <v>4</v>
      </c>
      <c r="F196" s="12">
        <v>1</v>
      </c>
      <c r="G196" s="12">
        <v>1</v>
      </c>
      <c r="H196" s="12" t="s">
        <v>589</v>
      </c>
      <c r="I196" s="12">
        <v>1</v>
      </c>
      <c r="J196" s="12" t="s">
        <v>2329</v>
      </c>
      <c r="K196" s="12" t="s">
        <v>1347</v>
      </c>
      <c r="L196" s="23" t="s">
        <v>1342</v>
      </c>
      <c r="M196" s="13" t="s">
        <v>1464</v>
      </c>
      <c r="N196" s="13" t="s">
        <v>1342</v>
      </c>
      <c r="O196" s="12" t="s">
        <v>2112</v>
      </c>
      <c r="P196" s="12" t="s">
        <v>2180</v>
      </c>
      <c r="Q196" s="12" t="s">
        <v>1342</v>
      </c>
      <c r="R196" s="13" t="s">
        <v>1570</v>
      </c>
      <c r="S196" s="13" t="s">
        <v>1342</v>
      </c>
      <c r="T196" s="23" t="s">
        <v>1342</v>
      </c>
      <c r="U196" s="13" t="s">
        <v>1342</v>
      </c>
      <c r="V196" s="13" t="s">
        <v>1342</v>
      </c>
      <c r="W196" s="13" t="s">
        <v>1342</v>
      </c>
      <c r="X196" s="12" t="str">
        <f>VLOOKUP($D196,global_toc!$C:$K,7,FALSE)</f>
        <v>80APR11XQ</v>
      </c>
      <c r="Y196" s="12" t="str">
        <f>VLOOKUP($D196,global_toc!$C:$K,8,FALSE)</f>
        <v>82OCT25X_</v>
      </c>
      <c r="Z196" s="12">
        <f>VLOOKUP($D196,global_toc!$C:$K,9,FALSE)</f>
        <v>44</v>
      </c>
      <c r="AA196" s="19" t="str">
        <f t="shared" si="9"/>
        <v xml:space="preserve">Run code  e.g.  "329-1300". </v>
      </c>
    </row>
    <row r="197" spans="1:28" x14ac:dyDescent="0.2">
      <c r="A197" s="12">
        <v>461</v>
      </c>
      <c r="B197" s="12">
        <v>2</v>
      </c>
      <c r="C197" s="12" t="str">
        <f t="shared" ref="C197:C260" si="10">IF(R197="-",D197,R197)</f>
        <v>S2EFFREQ</v>
      </c>
      <c r="D197" s="12" t="s">
        <v>1761</v>
      </c>
      <c r="E197" s="12">
        <v>1</v>
      </c>
      <c r="F197" s="12">
        <v>1</v>
      </c>
      <c r="G197" s="12">
        <v>1</v>
      </c>
      <c r="H197" s="12" t="s">
        <v>447</v>
      </c>
      <c r="I197" s="12">
        <v>1</v>
      </c>
      <c r="J197" s="12" t="s">
        <v>1818</v>
      </c>
      <c r="K197" s="12" t="s">
        <v>1347</v>
      </c>
      <c r="L197" s="23" t="s">
        <v>1342</v>
      </c>
      <c r="M197" s="13" t="s">
        <v>1464</v>
      </c>
      <c r="N197" s="13" t="s">
        <v>1342</v>
      </c>
      <c r="O197" s="12" t="s">
        <v>2112</v>
      </c>
      <c r="P197" s="12" t="s">
        <v>2180</v>
      </c>
      <c r="Q197" s="12" t="s">
        <v>1342</v>
      </c>
      <c r="R197" s="13" t="s">
        <v>1342</v>
      </c>
      <c r="S197" s="13" t="s">
        <v>1342</v>
      </c>
      <c r="T197" s="23" t="s">
        <v>1342</v>
      </c>
      <c r="U197" s="13" t="s">
        <v>1342</v>
      </c>
      <c r="V197" s="13" t="s">
        <v>1342</v>
      </c>
      <c r="W197" s="13" t="s">
        <v>1342</v>
      </c>
      <c r="X197" s="12" t="str">
        <f>VLOOKUP($D197,global_toc!$C:$K,7,FALSE)</f>
        <v>02MAR13XG</v>
      </c>
      <c r="Y197" s="12" t="str">
        <f>VLOOKUP($D197,global_toc!$C:$K,8,FALSE)</f>
        <v>06AUG02XG</v>
      </c>
      <c r="Z197" s="12">
        <f>VLOOKUP($D197,global_toc!$C:$K,9,FALSE)</f>
        <v>50</v>
      </c>
      <c r="AA197" s="19" t="str">
        <f t="shared" ref="AA197:AA260" si="11">IF(T197="-",J197,T197)</f>
        <v>Effective group freq for ion.</v>
      </c>
    </row>
    <row r="198" spans="1:28" x14ac:dyDescent="0.2">
      <c r="A198" s="12">
        <v>462</v>
      </c>
      <c r="B198" s="12">
        <v>2</v>
      </c>
      <c r="C198" s="12" t="str">
        <f t="shared" si="10"/>
        <v>S2PHEFRQ</v>
      </c>
      <c r="D198" s="12" t="s">
        <v>1763</v>
      </c>
      <c r="E198" s="12">
        <v>1</v>
      </c>
      <c r="F198" s="12">
        <v>1</v>
      </c>
      <c r="G198" s="12">
        <v>1</v>
      </c>
      <c r="H198" s="12" t="s">
        <v>447</v>
      </c>
      <c r="I198" s="12">
        <v>1</v>
      </c>
      <c r="J198" s="12" t="s">
        <v>1764</v>
      </c>
      <c r="K198" s="12" t="s">
        <v>1347</v>
      </c>
      <c r="L198" s="23" t="s">
        <v>1342</v>
      </c>
      <c r="M198" s="13" t="s">
        <v>1464</v>
      </c>
      <c r="N198" s="13" t="s">
        <v>1342</v>
      </c>
      <c r="O198" s="12" t="s">
        <v>2112</v>
      </c>
      <c r="P198" s="12" t="s">
        <v>2180</v>
      </c>
      <c r="Q198" s="12" t="s">
        <v>1342</v>
      </c>
      <c r="R198" s="13" t="s">
        <v>1342</v>
      </c>
      <c r="S198" s="13" t="s">
        <v>1342</v>
      </c>
      <c r="T198" s="23" t="s">
        <v>1342</v>
      </c>
      <c r="U198" s="13" t="s">
        <v>1342</v>
      </c>
      <c r="V198" s="13" t="s">
        <v>1342</v>
      </c>
      <c r="W198" s="13" t="s">
        <v>1342</v>
      </c>
      <c r="X198" s="12" t="str">
        <f>VLOOKUP($D198,global_toc!$C:$K,7,FALSE)</f>
        <v>02MAR13XG</v>
      </c>
      <c r="Y198" s="12" t="str">
        <f>VLOOKUP($D198,global_toc!$C:$K,8,FALSE)</f>
        <v>06AUG02XG</v>
      </c>
      <c r="Z198" s="12">
        <f>VLOOKUP($D198,global_toc!$C:$K,9,FALSE)</f>
        <v>50</v>
      </c>
      <c r="AA198" s="19" t="str">
        <f t="shared" si="11"/>
        <v>Effective phase frequency</v>
      </c>
    </row>
    <row r="199" spans="1:28" x14ac:dyDescent="0.2">
      <c r="A199" s="12">
        <v>463</v>
      </c>
      <c r="B199" s="12">
        <v>2</v>
      </c>
      <c r="C199" s="12" t="str">
        <f t="shared" si="10"/>
        <v>S2REFREQ</v>
      </c>
      <c r="D199" s="12" t="s">
        <v>1762</v>
      </c>
      <c r="E199" s="12">
        <v>1</v>
      </c>
      <c r="F199" s="12">
        <v>1</v>
      </c>
      <c r="G199" s="12">
        <v>1</v>
      </c>
      <c r="H199" s="12" t="s">
        <v>447</v>
      </c>
      <c r="I199" s="12">
        <v>1</v>
      </c>
      <c r="J199" s="12" t="s">
        <v>1819</v>
      </c>
      <c r="K199" s="12" t="s">
        <v>1347</v>
      </c>
      <c r="L199" s="23" t="s">
        <v>1342</v>
      </c>
      <c r="M199" s="13" t="s">
        <v>1464</v>
      </c>
      <c r="N199" s="13" t="s">
        <v>1342</v>
      </c>
      <c r="O199" s="12" t="s">
        <v>2112</v>
      </c>
      <c r="P199" s="12" t="s">
        <v>2180</v>
      </c>
      <c r="Q199" s="12" t="s">
        <v>1342</v>
      </c>
      <c r="R199" s="13" t="s">
        <v>1342</v>
      </c>
      <c r="S199" s="13" t="s">
        <v>1342</v>
      </c>
      <c r="T199" s="23" t="s">
        <v>1342</v>
      </c>
      <c r="U199" s="13" t="s">
        <v>1342</v>
      </c>
      <c r="V199" s="13" t="s">
        <v>1342</v>
      </c>
      <c r="W199" s="13" t="s">
        <v>1342</v>
      </c>
      <c r="X199" s="12" t="str">
        <f>VLOOKUP($D199,global_toc!$C:$K,7,FALSE)</f>
        <v>02MAR13XG</v>
      </c>
      <c r="Y199" s="12" t="str">
        <f>VLOOKUP($D199,global_toc!$C:$K,8,FALSE)</f>
        <v>06AUG02XG</v>
      </c>
      <c r="Z199" s="12">
        <f>VLOOKUP($D199,global_toc!$C:$K,9,FALSE)</f>
        <v>50</v>
      </c>
      <c r="AA199" s="19" t="str">
        <f t="shared" si="11"/>
        <v>Effective frequency for rate</v>
      </c>
    </row>
    <row r="200" spans="1:28" x14ac:dyDescent="0.2">
      <c r="A200" s="12">
        <v>439</v>
      </c>
      <c r="B200" s="12">
        <v>2</v>
      </c>
      <c r="C200" s="12" t="str">
        <f t="shared" si="10"/>
        <v>SampleRate</v>
      </c>
      <c r="D200" s="14" t="s">
        <v>769</v>
      </c>
      <c r="E200" s="12">
        <v>1</v>
      </c>
      <c r="F200" s="12">
        <v>1</v>
      </c>
      <c r="G200" s="12">
        <v>1</v>
      </c>
      <c r="H200" s="12" t="s">
        <v>447</v>
      </c>
      <c r="I200" s="12">
        <v>1</v>
      </c>
      <c r="J200" s="12" t="s">
        <v>2348</v>
      </c>
      <c r="K200" s="12" t="s">
        <v>1347</v>
      </c>
      <c r="L200" s="23" t="s">
        <v>1342</v>
      </c>
      <c r="M200" s="13" t="s">
        <v>1464</v>
      </c>
      <c r="N200" s="13" t="s">
        <v>1342</v>
      </c>
      <c r="O200" s="12" t="s">
        <v>2112</v>
      </c>
      <c r="P200" s="12" t="s">
        <v>2180</v>
      </c>
      <c r="Q200" s="12" t="s">
        <v>1342</v>
      </c>
      <c r="R200" s="13" t="s">
        <v>1558</v>
      </c>
      <c r="S200" s="13" t="s">
        <v>1342</v>
      </c>
      <c r="T200" s="23" t="s">
        <v>1342</v>
      </c>
      <c r="U200" s="13" t="s">
        <v>1342</v>
      </c>
      <c r="V200" s="13" t="s">
        <v>1342</v>
      </c>
      <c r="W200" s="13" t="s">
        <v>1342</v>
      </c>
      <c r="X200" s="12" t="str">
        <f>VLOOKUP($D200,global_toc!$C:$K,7,FALSE)</f>
        <v>97DEC03XN</v>
      </c>
      <c r="Y200" s="12" t="str">
        <f>VLOOKUP($D200,global_toc!$C:$K,8,FALSE)</f>
        <v>11OCT17XA</v>
      </c>
      <c r="Z200" s="12">
        <f>VLOOKUP($D200,global_toc!$C:$K,9,FALSE)</f>
        <v>1651</v>
      </c>
      <c r="AA200" s="19" t="str">
        <f t="shared" si="11"/>
        <v>Sample rate (Hz).</v>
      </c>
    </row>
    <row r="201" spans="1:28" x14ac:dyDescent="0.2">
      <c r="A201" s="12">
        <v>440</v>
      </c>
      <c r="B201" s="12">
        <v>2</v>
      </c>
      <c r="C201" s="12" t="str">
        <f t="shared" si="10"/>
        <v>SBRESID</v>
      </c>
      <c r="D201" s="14" t="s">
        <v>775</v>
      </c>
      <c r="E201" s="12">
        <v>1</v>
      </c>
      <c r="F201" s="12">
        <v>1</v>
      </c>
      <c r="G201" s="12">
        <v>1</v>
      </c>
      <c r="H201" s="12" t="s">
        <v>447</v>
      </c>
      <c r="I201" s="12">
        <v>1</v>
      </c>
      <c r="J201" s="12" t="s">
        <v>2330</v>
      </c>
      <c r="K201" s="12" t="s">
        <v>1347</v>
      </c>
      <c r="L201" s="21"/>
      <c r="M201" s="13" t="s">
        <v>1464</v>
      </c>
      <c r="N201" s="13" t="s">
        <v>1342</v>
      </c>
      <c r="O201" s="12" t="s">
        <v>2112</v>
      </c>
      <c r="P201" s="12" t="s">
        <v>2180</v>
      </c>
      <c r="Q201" s="12" t="s">
        <v>1342</v>
      </c>
      <c r="R201" s="13" t="s">
        <v>1342</v>
      </c>
      <c r="S201" s="13" t="s">
        <v>1342</v>
      </c>
      <c r="T201" s="23" t="s">
        <v>1342</v>
      </c>
      <c r="U201" s="13" t="s">
        <v>1342</v>
      </c>
      <c r="V201" s="13" t="s">
        <v>1342</v>
      </c>
      <c r="W201" s="13" t="s">
        <v>1342</v>
      </c>
      <c r="X201" s="12" t="str">
        <f>VLOOKUP($D201,global_toc!$C:$K,7,FALSE)</f>
        <v>79AUG03XX</v>
      </c>
      <c r="Y201" s="12" t="str">
        <f>VLOOKUP($D201,global_toc!$C:$K,8,FALSE)</f>
        <v>11OCT17XA</v>
      </c>
      <c r="Z201" s="12">
        <f>VLOOKUP($D201,global_toc!$C:$K,9,FALSE)</f>
        <v>5029</v>
      </c>
      <c r="AA201" s="19" t="str">
        <f t="shared" si="11"/>
        <v>Single band delay residual.</v>
      </c>
    </row>
    <row r="202" spans="1:28" x14ac:dyDescent="0.2">
      <c r="A202" s="12">
        <v>442</v>
      </c>
      <c r="B202" s="12">
        <v>2</v>
      </c>
      <c r="C202" s="12" t="str">
        <f t="shared" si="10"/>
        <v>SRCHPAR</v>
      </c>
      <c r="D202" s="14" t="s">
        <v>781</v>
      </c>
      <c r="E202" s="12">
        <v>6</v>
      </c>
      <c r="F202" s="12">
        <v>1</v>
      </c>
      <c r="G202" s="12">
        <v>1</v>
      </c>
      <c r="H202" s="12" t="s">
        <v>447</v>
      </c>
      <c r="I202" s="12">
        <v>1</v>
      </c>
      <c r="J202" s="12" t="s">
        <v>782</v>
      </c>
      <c r="K202" s="12" t="s">
        <v>1347</v>
      </c>
      <c r="L202" s="23" t="s">
        <v>1342</v>
      </c>
      <c r="M202" s="13" t="s">
        <v>1464</v>
      </c>
      <c r="N202" s="13" t="s">
        <v>1342</v>
      </c>
      <c r="O202" s="12" t="s">
        <v>2112</v>
      </c>
      <c r="P202" s="12" t="s">
        <v>2180</v>
      </c>
      <c r="Q202" s="12" t="s">
        <v>1342</v>
      </c>
      <c r="R202" s="13" t="s">
        <v>1342</v>
      </c>
      <c r="S202" s="13" t="s">
        <v>1342</v>
      </c>
      <c r="T202" s="23" t="s">
        <v>1342</v>
      </c>
      <c r="U202" s="13" t="s">
        <v>1342</v>
      </c>
      <c r="V202" s="13" t="s">
        <v>1342</v>
      </c>
      <c r="W202" s="13" t="s">
        <v>1342</v>
      </c>
      <c r="X202" s="12" t="str">
        <f>VLOOKUP($D202,global_toc!$C:$K,7,FALSE)</f>
        <v>80APR11XQ</v>
      </c>
      <c r="Y202" s="12" t="str">
        <f>VLOOKUP($D202,global_toc!$C:$K,8,FALSE)</f>
        <v>11OCT17XA</v>
      </c>
      <c r="Z202" s="12">
        <f>VLOOKUP($D202,global_toc!$C:$K,9,FALSE)</f>
        <v>1780</v>
      </c>
      <c r="AA202" s="19" t="str">
        <f t="shared" si="11"/>
        <v>FRNGE/Fourfit search parameters.</v>
      </c>
    </row>
    <row r="203" spans="1:28" x14ac:dyDescent="0.2">
      <c r="A203" s="12">
        <v>443</v>
      </c>
      <c r="B203" s="12">
        <v>3</v>
      </c>
      <c r="C203" s="12" t="str">
        <f t="shared" si="10"/>
        <v>STARELEV</v>
      </c>
      <c r="D203" s="14" t="s">
        <v>1022</v>
      </c>
      <c r="E203" s="12">
        <v>2</v>
      </c>
      <c r="F203" s="12">
        <v>1</v>
      </c>
      <c r="G203" s="12">
        <v>1</v>
      </c>
      <c r="H203" s="12" t="s">
        <v>447</v>
      </c>
      <c r="I203" s="12">
        <v>1</v>
      </c>
      <c r="J203" s="12" t="s">
        <v>2331</v>
      </c>
      <c r="K203" s="12" t="s">
        <v>1347</v>
      </c>
      <c r="L203" s="23" t="s">
        <v>1342</v>
      </c>
      <c r="M203" s="13" t="s">
        <v>1464</v>
      </c>
      <c r="N203" s="13" t="s">
        <v>1342</v>
      </c>
      <c r="O203" s="12" t="s">
        <v>2112</v>
      </c>
      <c r="P203" s="12" t="s">
        <v>2180</v>
      </c>
      <c r="Q203" s="12" t="s">
        <v>1342</v>
      </c>
      <c r="R203" s="13" t="s">
        <v>1342</v>
      </c>
      <c r="S203" s="13" t="s">
        <v>1342</v>
      </c>
      <c r="T203" s="23" t="s">
        <v>1342</v>
      </c>
      <c r="U203" s="13" t="s">
        <v>1342</v>
      </c>
      <c r="V203" s="13" t="s">
        <v>1342</v>
      </c>
      <c r="W203" s="13" t="s">
        <v>1342</v>
      </c>
      <c r="X203" s="12" t="str">
        <f>VLOOKUP($D203,global_toc!$C:$K,7,FALSE)</f>
        <v>79AUG03XX</v>
      </c>
      <c r="Y203" s="12" t="str">
        <f>VLOOKUP($D203,global_toc!$C:$K,8,FALSE)</f>
        <v>10DEC07XA</v>
      </c>
      <c r="Z203" s="12">
        <f>VLOOKUP($D203,global_toc!$C:$K,9,FALSE)</f>
        <v>3154</v>
      </c>
      <c r="AA203" s="19" t="str">
        <f t="shared" si="11"/>
        <v>Elev angles calc by COREL.</v>
      </c>
    </row>
    <row r="204" spans="1:28" x14ac:dyDescent="0.2">
      <c r="A204" s="12">
        <v>444</v>
      </c>
      <c r="B204" s="12">
        <v>3</v>
      </c>
      <c r="C204" s="12" t="str">
        <f t="shared" si="10"/>
        <v>StartOffset</v>
      </c>
      <c r="D204" s="14" t="s">
        <v>1042</v>
      </c>
      <c r="E204" s="12">
        <v>1</v>
      </c>
      <c r="F204" s="12">
        <v>1</v>
      </c>
      <c r="G204" s="12">
        <v>1</v>
      </c>
      <c r="H204" s="12" t="s">
        <v>544</v>
      </c>
      <c r="I204" s="12">
        <v>1</v>
      </c>
      <c r="J204" s="12" t="s">
        <v>1043</v>
      </c>
      <c r="K204" s="12" t="s">
        <v>1347</v>
      </c>
      <c r="L204" s="23" t="s">
        <v>1342</v>
      </c>
      <c r="M204" s="13" t="s">
        <v>1464</v>
      </c>
      <c r="N204" s="13" t="s">
        <v>1342</v>
      </c>
      <c r="O204" s="12" t="s">
        <v>2112</v>
      </c>
      <c r="P204" s="12" t="s">
        <v>2180</v>
      </c>
      <c r="Q204" s="12" t="s">
        <v>1342</v>
      </c>
      <c r="R204" s="13" t="s">
        <v>1562</v>
      </c>
      <c r="S204" s="13" t="s">
        <v>1342</v>
      </c>
      <c r="T204" s="23" t="s">
        <v>1342</v>
      </c>
      <c r="U204" s="13" t="s">
        <v>1342</v>
      </c>
      <c r="V204" s="13" t="s">
        <v>1342</v>
      </c>
      <c r="W204" s="13" t="s">
        <v>1342</v>
      </c>
      <c r="X204" s="12" t="str">
        <f>VLOOKUP($D204,global_toc!$C:$K,7,FALSE)</f>
        <v>97DEC03XN</v>
      </c>
      <c r="Y204" s="12" t="str">
        <f>VLOOKUP($D204,global_toc!$C:$K,8,FALSE)</f>
        <v>11OCT17XA</v>
      </c>
      <c r="Z204" s="12">
        <f>VLOOKUP($D204,global_toc!$C:$K,9,FALSE)</f>
        <v>1651</v>
      </c>
      <c r="AA204" s="19" t="str">
        <f t="shared" si="11"/>
        <v>Offset nominal start time (sec).</v>
      </c>
    </row>
    <row r="205" spans="1:28" x14ac:dyDescent="0.2">
      <c r="A205" s="12">
        <v>445</v>
      </c>
      <c r="B205" s="12">
        <v>2</v>
      </c>
      <c r="C205" s="12" t="str">
        <f t="shared" si="10"/>
        <v>STARTSEC</v>
      </c>
      <c r="D205" s="14" t="s">
        <v>783</v>
      </c>
      <c r="E205" s="12">
        <v>1</v>
      </c>
      <c r="F205" s="12">
        <v>1</v>
      </c>
      <c r="G205" s="12">
        <v>1</v>
      </c>
      <c r="H205" s="12" t="s">
        <v>447</v>
      </c>
      <c r="I205" s="12">
        <v>1</v>
      </c>
      <c r="J205" s="12" t="s">
        <v>107</v>
      </c>
      <c r="K205" s="12" t="s">
        <v>1347</v>
      </c>
      <c r="L205" s="23" t="s">
        <v>1594</v>
      </c>
      <c r="M205" s="13" t="s">
        <v>1464</v>
      </c>
      <c r="N205" s="13" t="s">
        <v>1342</v>
      </c>
      <c r="O205" s="12" t="s">
        <v>2112</v>
      </c>
      <c r="P205" s="12" t="s">
        <v>2180</v>
      </c>
      <c r="Q205" s="12" t="s">
        <v>1342</v>
      </c>
      <c r="R205" s="13" t="s">
        <v>1342</v>
      </c>
      <c r="S205" s="13" t="s">
        <v>1342</v>
      </c>
      <c r="T205" s="23" t="s">
        <v>1342</v>
      </c>
      <c r="U205" s="13" t="s">
        <v>1342</v>
      </c>
      <c r="V205" s="13" t="s">
        <v>1342</v>
      </c>
      <c r="W205" s="13" t="s">
        <v>1342</v>
      </c>
      <c r="X205" s="12" t="str">
        <f>VLOOKUP($D205,global_toc!$C:$K,7,FALSE)</f>
        <v>82JUN16X_</v>
      </c>
      <c r="Y205" s="12" t="str">
        <f>VLOOKUP($D205,global_toc!$C:$K,8,FALSE)</f>
        <v>11OCT17XA</v>
      </c>
      <c r="Z205" s="12">
        <f>VLOOKUP($D205,global_toc!$C:$K,9,FALSE)</f>
        <v>4937</v>
      </c>
      <c r="AA205" s="19" t="str">
        <f t="shared" si="11"/>
        <v>Start time in sec past hour.</v>
      </c>
    </row>
    <row r="206" spans="1:28" x14ac:dyDescent="0.2">
      <c r="A206" s="12">
        <v>446</v>
      </c>
      <c r="B206" s="12">
        <v>3</v>
      </c>
      <c r="C206" s="12" t="str">
        <f t="shared" si="10"/>
        <v>StopOffset</v>
      </c>
      <c r="D206" s="14" t="s">
        <v>1044</v>
      </c>
      <c r="E206" s="12">
        <v>1</v>
      </c>
      <c r="F206" s="12">
        <v>1</v>
      </c>
      <c r="G206" s="12">
        <v>1</v>
      </c>
      <c r="H206" s="12" t="s">
        <v>544</v>
      </c>
      <c r="I206" s="12">
        <v>1</v>
      </c>
      <c r="J206" s="12" t="s">
        <v>2296</v>
      </c>
      <c r="K206" s="12" t="s">
        <v>1347</v>
      </c>
      <c r="L206" s="23" t="s">
        <v>1342</v>
      </c>
      <c r="M206" s="13" t="s">
        <v>1464</v>
      </c>
      <c r="N206" s="13" t="s">
        <v>1342</v>
      </c>
      <c r="O206" s="12" t="s">
        <v>2112</v>
      </c>
      <c r="P206" s="12" t="s">
        <v>2180</v>
      </c>
      <c r="Q206" s="12" t="s">
        <v>1342</v>
      </c>
      <c r="R206" s="13" t="s">
        <v>1561</v>
      </c>
      <c r="S206" s="13" t="s">
        <v>1342</v>
      </c>
      <c r="T206" s="23" t="s">
        <v>1342</v>
      </c>
      <c r="U206" s="13" t="s">
        <v>1342</v>
      </c>
      <c r="V206" s="13" t="s">
        <v>1342</v>
      </c>
      <c r="W206" s="13" t="s">
        <v>1342</v>
      </c>
      <c r="X206" s="12" t="str">
        <f>VLOOKUP($D206,global_toc!$C:$K,7,FALSE)</f>
        <v>97DEC03XN</v>
      </c>
      <c r="Y206" s="12" t="str">
        <f>VLOOKUP($D206,global_toc!$C:$K,8,FALSE)</f>
        <v>11OCT17XA</v>
      </c>
      <c r="Z206" s="12">
        <f>VLOOKUP($D206,global_toc!$C:$K,9,FALSE)</f>
        <v>1651</v>
      </c>
      <c r="AA206" s="19" t="str">
        <f t="shared" si="11"/>
        <v>Offset nominal stop time (sec).</v>
      </c>
      <c r="AB206" s="20"/>
    </row>
    <row r="207" spans="1:28" x14ac:dyDescent="0.2">
      <c r="A207" s="12">
        <v>447</v>
      </c>
      <c r="B207" s="12">
        <v>2</v>
      </c>
      <c r="C207" s="12" t="str">
        <f t="shared" si="10"/>
        <v>StopSec</v>
      </c>
      <c r="D207" s="14" t="s">
        <v>785</v>
      </c>
      <c r="E207" s="12">
        <v>1</v>
      </c>
      <c r="F207" s="12">
        <v>1</v>
      </c>
      <c r="G207" s="12">
        <v>1</v>
      </c>
      <c r="H207" s="12" t="s">
        <v>447</v>
      </c>
      <c r="I207" s="12">
        <v>1</v>
      </c>
      <c r="J207" s="12" t="s">
        <v>2332</v>
      </c>
      <c r="K207" s="12" t="s">
        <v>1347</v>
      </c>
      <c r="L207" s="23" t="s">
        <v>1594</v>
      </c>
      <c r="M207" s="13" t="s">
        <v>1464</v>
      </c>
      <c r="N207" s="13" t="s">
        <v>1342</v>
      </c>
      <c r="O207" s="12" t="s">
        <v>2112</v>
      </c>
      <c r="P207" s="12" t="s">
        <v>2180</v>
      </c>
      <c r="Q207" s="12" t="s">
        <v>1342</v>
      </c>
      <c r="R207" s="13" t="s">
        <v>2078</v>
      </c>
      <c r="S207" s="13" t="s">
        <v>1342</v>
      </c>
      <c r="T207" s="23" t="s">
        <v>1342</v>
      </c>
      <c r="U207" s="13" t="s">
        <v>1342</v>
      </c>
      <c r="V207" s="13" t="s">
        <v>1342</v>
      </c>
      <c r="W207" s="13" t="s">
        <v>1342</v>
      </c>
      <c r="X207" s="12" t="str">
        <f>VLOOKUP($D207,global_toc!$C:$K,7,FALSE)</f>
        <v>82JUN16X_</v>
      </c>
      <c r="Y207" s="12" t="str">
        <f>VLOOKUP($D207,global_toc!$C:$K,8,FALSE)</f>
        <v>11OCT17XA</v>
      </c>
      <c r="Z207" s="12">
        <f>VLOOKUP($D207,global_toc!$C:$K,9,FALSE)</f>
        <v>4937</v>
      </c>
      <c r="AA207" s="19" t="str">
        <f t="shared" si="11"/>
        <v>Stop  time in sec past hour.</v>
      </c>
    </row>
    <row r="208" spans="1:28" x14ac:dyDescent="0.2">
      <c r="A208" s="12">
        <v>449</v>
      </c>
      <c r="B208" s="12">
        <v>3</v>
      </c>
      <c r="C208" s="12" t="str">
        <f t="shared" si="10"/>
        <v>TapeCode</v>
      </c>
      <c r="D208" s="14" t="s">
        <v>1062</v>
      </c>
      <c r="E208" s="12">
        <v>3</v>
      </c>
      <c r="F208" s="12">
        <v>1</v>
      </c>
      <c r="G208" s="12">
        <v>1</v>
      </c>
      <c r="H208" s="12" t="s">
        <v>589</v>
      </c>
      <c r="I208" s="12">
        <v>1</v>
      </c>
      <c r="J208" s="12" t="s">
        <v>2349</v>
      </c>
      <c r="K208" s="12" t="s">
        <v>1347</v>
      </c>
      <c r="L208" s="23" t="s">
        <v>1342</v>
      </c>
      <c r="M208" s="13" t="s">
        <v>1464</v>
      </c>
      <c r="N208" s="13" t="s">
        <v>1342</v>
      </c>
      <c r="O208" s="12" t="s">
        <v>2112</v>
      </c>
      <c r="P208" s="12" t="s">
        <v>2180</v>
      </c>
      <c r="Q208" s="12" t="s">
        <v>1342</v>
      </c>
      <c r="R208" s="13" t="s">
        <v>1534</v>
      </c>
      <c r="S208" s="13" t="s">
        <v>1342</v>
      </c>
      <c r="T208" s="23" t="s">
        <v>1342</v>
      </c>
      <c r="U208" s="13" t="s">
        <v>1342</v>
      </c>
      <c r="V208" s="13" t="s">
        <v>1342</v>
      </c>
      <c r="W208" s="13" t="s">
        <v>1342</v>
      </c>
      <c r="X208" s="12" t="str">
        <f>VLOOKUP($D208,global_toc!$C:$K,7,FALSE)</f>
        <v>79AUG03XX</v>
      </c>
      <c r="Y208" s="12" t="str">
        <f>VLOOKUP($D208,global_toc!$C:$K,8,FALSE)</f>
        <v>11OCT17XA</v>
      </c>
      <c r="Z208" s="12">
        <f>VLOOKUP($D208,global_toc!$C:$K,9,FALSE)</f>
        <v>4934</v>
      </c>
      <c r="AA208" s="19" t="str">
        <f t="shared" si="11"/>
        <v>Tape quality code.</v>
      </c>
    </row>
    <row r="209" spans="1:27" x14ac:dyDescent="0.2">
      <c r="A209" s="12">
        <v>448</v>
      </c>
      <c r="B209" s="12">
        <v>3</v>
      </c>
      <c r="C209" s="12" t="str">
        <f t="shared" si="10"/>
        <v>TAPEID</v>
      </c>
      <c r="D209" s="14" t="s">
        <v>1060</v>
      </c>
      <c r="E209" s="12">
        <v>4</v>
      </c>
      <c r="F209" s="12">
        <v>2</v>
      </c>
      <c r="G209" s="12">
        <v>1</v>
      </c>
      <c r="H209" s="12" t="s">
        <v>589</v>
      </c>
      <c r="I209" s="12">
        <v>1</v>
      </c>
      <c r="J209" s="12" t="s">
        <v>1061</v>
      </c>
      <c r="K209" s="12" t="s">
        <v>1347</v>
      </c>
      <c r="L209" s="23" t="s">
        <v>1342</v>
      </c>
      <c r="M209" s="13" t="s">
        <v>1464</v>
      </c>
      <c r="N209" s="13" t="s">
        <v>1342</v>
      </c>
      <c r="O209" s="12" t="s">
        <v>2112</v>
      </c>
      <c r="P209" s="12" t="s">
        <v>2180</v>
      </c>
      <c r="Q209" s="12" t="s">
        <v>1342</v>
      </c>
      <c r="R209" s="13" t="s">
        <v>1342</v>
      </c>
      <c r="S209" s="13" t="s">
        <v>1342</v>
      </c>
      <c r="T209" s="23" t="s">
        <v>1342</v>
      </c>
      <c r="U209" s="13" t="s">
        <v>1342</v>
      </c>
      <c r="V209" s="13" t="s">
        <v>1342</v>
      </c>
      <c r="W209" s="13" t="s">
        <v>1342</v>
      </c>
      <c r="X209" s="12" t="str">
        <f>VLOOKUP($D209,global_toc!$C:$K,7,FALSE)</f>
        <v>80APR11XQ</v>
      </c>
      <c r="Y209" s="12" t="str">
        <f>VLOOKUP($D209,global_toc!$C:$K,8,FALSE)</f>
        <v>82OCT25X_</v>
      </c>
      <c r="Z209" s="12">
        <f>VLOOKUP($D209,global_toc!$C:$K,9,FALSE)</f>
        <v>44</v>
      </c>
      <c r="AA209" s="19" t="str">
        <f t="shared" si="11"/>
        <v>Raw data tape ID for ref and rem</v>
      </c>
    </row>
    <row r="210" spans="1:27" x14ac:dyDescent="0.2">
      <c r="A210" s="12">
        <v>464</v>
      </c>
      <c r="B210" s="12">
        <v>2</v>
      </c>
      <c r="C210" s="12" t="str">
        <f t="shared" si="10"/>
        <v>TimeSinceStart</v>
      </c>
      <c r="D210" s="12" t="s">
        <v>1755</v>
      </c>
      <c r="E210" s="12">
        <v>1</v>
      </c>
      <c r="F210" s="12">
        <v>1</v>
      </c>
      <c r="G210" s="12">
        <v>1</v>
      </c>
      <c r="H210" s="12" t="s">
        <v>447</v>
      </c>
      <c r="I210" s="12">
        <v>1</v>
      </c>
      <c r="J210" s="12" t="s">
        <v>1814</v>
      </c>
      <c r="K210" s="12" t="s">
        <v>1347</v>
      </c>
      <c r="L210" s="23" t="s">
        <v>1342</v>
      </c>
      <c r="M210" s="13" t="s">
        <v>1464</v>
      </c>
      <c r="N210" s="13" t="s">
        <v>1342</v>
      </c>
      <c r="O210" s="12" t="s">
        <v>2112</v>
      </c>
      <c r="P210" s="12" t="s">
        <v>2180</v>
      </c>
      <c r="Q210" s="12" t="s">
        <v>1342</v>
      </c>
      <c r="R210" s="13" t="s">
        <v>2121</v>
      </c>
      <c r="S210" s="13" t="s">
        <v>1342</v>
      </c>
      <c r="T210" s="23" t="s">
        <v>1342</v>
      </c>
      <c r="U210" s="13" t="s">
        <v>1342</v>
      </c>
      <c r="V210" s="13" t="s">
        <v>1342</v>
      </c>
      <c r="W210" s="13" t="s">
        <v>1342</v>
      </c>
      <c r="X210" s="12" t="str">
        <f>VLOOKUP($D210,global_toc!$C:$K,7,FALSE)</f>
        <v>02MAR13XG</v>
      </c>
      <c r="Y210" s="12" t="str">
        <f>VLOOKUP($D210,global_toc!$C:$K,8,FALSE)</f>
        <v>06AUG02XG</v>
      </c>
      <c r="Z210" s="12">
        <f>VLOOKUP($D210,global_toc!$C:$K,9,FALSE)</f>
        <v>50</v>
      </c>
      <c r="AA210" s="19" t="str">
        <f t="shared" si="11"/>
        <v>Interval since start time (sec).</v>
      </c>
    </row>
    <row r="211" spans="1:27" x14ac:dyDescent="0.2">
      <c r="A211" s="12">
        <v>465</v>
      </c>
      <c r="B211" s="12">
        <v>2</v>
      </c>
      <c r="C211" s="12" t="str">
        <f t="shared" si="10"/>
        <v>TotalFringeErr</v>
      </c>
      <c r="D211" s="12" t="s">
        <v>1754</v>
      </c>
      <c r="E211" s="12">
        <v>1</v>
      </c>
      <c r="F211" s="12">
        <v>1</v>
      </c>
      <c r="G211" s="12">
        <v>1</v>
      </c>
      <c r="H211" s="12" t="s">
        <v>447</v>
      </c>
      <c r="I211" s="12">
        <v>1</v>
      </c>
      <c r="J211" s="12" t="s">
        <v>1813</v>
      </c>
      <c r="K211" s="12" t="s">
        <v>1347</v>
      </c>
      <c r="L211" s="23" t="s">
        <v>1342</v>
      </c>
      <c r="M211" s="13" t="s">
        <v>1464</v>
      </c>
      <c r="N211" s="13" t="s">
        <v>1342</v>
      </c>
      <c r="O211" s="12" t="s">
        <v>2112</v>
      </c>
      <c r="P211" s="12" t="s">
        <v>2180</v>
      </c>
      <c r="Q211" s="12" t="s">
        <v>1342</v>
      </c>
      <c r="R211" s="13" t="s">
        <v>2120</v>
      </c>
      <c r="S211" s="13" t="s">
        <v>1342</v>
      </c>
      <c r="T211" s="23" t="s">
        <v>1342</v>
      </c>
      <c r="U211" s="13" t="s">
        <v>1342</v>
      </c>
      <c r="V211" s="13" t="s">
        <v>1342</v>
      </c>
      <c r="W211" s="13" t="s">
        <v>1342</v>
      </c>
      <c r="X211" s="12" t="str">
        <f>VLOOKUP($D211,global_toc!$C:$K,7,FALSE)</f>
        <v>02MAR13XG</v>
      </c>
      <c r="Y211" s="12" t="str">
        <f>VLOOKUP($D211,global_toc!$C:$K,8,FALSE)</f>
        <v>06AUG02XG</v>
      </c>
      <c r="Z211" s="12">
        <f>VLOOKUP($D211,global_toc!$C:$K,9,FALSE)</f>
        <v>50</v>
      </c>
      <c r="AA211" s="19" t="str">
        <f t="shared" si="11"/>
        <v>Total fringe phase error (deg)</v>
      </c>
    </row>
    <row r="212" spans="1:27" x14ac:dyDescent="0.2">
      <c r="A212" s="12">
        <v>450</v>
      </c>
      <c r="B212" s="12">
        <v>3</v>
      </c>
      <c r="C212" s="12" t="str">
        <f t="shared" si="10"/>
        <v>TOTPCENT</v>
      </c>
      <c r="D212" s="14" t="s">
        <v>1440</v>
      </c>
      <c r="E212" s="12">
        <v>1</v>
      </c>
      <c r="F212" s="12">
        <v>1</v>
      </c>
      <c r="G212" s="12">
        <v>1</v>
      </c>
      <c r="H212" s="12" t="s">
        <v>447</v>
      </c>
      <c r="I212" s="12" t="s">
        <v>1672</v>
      </c>
      <c r="J212" s="12" t="s">
        <v>2333</v>
      </c>
      <c r="K212" s="12" t="s">
        <v>1347</v>
      </c>
      <c r="L212" s="23" t="s">
        <v>1342</v>
      </c>
      <c r="M212" s="13" t="s">
        <v>1464</v>
      </c>
      <c r="N212" s="13" t="s">
        <v>1342</v>
      </c>
      <c r="O212" s="12" t="s">
        <v>2112</v>
      </c>
      <c r="P212" s="12" t="s">
        <v>2180</v>
      </c>
      <c r="Q212" s="12" t="s">
        <v>1342</v>
      </c>
      <c r="R212" s="13" t="s">
        <v>1342</v>
      </c>
      <c r="S212" s="13" t="s">
        <v>1342</v>
      </c>
      <c r="T212" s="23" t="s">
        <v>1342</v>
      </c>
      <c r="U212" s="13" t="s">
        <v>1342</v>
      </c>
      <c r="V212" s="13" t="s">
        <v>1342</v>
      </c>
      <c r="W212" s="13" t="s">
        <v>1342</v>
      </c>
      <c r="X212" s="12" t="str">
        <f>VLOOKUP($D212,global_toc!$C:$K,7,FALSE)</f>
        <v>79AUG03XX</v>
      </c>
      <c r="Y212" s="12" t="str">
        <f>VLOOKUP($D212,global_toc!$C:$K,8,FALSE)</f>
        <v>11JUN23XF</v>
      </c>
      <c r="Z212" s="12">
        <f>VLOOKUP($D212,global_toc!$C:$K,9,FALSE)</f>
        <v>3284</v>
      </c>
      <c r="AA212" s="19" t="str">
        <f t="shared" si="11"/>
        <v xml:space="preserve">Tot phase at central epoch. </v>
      </c>
    </row>
    <row r="213" spans="1:27" x14ac:dyDescent="0.2">
      <c r="A213" s="12">
        <v>494</v>
      </c>
      <c r="B213" s="12">
        <v>2</v>
      </c>
      <c r="C213" s="12" t="str">
        <f t="shared" si="10"/>
        <v>URVR</v>
      </c>
      <c r="D213" s="14" t="s">
        <v>789</v>
      </c>
      <c r="E213" s="12">
        <v>2</v>
      </c>
      <c r="F213" s="12">
        <v>1</v>
      </c>
      <c r="G213" s="12">
        <v>1</v>
      </c>
      <c r="H213" s="12" t="s">
        <v>447</v>
      </c>
      <c r="I213" s="12">
        <v>1</v>
      </c>
      <c r="J213" s="12" t="s">
        <v>2299</v>
      </c>
      <c r="K213" s="12" t="s">
        <v>1347</v>
      </c>
      <c r="L213" s="23" t="s">
        <v>1342</v>
      </c>
      <c r="M213" s="13" t="s">
        <v>1464</v>
      </c>
      <c r="N213" s="13" t="s">
        <v>1342</v>
      </c>
      <c r="O213" s="12" t="s">
        <v>2112</v>
      </c>
      <c r="P213" s="12" t="s">
        <v>2180</v>
      </c>
      <c r="Q213" s="12" t="s">
        <v>1342</v>
      </c>
      <c r="R213" s="13" t="s">
        <v>1342</v>
      </c>
      <c r="S213" s="13" t="s">
        <v>1342</v>
      </c>
      <c r="T213" s="23" t="s">
        <v>1342</v>
      </c>
      <c r="U213" s="13" t="s">
        <v>1342</v>
      </c>
      <c r="V213" s="13" t="s">
        <v>1342</v>
      </c>
      <c r="W213" s="13" t="s">
        <v>1342</v>
      </c>
      <c r="X213" s="12" t="str">
        <f>VLOOKUP($D213,global_toc!$C:$K,7,FALSE)</f>
        <v>79AUG03XX</v>
      </c>
      <c r="Y213" s="12" t="str">
        <f>VLOOKUP($D213,global_toc!$C:$K,8,FALSE)</f>
        <v>11OCT17XA</v>
      </c>
      <c r="Z213" s="12">
        <f>VLOOKUP($D213,global_toc!$C:$K,9,FALSE)</f>
        <v>4979</v>
      </c>
      <c r="AA213" s="19" t="str">
        <f t="shared" si="11"/>
        <v>Rate derivatives mHz per asec.</v>
      </c>
    </row>
    <row r="214" spans="1:27" x14ac:dyDescent="0.2">
      <c r="A214" s="12">
        <v>396</v>
      </c>
      <c r="B214" s="12">
        <v>3</v>
      </c>
      <c r="C214" s="12" t="str">
        <f t="shared" si="10"/>
        <v>UTCCorr</v>
      </c>
      <c r="D214" s="14" t="s">
        <v>1028</v>
      </c>
      <c r="E214" s="12">
        <v>6</v>
      </c>
      <c r="F214" s="12">
        <v>1</v>
      </c>
      <c r="G214" s="12">
        <v>1</v>
      </c>
      <c r="H214" s="12" t="s">
        <v>544</v>
      </c>
      <c r="I214" s="12">
        <v>1</v>
      </c>
      <c r="J214" s="12" t="s">
        <v>2334</v>
      </c>
      <c r="K214" s="12" t="s">
        <v>1347</v>
      </c>
      <c r="L214" s="23" t="s">
        <v>1342</v>
      </c>
      <c r="M214" s="13" t="s">
        <v>1464</v>
      </c>
      <c r="N214" s="13" t="s">
        <v>1342</v>
      </c>
      <c r="O214" s="12" t="s">
        <v>2112</v>
      </c>
      <c r="P214" s="12" t="s">
        <v>2180</v>
      </c>
      <c r="Q214" s="12" t="s">
        <v>1342</v>
      </c>
      <c r="R214" s="13" t="s">
        <v>1564</v>
      </c>
      <c r="S214" s="13" t="s">
        <v>1342</v>
      </c>
      <c r="T214" s="23" t="s">
        <v>1342</v>
      </c>
      <c r="U214" s="13" t="s">
        <v>1342</v>
      </c>
      <c r="V214" s="13" t="s">
        <v>1342</v>
      </c>
      <c r="W214" s="13" t="s">
        <v>1342</v>
      </c>
      <c r="X214" s="12" t="str">
        <f>VLOOKUP($D214,global_toc!$C:$K,7,FALSE)</f>
        <v>97DEC03XN</v>
      </c>
      <c r="Y214" s="12" t="str">
        <f>VLOOKUP($D214,global_toc!$C:$K,8,FALSE)</f>
        <v>11OCT17XA</v>
      </c>
      <c r="Z214" s="12">
        <f>VLOOKUP($D214,global_toc!$C:$K,9,FALSE)</f>
        <v>1651</v>
      </c>
      <c r="AA214" s="19" t="str">
        <f t="shared" si="11"/>
        <v>UTC time tag of correlation.</v>
      </c>
    </row>
    <row r="215" spans="1:27" x14ac:dyDescent="0.2">
      <c r="A215" s="12">
        <v>466</v>
      </c>
      <c r="B215" s="12">
        <v>2</v>
      </c>
      <c r="C215" s="12" t="str">
        <f t="shared" si="10"/>
        <v>UTCErr</v>
      </c>
      <c r="D215" s="12" t="s">
        <v>1757</v>
      </c>
      <c r="E215" s="12">
        <v>1</v>
      </c>
      <c r="F215" s="12">
        <v>1</v>
      </c>
      <c r="G215" s="12">
        <v>1</v>
      </c>
      <c r="H215" s="12" t="s">
        <v>447</v>
      </c>
      <c r="I215" s="12">
        <v>1</v>
      </c>
      <c r="J215" s="12" t="s">
        <v>1816</v>
      </c>
      <c r="K215" s="12" t="s">
        <v>1347</v>
      </c>
      <c r="L215" s="23" t="s">
        <v>1342</v>
      </c>
      <c r="M215" s="13" t="s">
        <v>1464</v>
      </c>
      <c r="N215" s="13" t="s">
        <v>1342</v>
      </c>
      <c r="O215" s="12" t="s">
        <v>2112</v>
      </c>
      <c r="P215" s="12" t="s">
        <v>2180</v>
      </c>
      <c r="Q215" s="12" t="s">
        <v>1342</v>
      </c>
      <c r="R215" s="13" t="s">
        <v>2119</v>
      </c>
      <c r="S215" s="13" t="s">
        <v>1342</v>
      </c>
      <c r="T215" s="23" t="s">
        <v>1342</v>
      </c>
      <c r="U215" s="13" t="s">
        <v>1342</v>
      </c>
      <c r="V215" s="13" t="s">
        <v>1342</v>
      </c>
      <c r="W215" s="13" t="s">
        <v>1342</v>
      </c>
      <c r="X215" s="12" t="str">
        <f>VLOOKUP($D215,global_toc!$C:$K,7,FALSE)</f>
        <v>02MAR13XG</v>
      </c>
      <c r="Y215" s="12" t="str">
        <f>VLOOKUP($D215,global_toc!$C:$K,8,FALSE)</f>
        <v>06AUG02XG</v>
      </c>
      <c r="Z215" s="12">
        <f>VLOOKUP($D215,global_toc!$C:$K,9,FALSE)</f>
        <v>50</v>
      </c>
      <c r="AA215" s="19" t="str">
        <f t="shared" si="11"/>
        <v>A priori UTC error site 1 (sec)</v>
      </c>
    </row>
    <row r="216" spans="1:27" x14ac:dyDescent="0.2">
      <c r="A216" s="12">
        <v>451</v>
      </c>
      <c r="B216" s="12">
        <v>3</v>
      </c>
      <c r="C216" s="12" t="str">
        <f t="shared" si="10"/>
        <v>UTCMidObs</v>
      </c>
      <c r="D216" s="14" t="s">
        <v>1046</v>
      </c>
      <c r="E216" s="12">
        <v>6</v>
      </c>
      <c r="F216" s="12">
        <v>1</v>
      </c>
      <c r="G216" s="12">
        <v>1</v>
      </c>
      <c r="H216" s="12" t="s">
        <v>544</v>
      </c>
      <c r="I216" s="12">
        <v>1</v>
      </c>
      <c r="J216" s="12" t="s">
        <v>2335</v>
      </c>
      <c r="K216" s="12" t="s">
        <v>1347</v>
      </c>
      <c r="L216" s="23" t="s">
        <v>1342</v>
      </c>
      <c r="M216" s="13" t="s">
        <v>1464</v>
      </c>
      <c r="N216" s="13" t="s">
        <v>1342</v>
      </c>
      <c r="O216" s="12" t="s">
        <v>2112</v>
      </c>
      <c r="P216" s="12" t="s">
        <v>2180</v>
      </c>
      <c r="Q216" s="12" t="s">
        <v>1342</v>
      </c>
      <c r="R216" s="13" t="s">
        <v>1560</v>
      </c>
      <c r="S216" s="13" t="s">
        <v>1342</v>
      </c>
      <c r="T216" s="23" t="s">
        <v>1342</v>
      </c>
      <c r="U216" s="13" t="s">
        <v>1342</v>
      </c>
      <c r="V216" s="13" t="s">
        <v>1342</v>
      </c>
      <c r="W216" s="13" t="s">
        <v>1342</v>
      </c>
      <c r="X216" s="12" t="str">
        <f>VLOOKUP($D216,global_toc!$C:$K,7,FALSE)</f>
        <v>79AUG03XX</v>
      </c>
      <c r="Y216" s="12" t="str">
        <f>VLOOKUP($D216,global_toc!$C:$K,8,FALSE)</f>
        <v>11OCT17XA</v>
      </c>
      <c r="Z216" s="12">
        <f>VLOOKUP($D216,global_toc!$C:$K,9,FALSE)</f>
        <v>4934</v>
      </c>
      <c r="AA216" s="19" t="str">
        <f t="shared" si="11"/>
        <v>UTC at central epoch YMDHMS.</v>
      </c>
    </row>
    <row r="217" spans="1:27" x14ac:dyDescent="0.2">
      <c r="A217" s="12">
        <v>430</v>
      </c>
      <c r="B217" s="12">
        <v>3</v>
      </c>
      <c r="C217" s="12" t="str">
        <f t="shared" si="10"/>
        <v>UTCProc</v>
      </c>
      <c r="D217" s="14" t="s">
        <v>62</v>
      </c>
      <c r="E217" s="12">
        <v>2</v>
      </c>
      <c r="F217" s="12">
        <v>14</v>
      </c>
      <c r="G217" s="12">
        <v>1</v>
      </c>
      <c r="H217" s="12" t="s">
        <v>544</v>
      </c>
      <c r="I217" s="12" t="s">
        <v>1672</v>
      </c>
      <c r="J217" s="12" t="s">
        <v>2311</v>
      </c>
      <c r="K217" s="12" t="s">
        <v>1347</v>
      </c>
      <c r="L217" s="23" t="s">
        <v>1342</v>
      </c>
      <c r="M217" s="13" t="s">
        <v>1464</v>
      </c>
      <c r="N217" s="13" t="s">
        <v>1342</v>
      </c>
      <c r="O217" s="12" t="s">
        <v>2112</v>
      </c>
      <c r="P217" s="12" t="s">
        <v>2180</v>
      </c>
      <c r="Q217" s="12" t="s">
        <v>1342</v>
      </c>
      <c r="R217" s="13" t="s">
        <v>1569</v>
      </c>
      <c r="S217" s="13" t="s">
        <v>1342</v>
      </c>
      <c r="T217" s="23" t="s">
        <v>1342</v>
      </c>
      <c r="U217" s="13" t="s">
        <v>1342</v>
      </c>
      <c r="V217" s="13" t="s">
        <v>1342</v>
      </c>
      <c r="W217" s="13" t="s">
        <v>1342</v>
      </c>
      <c r="X217" s="12" t="str">
        <f>VLOOKUP($D217,global_toc!$C:$K,7,FALSE)</f>
        <v>80APR11XQ</v>
      </c>
      <c r="Y217" s="12" t="str">
        <f>VLOOKUP($D217,global_toc!$C:$K,8,FALSE)</f>
        <v>82OCT25X_</v>
      </c>
      <c r="Z217" s="12">
        <f>VLOOKUP($D217,global_toc!$C:$K,9,FALSE)</f>
        <v>44</v>
      </c>
      <c r="AA217" s="19" t="str">
        <f t="shared" si="11"/>
        <v xml:space="preserve">YDDD of COREL by sta channel. </v>
      </c>
    </row>
    <row r="218" spans="1:27" x14ac:dyDescent="0.2">
      <c r="A218" s="12">
        <v>441</v>
      </c>
      <c r="B218" s="12">
        <v>3</v>
      </c>
      <c r="C218" s="12" t="str">
        <f t="shared" si="10"/>
        <v>UTCScan</v>
      </c>
      <c r="D218" s="14" t="s">
        <v>1040</v>
      </c>
      <c r="E218" s="12">
        <v>6</v>
      </c>
      <c r="F218" s="12">
        <v>1</v>
      </c>
      <c r="G218" s="12">
        <v>1</v>
      </c>
      <c r="H218" s="12" t="s">
        <v>544</v>
      </c>
      <c r="I218" s="12">
        <v>1</v>
      </c>
      <c r="J218" s="12" t="s">
        <v>2336</v>
      </c>
      <c r="K218" s="12" t="s">
        <v>1347</v>
      </c>
      <c r="L218" s="23" t="s">
        <v>1342</v>
      </c>
      <c r="M218" s="13" t="s">
        <v>1464</v>
      </c>
      <c r="N218" s="13" t="s">
        <v>1342</v>
      </c>
      <c r="O218" s="12" t="s">
        <v>2112</v>
      </c>
      <c r="P218" s="12" t="s">
        <v>2180</v>
      </c>
      <c r="Q218" s="12" t="s">
        <v>1342</v>
      </c>
      <c r="R218" s="13" t="s">
        <v>1563</v>
      </c>
      <c r="S218" s="13" t="s">
        <v>1342</v>
      </c>
      <c r="T218" s="23" t="s">
        <v>1342</v>
      </c>
      <c r="U218" s="13" t="s">
        <v>1342</v>
      </c>
      <c r="V218" s="13" t="s">
        <v>1342</v>
      </c>
      <c r="W218" s="13" t="s">
        <v>1342</v>
      </c>
      <c r="X218" s="12" t="str">
        <f>VLOOKUP($D218,global_toc!$C:$K,7,FALSE)</f>
        <v>97DEC03XN</v>
      </c>
      <c r="Y218" s="12" t="str">
        <f>VLOOKUP($D218,global_toc!$C:$K,8,FALSE)</f>
        <v>11OCT17XA</v>
      </c>
      <c r="Z218" s="12">
        <f>VLOOKUP($D218,global_toc!$C:$K,9,FALSE)</f>
        <v>1651</v>
      </c>
      <c r="AA218" s="19" t="str">
        <f t="shared" si="11"/>
        <v>Nominal scan time YMDHMS.</v>
      </c>
    </row>
    <row r="219" spans="1:27" x14ac:dyDescent="0.2">
      <c r="A219" s="12">
        <v>454</v>
      </c>
      <c r="B219" s="12">
        <v>3</v>
      </c>
      <c r="C219" s="12" t="str">
        <f t="shared" si="10"/>
        <v>UTCVLB2</v>
      </c>
      <c r="D219" s="14" t="s">
        <v>1241</v>
      </c>
      <c r="E219" s="12">
        <v>6</v>
      </c>
      <c r="F219" s="12">
        <v>1</v>
      </c>
      <c r="G219" s="12">
        <v>1</v>
      </c>
      <c r="H219" s="12" t="s">
        <v>544</v>
      </c>
      <c r="I219" s="12" t="s">
        <v>1672</v>
      </c>
      <c r="J219" s="12" t="s">
        <v>2337</v>
      </c>
      <c r="K219" s="12" t="s">
        <v>1347</v>
      </c>
      <c r="L219" s="23" t="s">
        <v>1342</v>
      </c>
      <c r="M219" s="13" t="s">
        <v>1464</v>
      </c>
      <c r="N219" s="13" t="s">
        <v>1342</v>
      </c>
      <c r="O219" s="12" t="s">
        <v>2112</v>
      </c>
      <c r="P219" s="12" t="s">
        <v>2180</v>
      </c>
      <c r="Q219" s="12" t="s">
        <v>1342</v>
      </c>
      <c r="R219" s="13" t="s">
        <v>1571</v>
      </c>
      <c r="S219" s="13" t="s">
        <v>1342</v>
      </c>
      <c r="T219" s="23" t="s">
        <v>1342</v>
      </c>
      <c r="U219" s="13" t="s">
        <v>1342</v>
      </c>
      <c r="V219" s="13" t="s">
        <v>1342</v>
      </c>
      <c r="W219" s="13" t="s">
        <v>1342</v>
      </c>
      <c r="X219" s="12" t="str">
        <f>VLOOKUP($D219,global_toc!$C:$K,7,FALSE)</f>
        <v>80APR11XQ</v>
      </c>
      <c r="Y219" s="12" t="str">
        <f>VLOOKUP($D219,global_toc!$C:$K,8,FALSE)</f>
        <v>82OCT25X_</v>
      </c>
      <c r="Z219" s="12">
        <f>VLOOKUP($D219,global_toc!$C:$K,9,FALSE)</f>
        <v>44</v>
      </c>
      <c r="AA219" s="19" t="str">
        <f t="shared" si="11"/>
        <v xml:space="preserve">UTC of FRNGE proc YMDHMS. </v>
      </c>
    </row>
    <row r="220" spans="1:27" x14ac:dyDescent="0.2">
      <c r="A220" s="12">
        <v>467</v>
      </c>
      <c r="B220" s="12">
        <v>2</v>
      </c>
      <c r="C220" s="12" t="str">
        <f t="shared" si="10"/>
        <v>VFDWELL</v>
      </c>
      <c r="D220" s="12" t="s">
        <v>1758</v>
      </c>
      <c r="E220" s="12">
        <v>1</v>
      </c>
      <c r="F220" s="12">
        <v>1</v>
      </c>
      <c r="G220" s="12">
        <v>1</v>
      </c>
      <c r="H220" s="12" t="s">
        <v>447</v>
      </c>
      <c r="I220" s="12">
        <v>1</v>
      </c>
      <c r="J220" s="12" t="s">
        <v>1817</v>
      </c>
      <c r="K220" s="12" t="s">
        <v>1347</v>
      </c>
      <c r="L220" s="23" t="s">
        <v>1342</v>
      </c>
      <c r="M220" s="13" t="s">
        <v>1464</v>
      </c>
      <c r="N220" s="13" t="s">
        <v>1342</v>
      </c>
      <c r="O220" s="12" t="s">
        <v>2112</v>
      </c>
      <c r="P220" s="12" t="s">
        <v>2180</v>
      </c>
      <c r="Q220" s="12" t="s">
        <v>1342</v>
      </c>
      <c r="R220" s="13" t="s">
        <v>1342</v>
      </c>
      <c r="S220" s="13" t="s">
        <v>1342</v>
      </c>
      <c r="T220" s="23" t="s">
        <v>1342</v>
      </c>
      <c r="U220" s="13" t="s">
        <v>1342</v>
      </c>
      <c r="V220" s="13" t="s">
        <v>1342</v>
      </c>
      <c r="W220" s="13" t="s">
        <v>1342</v>
      </c>
      <c r="X220" s="12" t="str">
        <f>VLOOKUP($D220,global_toc!$C:$K,7,FALSE)</f>
        <v>02MAR13XG</v>
      </c>
      <c r="Y220" s="12" t="str">
        <f>VLOOKUP($D220,global_toc!$C:$K,8,FALSE)</f>
        <v>06AUG02XG</v>
      </c>
      <c r="Z220" s="12">
        <f>VLOOKUP($D220,global_toc!$C:$K,9,FALSE)</f>
        <v>50</v>
      </c>
      <c r="AA220" s="19" t="str">
        <f t="shared" si="11"/>
        <v>Dwell time in each channel (sec)</v>
      </c>
    </row>
    <row r="221" spans="1:27" x14ac:dyDescent="0.2">
      <c r="A221" s="12">
        <v>469</v>
      </c>
      <c r="B221" s="12">
        <v>2</v>
      </c>
      <c r="C221" s="12" t="str">
        <f t="shared" si="10"/>
        <v>VFRQAM</v>
      </c>
      <c r="D221" s="12" t="s">
        <v>1770</v>
      </c>
      <c r="E221" s="12">
        <v>32</v>
      </c>
      <c r="F221" s="12">
        <v>1</v>
      </c>
      <c r="G221" s="12">
        <v>1</v>
      </c>
      <c r="H221" s="12" t="s">
        <v>447</v>
      </c>
      <c r="I221" s="12">
        <v>1</v>
      </c>
      <c r="J221" s="12" t="s">
        <v>1821</v>
      </c>
      <c r="K221" s="12" t="s">
        <v>1347</v>
      </c>
      <c r="L221" s="23" t="s">
        <v>1342</v>
      </c>
      <c r="M221" s="13" t="s">
        <v>1464</v>
      </c>
      <c r="N221" s="13" t="s">
        <v>1342</v>
      </c>
      <c r="O221" s="12" t="s">
        <v>2112</v>
      </c>
      <c r="P221" s="12" t="s">
        <v>2180</v>
      </c>
      <c r="Q221" s="12" t="s">
        <v>1342</v>
      </c>
      <c r="R221" s="13" t="s">
        <v>1342</v>
      </c>
      <c r="S221" s="13" t="s">
        <v>1342</v>
      </c>
      <c r="T221" s="23" t="s">
        <v>1342</v>
      </c>
      <c r="U221" s="13" t="s">
        <v>1342</v>
      </c>
      <c r="V221" s="13" t="s">
        <v>1342</v>
      </c>
      <c r="W221" s="13" t="s">
        <v>1342</v>
      </c>
      <c r="X221" s="12" t="str">
        <f>VLOOKUP($D221,global_toc!$C:$K,7,FALSE)</f>
        <v>02MAR13XG</v>
      </c>
      <c r="Y221" s="12" t="str">
        <f>VLOOKUP($D221,global_toc!$C:$K,8,FALSE)</f>
        <v>06AUG02XG</v>
      </c>
      <c r="Z221" s="12">
        <f>VLOOKUP($D221,global_toc!$C:$K,9,FALSE)</f>
        <v>50</v>
      </c>
      <c r="AA221" s="19" t="str">
        <f t="shared" si="11"/>
        <v>Normalized channel amplitude</v>
      </c>
    </row>
    <row r="222" spans="1:27" x14ac:dyDescent="0.2">
      <c r="A222" s="12">
        <v>470</v>
      </c>
      <c r="B222" s="12">
        <v>2</v>
      </c>
      <c r="C222" s="12" t="str">
        <f t="shared" si="10"/>
        <v>VFRQPCAM</v>
      </c>
      <c r="D222" s="12" t="s">
        <v>1765</v>
      </c>
      <c r="E222" s="12">
        <v>2</v>
      </c>
      <c r="F222" s="12">
        <v>32</v>
      </c>
      <c r="G222" s="12">
        <v>1</v>
      </c>
      <c r="H222" s="12" t="s">
        <v>447</v>
      </c>
      <c r="I222" s="12">
        <v>1</v>
      </c>
      <c r="J222" s="12" t="s">
        <v>1766</v>
      </c>
      <c r="K222" s="12" t="s">
        <v>1347</v>
      </c>
      <c r="L222" s="23" t="s">
        <v>1342</v>
      </c>
      <c r="M222" s="13" t="s">
        <v>1464</v>
      </c>
      <c r="N222" s="13" t="s">
        <v>1342</v>
      </c>
      <c r="O222" s="12" t="s">
        <v>2112</v>
      </c>
      <c r="P222" s="12" t="s">
        <v>2180</v>
      </c>
      <c r="Q222" s="12" t="s">
        <v>1342</v>
      </c>
      <c r="R222" s="13" t="s">
        <v>1342</v>
      </c>
      <c r="S222" s="13" t="s">
        <v>1342</v>
      </c>
      <c r="T222" s="23" t="s">
        <v>1342</v>
      </c>
      <c r="U222" s="13" t="s">
        <v>1342</v>
      </c>
      <c r="V222" s="13" t="s">
        <v>1342</v>
      </c>
      <c r="W222" s="13" t="s">
        <v>1342</v>
      </c>
      <c r="X222" s="12" t="str">
        <f>VLOOKUP($D222,global_toc!$C:$K,7,FALSE)</f>
        <v>02MAR13XG</v>
      </c>
      <c r="Y222" s="12" t="str">
        <f>VLOOKUP($D222,global_toc!$C:$K,8,FALSE)</f>
        <v>06AUG02XG</v>
      </c>
      <c r="Z222" s="12">
        <f>VLOOKUP($D222,global_toc!$C:$K,9,FALSE)</f>
        <v>50</v>
      </c>
      <c r="AA222" s="19" t="str">
        <f t="shared" si="11"/>
        <v>Phase cal tone Amplitudes</v>
      </c>
    </row>
    <row r="223" spans="1:27" x14ac:dyDescent="0.2">
      <c r="A223" s="12">
        <v>471</v>
      </c>
      <c r="B223" s="12">
        <v>2</v>
      </c>
      <c r="C223" s="12" t="str">
        <f t="shared" si="10"/>
        <v>VFRQPCFR</v>
      </c>
      <c r="D223" s="12" t="s">
        <v>1769</v>
      </c>
      <c r="E223" s="12">
        <v>2</v>
      </c>
      <c r="F223" s="12">
        <v>32</v>
      </c>
      <c r="G223" s="12">
        <v>1</v>
      </c>
      <c r="H223" s="12" t="s">
        <v>447</v>
      </c>
      <c r="I223" s="12">
        <v>1</v>
      </c>
      <c r="J223" s="12" t="s">
        <v>1820</v>
      </c>
      <c r="K223" s="12" t="s">
        <v>1347</v>
      </c>
      <c r="L223" s="23" t="s">
        <v>1342</v>
      </c>
      <c r="M223" s="13" t="s">
        <v>1464</v>
      </c>
      <c r="N223" s="13" t="s">
        <v>1342</v>
      </c>
      <c r="O223" s="12" t="s">
        <v>2112</v>
      </c>
      <c r="P223" s="12" t="s">
        <v>2180</v>
      </c>
      <c r="Q223" s="12" t="s">
        <v>1342</v>
      </c>
      <c r="R223" s="13" t="s">
        <v>1342</v>
      </c>
      <c r="S223" s="13" t="s">
        <v>1342</v>
      </c>
      <c r="T223" s="23" t="s">
        <v>1342</v>
      </c>
      <c r="U223" s="13" t="s">
        <v>1342</v>
      </c>
      <c r="V223" s="13" t="s">
        <v>1342</v>
      </c>
      <c r="W223" s="13" t="s">
        <v>1342</v>
      </c>
      <c r="X223" s="12" t="str">
        <f>VLOOKUP($D223,global_toc!$C:$K,7,FALSE)</f>
        <v>02MAR13XG</v>
      </c>
      <c r="Y223" s="12" t="str">
        <f>VLOOKUP($D223,global_toc!$C:$K,8,FALSE)</f>
        <v>06AUG02XG</v>
      </c>
      <c r="Z223" s="12">
        <f>VLOOKUP($D223,global_toc!$C:$K,9,FALSE)</f>
        <v>50</v>
      </c>
      <c r="AA223" s="19" t="str">
        <f t="shared" si="11"/>
        <v>Phase cal tone Frequencies</v>
      </c>
    </row>
    <row r="224" spans="1:27" x14ac:dyDescent="0.2">
      <c r="A224" s="12">
        <v>472</v>
      </c>
      <c r="B224" s="12">
        <v>2</v>
      </c>
      <c r="C224" s="12" t="str">
        <f t="shared" si="10"/>
        <v>VFRQPCPH</v>
      </c>
      <c r="D224" s="12" t="s">
        <v>1767</v>
      </c>
      <c r="E224" s="12">
        <v>2</v>
      </c>
      <c r="F224" s="12">
        <v>32</v>
      </c>
      <c r="G224" s="12">
        <v>1</v>
      </c>
      <c r="H224" s="12" t="s">
        <v>447</v>
      </c>
      <c r="I224" s="12">
        <v>1</v>
      </c>
      <c r="J224" s="12" t="s">
        <v>1768</v>
      </c>
      <c r="K224" s="12" t="s">
        <v>1347</v>
      </c>
      <c r="L224" s="23" t="s">
        <v>1342</v>
      </c>
      <c r="M224" s="13" t="s">
        <v>1464</v>
      </c>
      <c r="N224" s="13" t="s">
        <v>1342</v>
      </c>
      <c r="O224" s="12" t="s">
        <v>2112</v>
      </c>
      <c r="P224" s="12" t="s">
        <v>2180</v>
      </c>
      <c r="Q224" s="12" t="s">
        <v>1342</v>
      </c>
      <c r="R224" s="13" t="s">
        <v>1342</v>
      </c>
      <c r="S224" s="13" t="s">
        <v>1342</v>
      </c>
      <c r="T224" s="23" t="s">
        <v>1342</v>
      </c>
      <c r="U224" s="13" t="s">
        <v>1342</v>
      </c>
      <c r="V224" s="13" t="s">
        <v>1342</v>
      </c>
      <c r="W224" s="13" t="s">
        <v>1342</v>
      </c>
      <c r="X224" s="12" t="str">
        <f>VLOOKUP($D224,global_toc!$C:$K,7,FALSE)</f>
        <v>02MAR13XG</v>
      </c>
      <c r="Y224" s="12" t="str">
        <f>VLOOKUP($D224,global_toc!$C:$K,8,FALSE)</f>
        <v>06AUG02XG</v>
      </c>
      <c r="Z224" s="12">
        <f>VLOOKUP($D224,global_toc!$C:$K,9,FALSE)</f>
        <v>50</v>
      </c>
      <c r="AA224" s="19" t="str">
        <f t="shared" si="11"/>
        <v>PHASE cal tone Phases</v>
      </c>
    </row>
    <row r="225" spans="1:27" x14ac:dyDescent="0.2">
      <c r="A225" s="12">
        <v>473</v>
      </c>
      <c r="B225" s="12">
        <v>2</v>
      </c>
      <c r="C225" s="12" t="str">
        <f t="shared" si="10"/>
        <v>VFRQPH</v>
      </c>
      <c r="D225" s="12" t="s">
        <v>1771</v>
      </c>
      <c r="E225" s="12">
        <v>32</v>
      </c>
      <c r="F225" s="12">
        <v>1</v>
      </c>
      <c r="G225" s="12">
        <v>1</v>
      </c>
      <c r="H225" s="12" t="s">
        <v>447</v>
      </c>
      <c r="I225" s="12">
        <v>1</v>
      </c>
      <c r="J225" s="12" t="s">
        <v>1772</v>
      </c>
      <c r="K225" s="12" t="s">
        <v>1347</v>
      </c>
      <c r="L225" s="23" t="s">
        <v>1342</v>
      </c>
      <c r="M225" s="13" t="s">
        <v>1464</v>
      </c>
      <c r="N225" s="13" t="s">
        <v>1342</v>
      </c>
      <c r="O225" s="12" t="s">
        <v>2112</v>
      </c>
      <c r="P225" s="12" t="s">
        <v>2180</v>
      </c>
      <c r="Q225" s="12" t="s">
        <v>1342</v>
      </c>
      <c r="R225" s="13" t="s">
        <v>1342</v>
      </c>
      <c r="S225" s="13" t="s">
        <v>1342</v>
      </c>
      <c r="T225" s="23" t="s">
        <v>1342</v>
      </c>
      <c r="U225" s="13" t="s">
        <v>1342</v>
      </c>
      <c r="V225" s="13" t="s">
        <v>1342</v>
      </c>
      <c r="W225" s="13" t="s">
        <v>1342</v>
      </c>
      <c r="X225" s="12" t="str">
        <f>VLOOKUP($D225,global_toc!$C:$K,7,FALSE)</f>
        <v>02MAR13XG</v>
      </c>
      <c r="Y225" s="12" t="str">
        <f>VLOOKUP($D225,global_toc!$C:$K,8,FALSE)</f>
        <v>06AUG02XG</v>
      </c>
      <c r="Z225" s="12">
        <f>VLOOKUP($D225,global_toc!$C:$K,9,FALSE)</f>
        <v>50</v>
      </c>
      <c r="AA225" s="19" t="str">
        <f t="shared" si="11"/>
        <v>Channel Phase (degrees)</v>
      </c>
    </row>
    <row r="226" spans="1:27" x14ac:dyDescent="0.2">
      <c r="A226" s="12">
        <v>474</v>
      </c>
      <c r="B226" s="12">
        <v>2</v>
      </c>
      <c r="C226" s="12" t="str">
        <f t="shared" si="10"/>
        <v>VIRTFREQ</v>
      </c>
      <c r="D226" s="12" t="s">
        <v>1759</v>
      </c>
      <c r="E226" s="12">
        <v>32</v>
      </c>
      <c r="F226" s="12">
        <v>1</v>
      </c>
      <c r="G226" s="12">
        <v>1</v>
      </c>
      <c r="H226" s="12" t="s">
        <v>447</v>
      </c>
      <c r="I226" s="12">
        <v>1</v>
      </c>
      <c r="J226" s="12" t="s">
        <v>1760</v>
      </c>
      <c r="K226" s="12" t="s">
        <v>1347</v>
      </c>
      <c r="L226" s="23" t="s">
        <v>1342</v>
      </c>
      <c r="M226" s="13" t="s">
        <v>1464</v>
      </c>
      <c r="N226" s="13" t="s">
        <v>1342</v>
      </c>
      <c r="O226" s="12" t="s">
        <v>2112</v>
      </c>
      <c r="P226" s="12" t="s">
        <v>2180</v>
      </c>
      <c r="Q226" s="12" t="s">
        <v>1342</v>
      </c>
      <c r="R226" s="13" t="s">
        <v>1342</v>
      </c>
      <c r="S226" s="13" t="s">
        <v>1342</v>
      </c>
      <c r="T226" s="23" t="s">
        <v>1342</v>
      </c>
      <c r="U226" s="13" t="s">
        <v>1342</v>
      </c>
      <c r="V226" s="13" t="s">
        <v>1342</v>
      </c>
      <c r="W226" s="13" t="s">
        <v>1342</v>
      </c>
      <c r="X226" s="12" t="str">
        <f>VLOOKUP($D226,global_toc!$C:$K,7,FALSE)</f>
        <v>02MAR13XG</v>
      </c>
      <c r="Y226" s="12" t="str">
        <f>VLOOKUP($D226,global_toc!$C:$K,8,FALSE)</f>
        <v>06AUG02XG</v>
      </c>
      <c r="Z226" s="12">
        <f>VLOOKUP($D226,global_toc!$C:$K,9,FALSE)</f>
        <v>50</v>
      </c>
      <c r="AA226" s="19" t="str">
        <f t="shared" si="11"/>
        <v>Sky Frequencies</v>
      </c>
    </row>
    <row r="227" spans="1:27" x14ac:dyDescent="0.2">
      <c r="A227" s="12">
        <v>452</v>
      </c>
      <c r="B227" s="12">
        <v>2</v>
      </c>
      <c r="C227" s="12" t="str">
        <f t="shared" si="10"/>
        <v>VLB1FILE</v>
      </c>
      <c r="D227" s="14" t="s">
        <v>1425</v>
      </c>
      <c r="E227" s="12">
        <v>3</v>
      </c>
      <c r="F227" s="12">
        <v>1</v>
      </c>
      <c r="G227" s="12">
        <v>1</v>
      </c>
      <c r="H227" s="12" t="s">
        <v>589</v>
      </c>
      <c r="I227" s="12"/>
      <c r="J227" s="12" t="s">
        <v>2350</v>
      </c>
      <c r="K227" s="12" t="s">
        <v>1347</v>
      </c>
      <c r="L227" s="23" t="s">
        <v>1342</v>
      </c>
      <c r="M227" s="13" t="s">
        <v>1464</v>
      </c>
      <c r="N227" s="13" t="s">
        <v>1342</v>
      </c>
      <c r="O227" s="12" t="s">
        <v>2112</v>
      </c>
      <c r="P227" s="12" t="s">
        <v>2180</v>
      </c>
      <c r="Q227" s="12" t="s">
        <v>1342</v>
      </c>
      <c r="R227" s="13" t="s">
        <v>1342</v>
      </c>
      <c r="S227" s="13" t="s">
        <v>1342</v>
      </c>
      <c r="T227" s="23" t="s">
        <v>1342</v>
      </c>
      <c r="U227" s="13" t="s">
        <v>1342</v>
      </c>
      <c r="V227" s="13" t="s">
        <v>1342</v>
      </c>
      <c r="W227" s="13" t="s">
        <v>1342</v>
      </c>
      <c r="X227" s="12" t="str">
        <f>VLOOKUP($D227,global_toc!$C:$K,7,FALSE)</f>
        <v>79AUG03XX</v>
      </c>
      <c r="Y227" s="12" t="str">
        <f>VLOOKUP($D227,global_toc!$C:$K,8,FALSE)</f>
        <v>11JUN23XF</v>
      </c>
      <c r="Z227" s="12">
        <f>VLOOKUP($D227,global_toc!$C:$K,9,FALSE)</f>
        <v>3378</v>
      </c>
      <c r="AA227" s="19" t="str">
        <f t="shared" si="11"/>
        <v xml:space="preserve">Correlator file name. </v>
      </c>
    </row>
    <row r="228" spans="1:27" x14ac:dyDescent="0.2">
      <c r="A228" s="12">
        <v>453</v>
      </c>
      <c r="B228" s="12">
        <v>2</v>
      </c>
      <c r="C228" s="12" t="str">
        <f t="shared" si="10"/>
        <v>VLB1XTNT</v>
      </c>
      <c r="D228" s="14" t="s">
        <v>32</v>
      </c>
      <c r="E228" s="12">
        <v>2</v>
      </c>
      <c r="F228" s="12">
        <v>14</v>
      </c>
      <c r="G228" s="12">
        <v>1</v>
      </c>
      <c r="H228" s="12" t="s">
        <v>544</v>
      </c>
      <c r="I228" s="12"/>
      <c r="J228" s="12" t="s">
        <v>2338</v>
      </c>
      <c r="K228" s="12" t="s">
        <v>1347</v>
      </c>
      <c r="L228" s="23" t="s">
        <v>1342</v>
      </c>
      <c r="M228" s="13" t="s">
        <v>1464</v>
      </c>
      <c r="N228" s="13" t="s">
        <v>1342</v>
      </c>
      <c r="O228" s="12" t="s">
        <v>2112</v>
      </c>
      <c r="P228" s="12" t="s">
        <v>2180</v>
      </c>
      <c r="Q228" s="12" t="s">
        <v>1342</v>
      </c>
      <c r="R228" s="13" t="s">
        <v>1342</v>
      </c>
      <c r="S228" s="13" t="s">
        <v>1342</v>
      </c>
      <c r="T228" s="23" t="s">
        <v>1342</v>
      </c>
      <c r="U228" s="13" t="s">
        <v>1342</v>
      </c>
      <c r="V228" s="13" t="s">
        <v>1342</v>
      </c>
      <c r="W228" s="13" t="s">
        <v>1342</v>
      </c>
      <c r="X228" s="12" t="str">
        <f>VLOOKUP($D228,global_toc!$C:$K,7,FALSE)</f>
        <v>80APR11XQ</v>
      </c>
      <c r="Y228" s="12" t="str">
        <f>VLOOKUP($D228,global_toc!$C:$K,8,FALSE)</f>
        <v>10DEC07XA</v>
      </c>
      <c r="Z228" s="12">
        <f>VLOOKUP($D228,global_toc!$C:$K,9,FALSE)</f>
        <v>129</v>
      </c>
      <c r="AA228" s="19" t="str">
        <f t="shared" si="11"/>
        <v xml:space="preserve">corr. ext by sideb  channel. </v>
      </c>
    </row>
    <row r="229" spans="1:27" x14ac:dyDescent="0.2">
      <c r="A229" s="12">
        <v>455</v>
      </c>
      <c r="B229" s="12">
        <v>3</v>
      </c>
      <c r="C229" s="12" t="str">
        <f t="shared" si="10"/>
        <v>VLB2PRG</v>
      </c>
      <c r="D229" s="14" t="s">
        <v>64</v>
      </c>
      <c r="E229" s="12">
        <v>3</v>
      </c>
      <c r="F229" s="12">
        <v>1</v>
      </c>
      <c r="G229" s="12">
        <v>1</v>
      </c>
      <c r="H229" s="12" t="s">
        <v>589</v>
      </c>
      <c r="I229" s="15" t="s">
        <v>1672</v>
      </c>
      <c r="J229" s="12" t="s">
        <v>1702</v>
      </c>
      <c r="K229" s="12" t="s">
        <v>1347</v>
      </c>
      <c r="L229" s="23" t="s">
        <v>1342</v>
      </c>
      <c r="M229" s="13" t="s">
        <v>1464</v>
      </c>
      <c r="N229" s="13" t="s">
        <v>1342</v>
      </c>
      <c r="O229" s="12" t="s">
        <v>2112</v>
      </c>
      <c r="P229" s="12" t="s">
        <v>2180</v>
      </c>
      <c r="Q229" s="12" t="s">
        <v>1342</v>
      </c>
      <c r="R229" s="13" t="s">
        <v>1342</v>
      </c>
      <c r="S229" s="13" t="s">
        <v>1342</v>
      </c>
      <c r="T229" s="23" t="s">
        <v>1342</v>
      </c>
      <c r="U229" s="13" t="s">
        <v>1342</v>
      </c>
      <c r="V229" s="13" t="s">
        <v>1342</v>
      </c>
      <c r="W229" s="13" t="s">
        <v>1342</v>
      </c>
      <c r="X229" s="12" t="str">
        <f>VLOOKUP($D229,global_toc!$C:$K,7,FALSE)</f>
        <v>80APR11XQ</v>
      </c>
      <c r="Y229" s="12" t="str">
        <f>VLOOKUP($D229,global_toc!$C:$K,8,FALSE)</f>
        <v>82OCT25X_</v>
      </c>
      <c r="Z229" s="12">
        <f>VLOOKUP($D229,global_toc!$C:$K,9,FALSE)</f>
        <v>44</v>
      </c>
      <c r="AA229" s="19" t="str">
        <f t="shared" si="11"/>
        <v xml:space="preserve">FRNGE(YYMMDD)  Fourfit(x.x) ver. </v>
      </c>
    </row>
    <row r="230" spans="1:27" x14ac:dyDescent="0.2">
      <c r="A230" s="12">
        <v>456</v>
      </c>
      <c r="B230" s="12">
        <v>2</v>
      </c>
      <c r="C230" s="12" t="str">
        <f t="shared" si="10"/>
        <v>VLB2XTNT</v>
      </c>
      <c r="D230" s="14" t="s">
        <v>34</v>
      </c>
      <c r="E230" s="12">
        <v>1</v>
      </c>
      <c r="F230" s="12">
        <v>1</v>
      </c>
      <c r="G230" s="12">
        <v>1</v>
      </c>
      <c r="H230" s="12" t="s">
        <v>544</v>
      </c>
      <c r="I230" s="12"/>
      <c r="J230" s="12" t="s">
        <v>2351</v>
      </c>
      <c r="K230" s="12" t="s">
        <v>1347</v>
      </c>
      <c r="L230" s="23" t="s">
        <v>1342</v>
      </c>
      <c r="M230" s="13" t="s">
        <v>1464</v>
      </c>
      <c r="N230" s="13" t="s">
        <v>1342</v>
      </c>
      <c r="O230" s="12" t="s">
        <v>2112</v>
      </c>
      <c r="P230" s="12" t="s">
        <v>2180</v>
      </c>
      <c r="Q230" s="12" t="s">
        <v>1342</v>
      </c>
      <c r="R230" s="13" t="s">
        <v>1342</v>
      </c>
      <c r="S230" s="13" t="s">
        <v>1342</v>
      </c>
      <c r="T230" s="23" t="s">
        <v>1342</v>
      </c>
      <c r="U230" s="13" t="s">
        <v>1342</v>
      </c>
      <c r="V230" s="13" t="s">
        <v>1342</v>
      </c>
      <c r="W230" s="13" t="s">
        <v>1342</v>
      </c>
      <c r="X230" s="12" t="str">
        <f>VLOOKUP($D230,global_toc!$C:$K,7,FALSE)</f>
        <v>80APR11XQ</v>
      </c>
      <c r="Y230" s="12" t="str">
        <f>VLOOKUP($D230,global_toc!$C:$K,8,FALSE)</f>
        <v>10DEC07XA</v>
      </c>
      <c r="Z230" s="12">
        <f>VLOOKUP($D230,global_toc!$C:$K,9,FALSE)</f>
        <v>3112</v>
      </c>
      <c r="AA230" s="19" t="str">
        <f t="shared" si="11"/>
        <v xml:space="preserve">FRNGE extent number. </v>
      </c>
    </row>
    <row r="231" spans="1:27" x14ac:dyDescent="0.2">
      <c r="A231" s="12">
        <v>457</v>
      </c>
      <c r="B231" s="12">
        <v>3</v>
      </c>
      <c r="C231" s="12" t="str">
        <f t="shared" si="10"/>
        <v>ZDELAY</v>
      </c>
      <c r="D231" s="14" t="s">
        <v>1024</v>
      </c>
      <c r="E231" s="12">
        <v>2</v>
      </c>
      <c r="F231" s="12">
        <v>1</v>
      </c>
      <c r="G231" s="12">
        <v>1</v>
      </c>
      <c r="H231" s="12" t="s">
        <v>447</v>
      </c>
      <c r="I231" s="12">
        <v>1</v>
      </c>
      <c r="J231" s="12" t="s">
        <v>1025</v>
      </c>
      <c r="K231" s="12" t="s">
        <v>1347</v>
      </c>
      <c r="L231" s="23" t="s">
        <v>1342</v>
      </c>
      <c r="M231" s="13" t="s">
        <v>1464</v>
      </c>
      <c r="N231" s="13" t="s">
        <v>1342</v>
      </c>
      <c r="O231" s="12" t="s">
        <v>2112</v>
      </c>
      <c r="P231" s="12" t="s">
        <v>2180</v>
      </c>
      <c r="Q231" s="12" t="s">
        <v>1342</v>
      </c>
      <c r="R231" s="13" t="s">
        <v>1342</v>
      </c>
      <c r="S231" s="13" t="s">
        <v>1342</v>
      </c>
      <c r="T231" s="23" t="s">
        <v>1342</v>
      </c>
      <c r="U231" s="13" t="s">
        <v>1342</v>
      </c>
      <c r="V231" s="13" t="s">
        <v>1342</v>
      </c>
      <c r="W231" s="13" t="s">
        <v>1342</v>
      </c>
      <c r="X231" s="12" t="str">
        <f>VLOOKUP($D231,global_toc!$C:$K,7,FALSE)</f>
        <v>97DEC03XN</v>
      </c>
      <c r="Y231" s="12" t="str">
        <f>VLOOKUP($D231,global_toc!$C:$K,8,FALSE)</f>
        <v>11OCT17XA</v>
      </c>
      <c r="Z231" s="12">
        <f>VLOOKUP($D231,global_toc!$C:$K,9,FALSE)</f>
        <v>1651</v>
      </c>
      <c r="AA231" s="19" t="str">
        <f t="shared" si="11"/>
        <v>Corel zenith atmos. delay (sec).</v>
      </c>
    </row>
    <row r="232" spans="1:27" ht="25.5" x14ac:dyDescent="0.2">
      <c r="A232" s="12">
        <v>336</v>
      </c>
      <c r="B232" s="12" t="s">
        <v>1655</v>
      </c>
      <c r="C232" s="12" t="str">
        <f t="shared" si="10"/>
        <v>DataFlag</v>
      </c>
      <c r="D232" s="12" t="s">
        <v>2460</v>
      </c>
      <c r="E232" s="12">
        <v>1</v>
      </c>
      <c r="F232" s="12">
        <v>1</v>
      </c>
      <c r="G232" s="12">
        <v>1</v>
      </c>
      <c r="H232" s="12" t="s">
        <v>544</v>
      </c>
      <c r="I232" s="12" t="s">
        <v>1655</v>
      </c>
      <c r="J232" s="12" t="s">
        <v>1342</v>
      </c>
      <c r="K232" s="12" t="s">
        <v>1347</v>
      </c>
      <c r="L232" s="23" t="s">
        <v>2092</v>
      </c>
      <c r="M232" s="13" t="s">
        <v>1464</v>
      </c>
      <c r="N232" s="13" t="s">
        <v>1477</v>
      </c>
      <c r="O232" s="12" t="s">
        <v>2112</v>
      </c>
      <c r="P232" s="12" t="s">
        <v>2462</v>
      </c>
      <c r="Q232" s="12" t="s">
        <v>1342</v>
      </c>
      <c r="R232" s="13" t="s">
        <v>2090</v>
      </c>
      <c r="S232" s="13" t="s">
        <v>1342</v>
      </c>
      <c r="T232" s="23" t="s">
        <v>2101</v>
      </c>
      <c r="U232" s="13" t="s">
        <v>1342</v>
      </c>
      <c r="V232" s="13" t="s">
        <v>1342</v>
      </c>
      <c r="W232" s="13" t="s">
        <v>1342</v>
      </c>
      <c r="X232" s="12" t="e">
        <f>VLOOKUP($D232,global_toc!$C:$K,7,FALSE)</f>
        <v>#N/A</v>
      </c>
      <c r="Y232" s="12" t="e">
        <f>VLOOKUP($D232,global_toc!$C:$K,8,FALSE)</f>
        <v>#N/A</v>
      </c>
      <c r="Z232" s="12" t="e">
        <f>VLOOKUP($D232,global_toc!$C:$K,9,FALSE)</f>
        <v>#N/A</v>
      </c>
      <c r="AA232" s="19" t="str">
        <f t="shared" si="11"/>
        <v>0=OK, -1=Missing,  -2=bad,-3=sigma small, -4=sigma big</v>
      </c>
    </row>
    <row r="233" spans="1:27" ht="25.5" x14ac:dyDescent="0.2">
      <c r="A233" s="12">
        <v>337</v>
      </c>
      <c r="B233" s="12" t="s">
        <v>1655</v>
      </c>
      <c r="C233" s="12" t="str">
        <f t="shared" si="10"/>
        <v>DataFlag</v>
      </c>
      <c r="D233" s="12" t="s">
        <v>2461</v>
      </c>
      <c r="E233" s="12">
        <v>1</v>
      </c>
      <c r="F233" s="12">
        <v>1</v>
      </c>
      <c r="G233" s="12">
        <v>1</v>
      </c>
      <c r="H233" s="12" t="s">
        <v>544</v>
      </c>
      <c r="I233" s="12" t="s">
        <v>1655</v>
      </c>
      <c r="J233" s="12" t="s">
        <v>1342</v>
      </c>
      <c r="K233" s="12" t="s">
        <v>1347</v>
      </c>
      <c r="L233" s="23" t="s">
        <v>2092</v>
      </c>
      <c r="M233" s="13" t="s">
        <v>1464</v>
      </c>
      <c r="N233" s="13" t="s">
        <v>1477</v>
      </c>
      <c r="O233" s="12" t="s">
        <v>2112</v>
      </c>
      <c r="P233" s="12" t="s">
        <v>2463</v>
      </c>
      <c r="Q233" s="12" t="s">
        <v>1342</v>
      </c>
      <c r="R233" s="13" t="s">
        <v>2090</v>
      </c>
      <c r="S233" s="13" t="s">
        <v>1342</v>
      </c>
      <c r="T233" s="23" t="s">
        <v>2101</v>
      </c>
      <c r="U233" s="13" t="s">
        <v>1342</v>
      </c>
      <c r="V233" s="13" t="s">
        <v>1342</v>
      </c>
      <c r="W233" s="13" t="s">
        <v>1342</v>
      </c>
      <c r="X233" s="12" t="e">
        <f>VLOOKUP($D233,global_toc!$C:$K,7,FALSE)</f>
        <v>#N/A</v>
      </c>
      <c r="Y233" s="12" t="e">
        <f>VLOOKUP($D233,global_toc!$C:$K,8,FALSE)</f>
        <v>#N/A</v>
      </c>
      <c r="Z233" s="12" t="e">
        <f>VLOOKUP($D233,global_toc!$C:$K,9,FALSE)</f>
        <v>#N/A</v>
      </c>
      <c r="AA233" s="19" t="str">
        <f t="shared" si="11"/>
        <v>0=OK, -1=Missing,  -2=bad,-3=sigma small, -4=sigma big</v>
      </c>
    </row>
    <row r="234" spans="1:27" ht="25.5" x14ac:dyDescent="0.2">
      <c r="A234" s="12">
        <v>350</v>
      </c>
      <c r="B234" s="12" t="s">
        <v>1655</v>
      </c>
      <c r="C234" s="12" t="str">
        <f t="shared" si="10"/>
        <v>GroupDelay</v>
      </c>
      <c r="D234" s="12" t="s">
        <v>1644</v>
      </c>
      <c r="E234" s="12">
        <v>1</v>
      </c>
      <c r="F234" s="12">
        <v>1</v>
      </c>
      <c r="G234" s="12">
        <v>1</v>
      </c>
      <c r="H234" s="12" t="s">
        <v>447</v>
      </c>
      <c r="I234" s="12" t="s">
        <v>1655</v>
      </c>
      <c r="J234" s="12" t="s">
        <v>1342</v>
      </c>
      <c r="K234" s="12" t="s">
        <v>1347</v>
      </c>
      <c r="L234" s="23" t="s">
        <v>1342</v>
      </c>
      <c r="M234" s="13" t="s">
        <v>1655</v>
      </c>
      <c r="N234" s="13" t="s">
        <v>1477</v>
      </c>
      <c r="O234" s="12" t="s">
        <v>2112</v>
      </c>
      <c r="P234" s="12" t="s">
        <v>1644</v>
      </c>
      <c r="Q234" s="12" t="s">
        <v>1342</v>
      </c>
      <c r="R234" s="13" t="s">
        <v>1513</v>
      </c>
      <c r="S234" s="13" t="s">
        <v>1342</v>
      </c>
      <c r="T234" s="23" t="s">
        <v>1653</v>
      </c>
      <c r="U234" s="13" t="s">
        <v>1342</v>
      </c>
      <c r="V234" s="13" t="s">
        <v>1651</v>
      </c>
      <c r="W234" s="13" t="s">
        <v>1342</v>
      </c>
      <c r="X234" s="12" t="e">
        <f>VLOOKUP($D234,global_toc!$C:$K,7,FALSE)</f>
        <v>#N/A</v>
      </c>
      <c r="Y234" s="12" t="e">
        <f>VLOOKUP($D234,global_toc!$C:$K,8,FALSE)</f>
        <v>#N/A</v>
      </c>
      <c r="Z234" s="12" t="e">
        <f>VLOOKUP($D234,global_toc!$C:$K,9,FALSE)</f>
        <v>#N/A</v>
      </c>
      <c r="AA234" s="19" t="str">
        <f t="shared" si="11"/>
        <v>Delay observable produced by fringing.</v>
      </c>
    </row>
    <row r="235" spans="1:27" x14ac:dyDescent="0.2">
      <c r="A235" s="12">
        <v>349</v>
      </c>
      <c r="B235" s="12">
        <v>2</v>
      </c>
      <c r="C235" s="12" t="str">
        <f t="shared" si="10"/>
        <v>GroupDelaySig</v>
      </c>
      <c r="D235" s="14" t="s">
        <v>904</v>
      </c>
      <c r="E235" s="12">
        <v>1</v>
      </c>
      <c r="F235" s="12">
        <v>1</v>
      </c>
      <c r="G235" s="12">
        <v>1</v>
      </c>
      <c r="H235" s="12" t="s">
        <v>447</v>
      </c>
      <c r="I235" s="12">
        <v>4</v>
      </c>
      <c r="J235" s="12" t="s">
        <v>1683</v>
      </c>
      <c r="K235" s="12" t="s">
        <v>1347</v>
      </c>
      <c r="L235" s="23" t="s">
        <v>1342</v>
      </c>
      <c r="M235" s="13" t="s">
        <v>1464</v>
      </c>
      <c r="N235" s="13" t="s">
        <v>1477</v>
      </c>
      <c r="O235" s="12" t="s">
        <v>2112</v>
      </c>
      <c r="P235" s="12" t="s">
        <v>1644</v>
      </c>
      <c r="Q235" s="12" t="s">
        <v>1342</v>
      </c>
      <c r="R235" s="13" t="s">
        <v>1516</v>
      </c>
      <c r="S235" s="13" t="s">
        <v>1342</v>
      </c>
      <c r="T235" s="23" t="s">
        <v>1636</v>
      </c>
      <c r="U235" s="13" t="s">
        <v>1342</v>
      </c>
      <c r="V235" s="13" t="s">
        <v>1651</v>
      </c>
      <c r="W235" s="13" t="s">
        <v>1342</v>
      </c>
      <c r="X235" s="12" t="str">
        <f>VLOOKUP($D235,global_toc!$C:$K,7,FALSE)</f>
        <v>79AUG03XX</v>
      </c>
      <c r="Y235" s="12" t="str">
        <f>VLOOKUP($D235,global_toc!$C:$K,8,FALSE)</f>
        <v>11OCT17XA</v>
      </c>
      <c r="Z235" s="12">
        <f>VLOOKUP($D235,global_toc!$C:$K,9,FALSE)</f>
        <v>3095</v>
      </c>
      <c r="AA235" s="19" t="str">
        <f t="shared" si="11"/>
        <v>Delay Measurement Sigma</v>
      </c>
    </row>
    <row r="236" spans="1:27" ht="25.5" x14ac:dyDescent="0.2">
      <c r="A236" s="12">
        <v>351</v>
      </c>
      <c r="B236" s="12">
        <v>2</v>
      </c>
      <c r="C236" s="12" t="str">
        <f t="shared" si="10"/>
        <v>GroupDelay</v>
      </c>
      <c r="D236" s="14" t="s">
        <v>741</v>
      </c>
      <c r="E236" s="12">
        <v>2</v>
      </c>
      <c r="F236" s="12">
        <v>1</v>
      </c>
      <c r="G236" s="12">
        <v>1</v>
      </c>
      <c r="H236" s="12" t="s">
        <v>447</v>
      </c>
      <c r="I236" s="12">
        <v>1</v>
      </c>
      <c r="J236" s="12" t="s">
        <v>2386</v>
      </c>
      <c r="K236" s="12" t="s">
        <v>1347</v>
      </c>
      <c r="L236" s="23" t="s">
        <v>1342</v>
      </c>
      <c r="M236" s="13" t="s">
        <v>447</v>
      </c>
      <c r="N236" s="13" t="s">
        <v>1477</v>
      </c>
      <c r="O236" s="12" t="s">
        <v>2112</v>
      </c>
      <c r="P236" s="12" t="s">
        <v>1647</v>
      </c>
      <c r="Q236" s="12" t="s">
        <v>1342</v>
      </c>
      <c r="R236" s="13" t="s">
        <v>1513</v>
      </c>
      <c r="S236" s="13" t="s">
        <v>1342</v>
      </c>
      <c r="T236" s="23" t="s">
        <v>1653</v>
      </c>
      <c r="U236" s="13" t="s">
        <v>1342</v>
      </c>
      <c r="V236" s="13" t="s">
        <v>1610</v>
      </c>
      <c r="W236" s="13" t="s">
        <v>1342</v>
      </c>
      <c r="X236" s="12" t="str">
        <f>VLOOKUP($D236,global_toc!$C:$K,7,FALSE)</f>
        <v>79AUG03XX</v>
      </c>
      <c r="Y236" s="12" t="str">
        <f>VLOOKUP($D236,global_toc!$C:$K,8,FALSE)</f>
        <v>11OCT17XA</v>
      </c>
      <c r="Z236" s="12">
        <f>VLOOKUP($D236,global_toc!$C:$K,9,FALSE)</f>
        <v>5029</v>
      </c>
      <c r="AA236" s="19" t="str">
        <f t="shared" si="11"/>
        <v>Delay observable produced by fringing.</v>
      </c>
    </row>
    <row r="237" spans="1:27" ht="24.75" customHeight="1" x14ac:dyDescent="0.2">
      <c r="A237" s="12">
        <v>352</v>
      </c>
      <c r="B237" s="12">
        <v>2</v>
      </c>
      <c r="C237" s="12" t="str">
        <f t="shared" si="10"/>
        <v>GroupDelaySig</v>
      </c>
      <c r="D237" s="14" t="s">
        <v>745</v>
      </c>
      <c r="E237" s="12">
        <v>1</v>
      </c>
      <c r="F237" s="12">
        <v>1</v>
      </c>
      <c r="G237" s="12">
        <v>1</v>
      </c>
      <c r="H237" s="12" t="s">
        <v>447</v>
      </c>
      <c r="I237" s="12">
        <v>1</v>
      </c>
      <c r="J237" s="12" t="s">
        <v>2373</v>
      </c>
      <c r="K237" s="12" t="s">
        <v>1347</v>
      </c>
      <c r="L237" s="23" t="s">
        <v>1342</v>
      </c>
      <c r="M237" s="13" t="s">
        <v>447</v>
      </c>
      <c r="N237" s="13" t="s">
        <v>1477</v>
      </c>
      <c r="O237" s="12" t="s">
        <v>2112</v>
      </c>
      <c r="P237" s="12" t="s">
        <v>1647</v>
      </c>
      <c r="Q237" s="12" t="s">
        <v>1342</v>
      </c>
      <c r="R237" s="13" t="s">
        <v>1516</v>
      </c>
      <c r="S237" s="13" t="s">
        <v>1342</v>
      </c>
      <c r="T237" s="23" t="s">
        <v>1636</v>
      </c>
      <c r="U237" s="13" t="s">
        <v>1342</v>
      </c>
      <c r="V237" s="13" t="s">
        <v>1651</v>
      </c>
      <c r="W237" s="13" t="s">
        <v>1342</v>
      </c>
      <c r="X237" s="12" t="str">
        <f>VLOOKUP($D237,global_toc!$C:$K,7,FALSE)</f>
        <v>79AUG03XX</v>
      </c>
      <c r="Y237" s="12" t="str">
        <f>VLOOKUP($D237,global_toc!$C:$K,8,FALSE)</f>
        <v>11OCT17XA</v>
      </c>
      <c r="Z237" s="12">
        <f>VLOOKUP($D237,global_toc!$C:$K,9,FALSE)</f>
        <v>5029</v>
      </c>
      <c r="AA237" s="19" t="str">
        <f t="shared" si="11"/>
        <v>Delay Measurement Sigma</v>
      </c>
    </row>
    <row r="238" spans="1:27" ht="24" customHeight="1" x14ac:dyDescent="0.2">
      <c r="A238" s="12">
        <v>353</v>
      </c>
      <c r="B238" s="12" t="s">
        <v>1655</v>
      </c>
      <c r="C238" s="12" t="str">
        <f t="shared" si="10"/>
        <v>RateDataFlag</v>
      </c>
      <c r="D238" s="12" t="s">
        <v>2099</v>
      </c>
      <c r="E238" s="12">
        <v>1</v>
      </c>
      <c r="F238" s="12">
        <v>1</v>
      </c>
      <c r="G238" s="12">
        <v>1</v>
      </c>
      <c r="H238" s="12" t="s">
        <v>544</v>
      </c>
      <c r="I238" s="12" t="s">
        <v>1655</v>
      </c>
      <c r="J238" s="12" t="s">
        <v>1342</v>
      </c>
      <c r="K238" s="12" t="s">
        <v>1347</v>
      </c>
      <c r="L238" s="23" t="s">
        <v>2092</v>
      </c>
      <c r="M238" s="13" t="s">
        <v>1464</v>
      </c>
      <c r="N238" s="13" t="s">
        <v>1477</v>
      </c>
      <c r="O238" s="12" t="s">
        <v>2112</v>
      </c>
      <c r="P238" s="12" t="s">
        <v>1645</v>
      </c>
      <c r="Q238" s="12" t="s">
        <v>1342</v>
      </c>
      <c r="R238" s="13" t="s">
        <v>2622</v>
      </c>
      <c r="S238" s="13" t="s">
        <v>1342</v>
      </c>
      <c r="T238" s="23" t="s">
        <v>2101</v>
      </c>
      <c r="U238" s="13" t="s">
        <v>1342</v>
      </c>
      <c r="V238" s="13" t="s">
        <v>1342</v>
      </c>
      <c r="W238" s="13" t="s">
        <v>1342</v>
      </c>
      <c r="X238" s="12" t="e">
        <f>VLOOKUP($D238,global_toc!$C:$K,7,FALSE)</f>
        <v>#N/A</v>
      </c>
      <c r="Y238" s="12" t="e">
        <f>VLOOKUP($D238,global_toc!$C:$K,8,FALSE)</f>
        <v>#N/A</v>
      </c>
      <c r="Z238" s="12" t="e">
        <f>VLOOKUP($D238,global_toc!$C:$K,9,FALSE)</f>
        <v>#N/A</v>
      </c>
      <c r="AA238" s="19" t="str">
        <f t="shared" si="11"/>
        <v>0=OK, -1=Missing,  -2=bad,-3=sigma small, -4=sigma big</v>
      </c>
    </row>
    <row r="239" spans="1:27" x14ac:dyDescent="0.2">
      <c r="A239" s="12">
        <v>355</v>
      </c>
      <c r="B239" s="12">
        <v>2</v>
      </c>
      <c r="C239" s="12" t="str">
        <f t="shared" si="10"/>
        <v>GroupRate</v>
      </c>
      <c r="D239" s="14" t="s">
        <v>898</v>
      </c>
      <c r="E239" s="12">
        <v>1</v>
      </c>
      <c r="F239" s="12">
        <v>1</v>
      </c>
      <c r="G239" s="12">
        <v>1</v>
      </c>
      <c r="H239" s="12" t="s">
        <v>447</v>
      </c>
      <c r="I239" s="12">
        <v>4</v>
      </c>
      <c r="J239" s="12" t="s">
        <v>1687</v>
      </c>
      <c r="K239" s="12" t="s">
        <v>1347</v>
      </c>
      <c r="L239" s="23" t="s">
        <v>1342</v>
      </c>
      <c r="M239" s="13" t="s">
        <v>1464</v>
      </c>
      <c r="N239" s="13" t="s">
        <v>1477</v>
      </c>
      <c r="O239" s="12" t="s">
        <v>2112</v>
      </c>
      <c r="P239" s="12" t="s">
        <v>1645</v>
      </c>
      <c r="Q239" s="12" t="s">
        <v>1342</v>
      </c>
      <c r="R239" s="13" t="s">
        <v>1514</v>
      </c>
      <c r="S239" s="13" t="s">
        <v>1342</v>
      </c>
      <c r="T239" s="23" t="s">
        <v>1635</v>
      </c>
      <c r="U239" s="13" t="s">
        <v>1342</v>
      </c>
      <c r="V239" s="13" t="s">
        <v>1342</v>
      </c>
      <c r="W239" s="13" t="s">
        <v>1342</v>
      </c>
      <c r="X239" s="12" t="str">
        <f>VLOOKUP($D239,global_toc!$C:$K,7,FALSE)</f>
        <v>79AUG03XX</v>
      </c>
      <c r="Y239" s="12" t="str">
        <f>VLOOKUP($D239,global_toc!$C:$K,8,FALSE)</f>
        <v>11OCT17XA</v>
      </c>
      <c r="Z239" s="12">
        <f>VLOOKUP($D239,global_toc!$C:$K,9,FALSE)</f>
        <v>3095</v>
      </c>
      <c r="AA239" s="19" t="str">
        <f t="shared" si="11"/>
        <v>Rate Observable</v>
      </c>
    </row>
    <row r="240" spans="1:27" x14ac:dyDescent="0.2">
      <c r="A240" s="12">
        <v>354</v>
      </c>
      <c r="B240" s="12">
        <v>2</v>
      </c>
      <c r="C240" s="12" t="str">
        <f t="shared" si="10"/>
        <v>GroupRateSig</v>
      </c>
      <c r="D240" s="14" t="s">
        <v>900</v>
      </c>
      <c r="E240" s="12">
        <v>1</v>
      </c>
      <c r="F240" s="12">
        <v>1</v>
      </c>
      <c r="G240" s="12">
        <v>1</v>
      </c>
      <c r="H240" s="12" t="s">
        <v>447</v>
      </c>
      <c r="I240" s="12">
        <v>4</v>
      </c>
      <c r="J240" s="12" t="s">
        <v>1688</v>
      </c>
      <c r="K240" s="12" t="s">
        <v>1347</v>
      </c>
      <c r="L240" s="23" t="s">
        <v>1342</v>
      </c>
      <c r="M240" s="13" t="s">
        <v>1464</v>
      </c>
      <c r="N240" s="13" t="s">
        <v>1477</v>
      </c>
      <c r="O240" s="12" t="s">
        <v>2112</v>
      </c>
      <c r="P240" s="12" t="s">
        <v>1645</v>
      </c>
      <c r="Q240" s="12" t="s">
        <v>1342</v>
      </c>
      <c r="R240" s="13" t="s">
        <v>1517</v>
      </c>
      <c r="S240" s="13" t="s">
        <v>1342</v>
      </c>
      <c r="T240" s="23" t="s">
        <v>1637</v>
      </c>
      <c r="U240" s="13" t="s">
        <v>1342</v>
      </c>
      <c r="V240" s="13" t="s">
        <v>1342</v>
      </c>
      <c r="W240" s="13" t="s">
        <v>1342</v>
      </c>
      <c r="X240" s="12" t="str">
        <f>VLOOKUP($D240,global_toc!$C:$K,7,FALSE)</f>
        <v>79AUG03XX</v>
      </c>
      <c r="Y240" s="12" t="str">
        <f>VLOOKUP($D240,global_toc!$C:$K,8,FALSE)</f>
        <v>11OCT17XA</v>
      </c>
      <c r="Z240" s="12">
        <f>VLOOKUP($D240,global_toc!$C:$K,9,FALSE)</f>
        <v>3095</v>
      </c>
      <c r="AA240" s="19" t="str">
        <f t="shared" si="11"/>
        <v>Rate Measurement Sigma</v>
      </c>
    </row>
    <row r="241" spans="1:27" ht="25.5" x14ac:dyDescent="0.2">
      <c r="A241" s="12">
        <v>357</v>
      </c>
      <c r="B241" s="12" t="s">
        <v>1655</v>
      </c>
      <c r="C241" s="12" t="str">
        <f t="shared" si="10"/>
        <v>DataFlag</v>
      </c>
      <c r="D241" s="12" t="s">
        <v>2098</v>
      </c>
      <c r="E241" s="12">
        <v>1</v>
      </c>
      <c r="F241" s="12">
        <v>1</v>
      </c>
      <c r="G241" s="12">
        <v>1</v>
      </c>
      <c r="H241" s="12" t="s">
        <v>544</v>
      </c>
      <c r="I241" s="12" t="s">
        <v>1655</v>
      </c>
      <c r="J241" s="12" t="s">
        <v>1342</v>
      </c>
      <c r="K241" s="12" t="s">
        <v>1347</v>
      </c>
      <c r="L241" s="23" t="s">
        <v>2092</v>
      </c>
      <c r="M241" s="13" t="s">
        <v>1464</v>
      </c>
      <c r="N241" s="13" t="s">
        <v>1477</v>
      </c>
      <c r="O241" s="12" t="s">
        <v>2112</v>
      </c>
      <c r="P241" s="12" t="s">
        <v>1648</v>
      </c>
      <c r="Q241" s="12" t="s">
        <v>1342</v>
      </c>
      <c r="R241" s="13" t="s">
        <v>2090</v>
      </c>
      <c r="S241" s="13" t="s">
        <v>1342</v>
      </c>
      <c r="T241" s="23" t="s">
        <v>2101</v>
      </c>
      <c r="U241" s="13" t="s">
        <v>1342</v>
      </c>
      <c r="V241" s="13" t="s">
        <v>1342</v>
      </c>
      <c r="W241" s="13" t="s">
        <v>1342</v>
      </c>
      <c r="X241" s="12" t="e">
        <f>VLOOKUP($D241,global_toc!$C:$K,7,FALSE)</f>
        <v>#N/A</v>
      </c>
      <c r="Y241" s="12" t="e">
        <f>VLOOKUP($D241,global_toc!$C:$K,8,FALSE)</f>
        <v>#N/A</v>
      </c>
      <c r="Z241" s="12" t="e">
        <f>VLOOKUP($D241,global_toc!$C:$K,9,FALSE)</f>
        <v>#N/A</v>
      </c>
      <c r="AA241" s="19" t="str">
        <f t="shared" si="11"/>
        <v>0=OK, -1=Missing,  -2=bad,-3=sigma small, -4=sigma big</v>
      </c>
    </row>
    <row r="242" spans="1:27" x14ac:dyDescent="0.2">
      <c r="A242" s="12">
        <v>356</v>
      </c>
      <c r="B242" s="12">
        <v>2</v>
      </c>
      <c r="C242" s="12" t="str">
        <f t="shared" si="10"/>
        <v>GroupRate</v>
      </c>
      <c r="D242" s="14" t="s">
        <v>759</v>
      </c>
      <c r="E242" s="12">
        <v>1</v>
      </c>
      <c r="F242" s="12">
        <v>1</v>
      </c>
      <c r="G242" s="12">
        <v>1</v>
      </c>
      <c r="H242" s="12" t="s">
        <v>447</v>
      </c>
      <c r="I242" s="12">
        <v>1</v>
      </c>
      <c r="J242" s="12" t="s">
        <v>760</v>
      </c>
      <c r="K242" s="12" t="s">
        <v>1347</v>
      </c>
      <c r="L242" s="23" t="s">
        <v>1342</v>
      </c>
      <c r="M242" s="13" t="s">
        <v>1464</v>
      </c>
      <c r="N242" s="13" t="s">
        <v>1477</v>
      </c>
      <c r="O242" s="12" t="s">
        <v>2112</v>
      </c>
      <c r="P242" s="12" t="s">
        <v>1648</v>
      </c>
      <c r="Q242" s="12" t="s">
        <v>1342</v>
      </c>
      <c r="R242" s="13" t="s">
        <v>1514</v>
      </c>
      <c r="S242" s="13" t="s">
        <v>1342</v>
      </c>
      <c r="T242" s="23" t="s">
        <v>1635</v>
      </c>
      <c r="U242" s="13" t="s">
        <v>1342</v>
      </c>
      <c r="V242" s="13" t="s">
        <v>1652</v>
      </c>
      <c r="W242" s="13" t="s">
        <v>1342</v>
      </c>
      <c r="X242" s="12" t="str">
        <f>VLOOKUP($D242,global_toc!$C:$K,7,FALSE)</f>
        <v>79AUG03XX</v>
      </c>
      <c r="Y242" s="12" t="str">
        <f>VLOOKUP($D242,global_toc!$C:$K,8,FALSE)</f>
        <v>11OCT17XA</v>
      </c>
      <c r="Z242" s="12">
        <f>VLOOKUP($D242,global_toc!$C:$K,9,FALSE)</f>
        <v>5029</v>
      </c>
      <c r="AA242" s="19" t="str">
        <f t="shared" si="11"/>
        <v>Rate Observable</v>
      </c>
    </row>
    <row r="243" spans="1:27" x14ac:dyDescent="0.2">
      <c r="A243" s="12">
        <v>358</v>
      </c>
      <c r="B243" s="12">
        <v>2</v>
      </c>
      <c r="C243" s="12" t="str">
        <f t="shared" si="10"/>
        <v>GroupRateSig</v>
      </c>
      <c r="D243" s="14" t="s">
        <v>763</v>
      </c>
      <c r="E243" s="12">
        <v>1</v>
      </c>
      <c r="F243" s="12">
        <v>1</v>
      </c>
      <c r="G243" s="12">
        <v>1</v>
      </c>
      <c r="H243" s="12" t="s">
        <v>447</v>
      </c>
      <c r="I243" s="12">
        <v>1</v>
      </c>
      <c r="J243" s="12" t="s">
        <v>2387</v>
      </c>
      <c r="K243" s="12" t="s">
        <v>1347</v>
      </c>
      <c r="L243" s="23" t="s">
        <v>1342</v>
      </c>
      <c r="M243" s="13" t="s">
        <v>1464</v>
      </c>
      <c r="N243" s="13" t="s">
        <v>1477</v>
      </c>
      <c r="O243" s="12" t="s">
        <v>2112</v>
      </c>
      <c r="P243" s="12" t="s">
        <v>1648</v>
      </c>
      <c r="Q243" s="12" t="s">
        <v>1342</v>
      </c>
      <c r="R243" s="13" t="s">
        <v>1517</v>
      </c>
      <c r="S243" s="13" t="s">
        <v>1342</v>
      </c>
      <c r="T243" s="23" t="s">
        <v>1637</v>
      </c>
      <c r="U243" s="13" t="s">
        <v>1342</v>
      </c>
      <c r="V243" s="13" t="s">
        <v>1652</v>
      </c>
      <c r="W243" s="13" t="s">
        <v>1342</v>
      </c>
      <c r="X243" s="12" t="str">
        <f>VLOOKUP($D243,global_toc!$C:$K,7,FALSE)</f>
        <v>79AUG03XX</v>
      </c>
      <c r="Y243" s="12" t="str">
        <f>VLOOKUP($D243,global_toc!$C:$K,8,FALSE)</f>
        <v>11OCT17XA</v>
      </c>
      <c r="Z243" s="12">
        <f>VLOOKUP($D243,global_toc!$C:$K,9,FALSE)</f>
        <v>5029</v>
      </c>
      <c r="AA243" s="19" t="str">
        <f t="shared" si="11"/>
        <v>Rate Measurement Sigma</v>
      </c>
    </row>
    <row r="244" spans="1:27" x14ac:dyDescent="0.2">
      <c r="A244" s="12">
        <v>361</v>
      </c>
      <c r="B244" s="12">
        <v>2</v>
      </c>
      <c r="C244" s="12" t="str">
        <f t="shared" si="10"/>
        <v>Phase</v>
      </c>
      <c r="D244" s="14" t="s">
        <v>910</v>
      </c>
      <c r="E244" s="12">
        <v>1</v>
      </c>
      <c r="F244" s="12">
        <v>1</v>
      </c>
      <c r="G244" s="12">
        <v>1</v>
      </c>
      <c r="H244" s="12" t="s">
        <v>447</v>
      </c>
      <c r="I244" s="12">
        <v>4</v>
      </c>
      <c r="J244" s="12" t="s">
        <v>911</v>
      </c>
      <c r="K244" s="12" t="s">
        <v>1347</v>
      </c>
      <c r="L244" s="23" t="s">
        <v>1342</v>
      </c>
      <c r="M244" s="13" t="s">
        <v>1464</v>
      </c>
      <c r="N244" s="13" t="s">
        <v>1490</v>
      </c>
      <c r="O244" s="12" t="s">
        <v>2112</v>
      </c>
      <c r="P244" s="12" t="s">
        <v>2198</v>
      </c>
      <c r="Q244" s="12" t="s">
        <v>1342</v>
      </c>
      <c r="R244" s="13" t="s">
        <v>1649</v>
      </c>
      <c r="S244" s="13" t="s">
        <v>1342</v>
      </c>
      <c r="T244" s="23" t="s">
        <v>1667</v>
      </c>
      <c r="U244" s="13" t="s">
        <v>1342</v>
      </c>
      <c r="V244" s="13" t="s">
        <v>1650</v>
      </c>
      <c r="W244" s="13" t="s">
        <v>1342</v>
      </c>
      <c r="X244" s="12" t="str">
        <f>VLOOKUP($D244,global_toc!$C:$K,7,FALSE)</f>
        <v>82JUN21X_</v>
      </c>
      <c r="Y244" s="12" t="str">
        <f>VLOOKUP($D244,global_toc!$C:$K,8,FALSE)</f>
        <v>11OCT17XA</v>
      </c>
      <c r="Z244" s="12">
        <f>VLOOKUP($D244,global_toc!$C:$K,9,FALSE)</f>
        <v>2121</v>
      </c>
      <c r="AA244" s="19" t="str">
        <f t="shared" si="11"/>
        <v xml:space="preserve">Total phase   </v>
      </c>
    </row>
    <row r="245" spans="1:27" ht="25.5" x14ac:dyDescent="0.2">
      <c r="A245" s="12">
        <v>360</v>
      </c>
      <c r="B245" s="12" t="s">
        <v>1655</v>
      </c>
      <c r="C245" s="12" t="str">
        <f t="shared" si="10"/>
        <v>PhaseDataFlag</v>
      </c>
      <c r="D245" s="12" t="s">
        <v>2102</v>
      </c>
      <c r="E245" s="12">
        <v>1</v>
      </c>
      <c r="F245" s="12">
        <v>1</v>
      </c>
      <c r="G245" s="12">
        <v>1</v>
      </c>
      <c r="H245" s="12" t="s">
        <v>544</v>
      </c>
      <c r="I245" s="12" t="s">
        <v>1655</v>
      </c>
      <c r="J245" s="12" t="s">
        <v>1342</v>
      </c>
      <c r="K245" s="12" t="s">
        <v>1347</v>
      </c>
      <c r="L245" s="23" t="s">
        <v>2092</v>
      </c>
      <c r="M245" s="13" t="s">
        <v>1464</v>
      </c>
      <c r="N245" s="13" t="s">
        <v>1477</v>
      </c>
      <c r="O245" s="12" t="s">
        <v>2112</v>
      </c>
      <c r="P245" s="12" t="s">
        <v>2198</v>
      </c>
      <c r="Q245" s="12" t="s">
        <v>1342</v>
      </c>
      <c r="R245" s="13" t="s">
        <v>2200</v>
      </c>
      <c r="S245" s="13" t="s">
        <v>1342</v>
      </c>
      <c r="T245" s="23" t="s">
        <v>2101</v>
      </c>
      <c r="U245" s="13" t="s">
        <v>1342</v>
      </c>
      <c r="V245" s="13" t="s">
        <v>1342</v>
      </c>
      <c r="W245" s="13" t="s">
        <v>1342</v>
      </c>
      <c r="X245" s="12" t="e">
        <f>VLOOKUP($D245,global_toc!$C:$K,7,FALSE)</f>
        <v>#N/A</v>
      </c>
      <c r="Y245" s="12" t="e">
        <f>VLOOKUP($D245,global_toc!$C:$K,8,FALSE)</f>
        <v>#N/A</v>
      </c>
      <c r="Z245" s="12" t="e">
        <f>VLOOKUP($D245,global_toc!$C:$K,9,FALSE)</f>
        <v>#N/A</v>
      </c>
      <c r="AA245" s="19" t="str">
        <f t="shared" si="11"/>
        <v>0=OK, -1=Missing,  -2=bad,-3=sigma small, -4=sigma big</v>
      </c>
    </row>
    <row r="246" spans="1:27" x14ac:dyDescent="0.2">
      <c r="A246" s="12">
        <v>359</v>
      </c>
      <c r="B246" s="12">
        <v>2</v>
      </c>
      <c r="C246" s="12" t="str">
        <f t="shared" si="10"/>
        <v>PhaseSig</v>
      </c>
      <c r="D246" s="14" t="s">
        <v>908</v>
      </c>
      <c r="E246" s="12">
        <v>1</v>
      </c>
      <c r="F246" s="12">
        <v>1</v>
      </c>
      <c r="G246" s="12">
        <v>1</v>
      </c>
      <c r="H246" s="12" t="s">
        <v>447</v>
      </c>
      <c r="I246" s="12">
        <v>4</v>
      </c>
      <c r="J246" s="12" t="s">
        <v>1693</v>
      </c>
      <c r="K246" s="12" t="s">
        <v>1347</v>
      </c>
      <c r="L246" s="23" t="s">
        <v>1342</v>
      </c>
      <c r="M246" s="13" t="s">
        <v>1464</v>
      </c>
      <c r="N246" s="13" t="s">
        <v>1490</v>
      </c>
      <c r="O246" s="12" t="s">
        <v>2112</v>
      </c>
      <c r="P246" s="12" t="s">
        <v>2198</v>
      </c>
      <c r="Q246" s="12" t="s">
        <v>1342</v>
      </c>
      <c r="R246" s="13" t="s">
        <v>2199</v>
      </c>
      <c r="S246" s="13" t="s">
        <v>1342</v>
      </c>
      <c r="T246" s="23" t="s">
        <v>1666</v>
      </c>
      <c r="U246" s="13" t="s">
        <v>1342</v>
      </c>
      <c r="V246" s="13" t="s">
        <v>1651</v>
      </c>
      <c r="W246" s="13" t="s">
        <v>1342</v>
      </c>
      <c r="X246" s="12" t="str">
        <f>VLOOKUP($D246,global_toc!$C:$K,7,FALSE)</f>
        <v>79AUG03XX</v>
      </c>
      <c r="Y246" s="12" t="str">
        <f>VLOOKUP($D246,global_toc!$C:$K,8,FALSE)</f>
        <v>11OCT17XA</v>
      </c>
      <c r="Z246" s="12">
        <f>VLOOKUP($D246,global_toc!$C:$K,9,FALSE)</f>
        <v>3095</v>
      </c>
      <c r="AA246" s="19" t="str">
        <f t="shared" si="11"/>
        <v>Phase delay sigma.</v>
      </c>
    </row>
    <row r="247" spans="1:27" x14ac:dyDescent="0.2">
      <c r="A247" s="12">
        <v>365</v>
      </c>
      <c r="B247" s="12">
        <v>2</v>
      </c>
      <c r="C247" s="12" t="str">
        <f t="shared" si="10"/>
        <v>Phase</v>
      </c>
      <c r="D247" s="14" t="s">
        <v>787</v>
      </c>
      <c r="E247" s="12">
        <v>1</v>
      </c>
      <c r="F247" s="12">
        <v>1</v>
      </c>
      <c r="G247" s="12">
        <v>1</v>
      </c>
      <c r="H247" s="12" t="s">
        <v>447</v>
      </c>
      <c r="I247" s="12">
        <v>1</v>
      </c>
      <c r="J247" s="12" t="s">
        <v>2367</v>
      </c>
      <c r="K247" s="12" t="s">
        <v>1347</v>
      </c>
      <c r="L247" s="23" t="s">
        <v>1342</v>
      </c>
      <c r="M247" s="13" t="s">
        <v>1464</v>
      </c>
      <c r="N247" s="13" t="s">
        <v>1490</v>
      </c>
      <c r="O247" s="12" t="s">
        <v>2112</v>
      </c>
      <c r="P247" s="12" t="s">
        <v>2201</v>
      </c>
      <c r="Q247" s="12" t="s">
        <v>1342</v>
      </c>
      <c r="R247" s="13" t="s">
        <v>1649</v>
      </c>
      <c r="S247" s="13" t="s">
        <v>1342</v>
      </c>
      <c r="T247" s="23" t="s">
        <v>1667</v>
      </c>
      <c r="U247" s="13" t="s">
        <v>1342</v>
      </c>
      <c r="V247" s="13" t="s">
        <v>1650</v>
      </c>
      <c r="W247" s="13" t="s">
        <v>1342</v>
      </c>
      <c r="X247" s="12" t="str">
        <f>VLOOKUP($D247,global_toc!$C:$K,7,FALSE)</f>
        <v>79AUG03XX</v>
      </c>
      <c r="Y247" s="12" t="str">
        <f>VLOOKUP($D247,global_toc!$C:$K,8,FALSE)</f>
        <v>11OCT17XA</v>
      </c>
      <c r="Z247" s="12">
        <f>VLOOKUP($D247,global_toc!$C:$K,9,FALSE)</f>
        <v>5029</v>
      </c>
      <c r="AA247" s="19" t="str">
        <f t="shared" si="11"/>
        <v xml:space="preserve">Total phase   </v>
      </c>
    </row>
    <row r="248" spans="1:27" ht="25.5" x14ac:dyDescent="0.2">
      <c r="A248" s="12">
        <v>362</v>
      </c>
      <c r="B248" s="12" t="s">
        <v>1655</v>
      </c>
      <c r="C248" s="12" t="str">
        <f t="shared" si="10"/>
        <v>PhaseDataFlag</v>
      </c>
      <c r="D248" s="12" t="s">
        <v>2100</v>
      </c>
      <c r="E248" s="12">
        <v>1</v>
      </c>
      <c r="F248" s="12">
        <v>1</v>
      </c>
      <c r="G248" s="12">
        <v>1</v>
      </c>
      <c r="H248" s="12" t="s">
        <v>544</v>
      </c>
      <c r="I248" s="12" t="s">
        <v>1655</v>
      </c>
      <c r="J248" s="12" t="s">
        <v>1342</v>
      </c>
      <c r="K248" s="12" t="s">
        <v>1347</v>
      </c>
      <c r="L248" s="23" t="s">
        <v>2092</v>
      </c>
      <c r="M248" s="13" t="s">
        <v>1464</v>
      </c>
      <c r="N248" s="13" t="s">
        <v>1477</v>
      </c>
      <c r="O248" s="12" t="s">
        <v>2112</v>
      </c>
      <c r="P248" s="12" t="s">
        <v>2201</v>
      </c>
      <c r="Q248" s="12" t="s">
        <v>1342</v>
      </c>
      <c r="R248" s="13" t="s">
        <v>2200</v>
      </c>
      <c r="S248" s="13" t="s">
        <v>1342</v>
      </c>
      <c r="T248" s="23" t="s">
        <v>2101</v>
      </c>
      <c r="U248" s="13" t="s">
        <v>1342</v>
      </c>
      <c r="V248" s="13" t="s">
        <v>1342</v>
      </c>
      <c r="W248" s="13" t="s">
        <v>1342</v>
      </c>
      <c r="X248" s="12" t="e">
        <f>VLOOKUP($D248,global_toc!$C:$K,7,FALSE)</f>
        <v>#N/A</v>
      </c>
      <c r="Y248" s="12" t="e">
        <f>VLOOKUP($D248,global_toc!$C:$K,8,FALSE)</f>
        <v>#N/A</v>
      </c>
      <c r="Z248" s="12" t="e">
        <f>VLOOKUP($D248,global_toc!$C:$K,9,FALSE)</f>
        <v>#N/A</v>
      </c>
      <c r="AA248" s="19" t="str">
        <f t="shared" si="11"/>
        <v>0=OK, -1=Missing,  -2=bad,-3=sigma small, -4=sigma big</v>
      </c>
    </row>
    <row r="249" spans="1:27" x14ac:dyDescent="0.2">
      <c r="A249" s="12">
        <v>363</v>
      </c>
      <c r="B249" s="12" t="s">
        <v>1655</v>
      </c>
      <c r="C249" s="12" t="str">
        <f t="shared" si="10"/>
        <v>PhaseDelayRaw</v>
      </c>
      <c r="D249" s="12" t="s">
        <v>2103</v>
      </c>
      <c r="E249" s="12">
        <v>1</v>
      </c>
      <c r="F249" s="12">
        <v>1</v>
      </c>
      <c r="G249" s="12">
        <v>1</v>
      </c>
      <c r="H249" s="12" t="s">
        <v>447</v>
      </c>
      <c r="I249" s="12" t="s">
        <v>1655</v>
      </c>
      <c r="J249" s="12" t="s">
        <v>1342</v>
      </c>
      <c r="K249" s="12" t="s">
        <v>1347</v>
      </c>
      <c r="L249" s="23" t="s">
        <v>1342</v>
      </c>
      <c r="M249" s="13" t="s">
        <v>1655</v>
      </c>
      <c r="N249" s="13" t="s">
        <v>1490</v>
      </c>
      <c r="O249" s="12" t="s">
        <v>2112</v>
      </c>
      <c r="P249" s="12" t="s">
        <v>2201</v>
      </c>
      <c r="Q249" s="12" t="s">
        <v>1342</v>
      </c>
      <c r="R249" s="13" t="s">
        <v>2104</v>
      </c>
      <c r="S249" s="13" t="s">
        <v>1342</v>
      </c>
      <c r="T249" s="23" t="s">
        <v>2105</v>
      </c>
      <c r="U249" s="13" t="s">
        <v>1342</v>
      </c>
      <c r="V249" s="13" t="s">
        <v>1480</v>
      </c>
      <c r="W249" s="13" t="s">
        <v>1342</v>
      </c>
      <c r="X249" s="12" t="e">
        <f>VLOOKUP($D249,global_toc!$C:$K,7,FALSE)</f>
        <v>#N/A</v>
      </c>
      <c r="Y249" s="12" t="e">
        <f>VLOOKUP($D249,global_toc!$C:$K,8,FALSE)</f>
        <v>#N/A</v>
      </c>
      <c r="Z249" s="12" t="e">
        <f>VLOOKUP($D249,global_toc!$C:$K,9,FALSE)</f>
        <v>#N/A</v>
      </c>
      <c r="AA249" s="19" t="str">
        <f t="shared" si="11"/>
        <v>Unresolved phase delay</v>
      </c>
    </row>
    <row r="250" spans="1:27" x14ac:dyDescent="0.2">
      <c r="A250" s="12">
        <v>364</v>
      </c>
      <c r="B250" s="12" t="s">
        <v>1655</v>
      </c>
      <c r="C250" s="12" t="str">
        <f t="shared" si="10"/>
        <v>PhaseSig</v>
      </c>
      <c r="D250" s="12" t="s">
        <v>1671</v>
      </c>
      <c r="E250" s="12">
        <v>1</v>
      </c>
      <c r="F250" s="12">
        <v>1</v>
      </c>
      <c r="G250" s="12">
        <v>1</v>
      </c>
      <c r="H250" s="12" t="s">
        <v>447</v>
      </c>
      <c r="I250" s="12" t="s">
        <v>1655</v>
      </c>
      <c r="J250" s="12" t="s">
        <v>1342</v>
      </c>
      <c r="K250" s="12" t="s">
        <v>1347</v>
      </c>
      <c r="L250" s="23" t="s">
        <v>1342</v>
      </c>
      <c r="M250" s="13" t="s">
        <v>1655</v>
      </c>
      <c r="N250" s="13" t="s">
        <v>1490</v>
      </c>
      <c r="O250" s="12" t="s">
        <v>2112</v>
      </c>
      <c r="P250" s="12" t="s">
        <v>2201</v>
      </c>
      <c r="Q250" s="12" t="s">
        <v>1342</v>
      </c>
      <c r="R250" s="13" t="s">
        <v>2199</v>
      </c>
      <c r="S250" s="13" t="s">
        <v>1342</v>
      </c>
      <c r="T250" s="23" t="s">
        <v>1666</v>
      </c>
      <c r="U250" s="13" t="s">
        <v>1342</v>
      </c>
      <c r="V250" s="13" t="s">
        <v>1651</v>
      </c>
      <c r="W250" s="13" t="s">
        <v>1342</v>
      </c>
      <c r="X250" s="12" t="e">
        <f>VLOOKUP($D250,global_toc!$C:$K,7,FALSE)</f>
        <v>#N/A</v>
      </c>
      <c r="Y250" s="12" t="e">
        <f>VLOOKUP($D250,global_toc!$C:$K,8,FALSE)</f>
        <v>#N/A</v>
      </c>
      <c r="Z250" s="12" t="e">
        <f>VLOOKUP($D250,global_toc!$C:$K,9,FALSE)</f>
        <v>#N/A</v>
      </c>
      <c r="AA250" s="19" t="str">
        <f t="shared" si="11"/>
        <v>Phase delay sigma.</v>
      </c>
    </row>
    <row r="251" spans="1:27" x14ac:dyDescent="0.2">
      <c r="A251" s="12">
        <v>367</v>
      </c>
      <c r="B251" s="12">
        <v>2</v>
      </c>
      <c r="C251" s="12" t="str">
        <f t="shared" si="10"/>
        <v>QualityCode</v>
      </c>
      <c r="D251" s="14" t="s">
        <v>986</v>
      </c>
      <c r="E251" s="12">
        <v>1</v>
      </c>
      <c r="F251" s="12">
        <v>1</v>
      </c>
      <c r="G251" s="12">
        <v>1</v>
      </c>
      <c r="H251" s="12" t="s">
        <v>589</v>
      </c>
      <c r="I251" s="12">
        <v>4</v>
      </c>
      <c r="J251" s="12" t="s">
        <v>1695</v>
      </c>
      <c r="K251" s="12" t="s">
        <v>1347</v>
      </c>
      <c r="L251" s="23" t="s">
        <v>1342</v>
      </c>
      <c r="M251" s="13" t="s">
        <v>1464</v>
      </c>
      <c r="N251" s="13" t="s">
        <v>1490</v>
      </c>
      <c r="O251" s="12" t="s">
        <v>2112</v>
      </c>
      <c r="P251" s="12" t="s">
        <v>2188</v>
      </c>
      <c r="Q251" s="12" t="s">
        <v>1342</v>
      </c>
      <c r="R251" s="13" t="s">
        <v>1520</v>
      </c>
      <c r="S251" s="13" t="s">
        <v>1342</v>
      </c>
      <c r="T251" s="23" t="s">
        <v>1316</v>
      </c>
      <c r="U251" s="13" t="s">
        <v>1342</v>
      </c>
      <c r="V251" s="13" t="s">
        <v>1342</v>
      </c>
      <c r="W251" s="13" t="s">
        <v>1342</v>
      </c>
      <c r="X251" s="12" t="str">
        <f>VLOOKUP($D251,global_toc!$C:$K,7,FALSE)</f>
        <v>79AUG03XX</v>
      </c>
      <c r="Y251" s="12" t="str">
        <f>VLOOKUP($D251,global_toc!$C:$K,8,FALSE)</f>
        <v>11OCT17XA</v>
      </c>
      <c r="Z251" s="12">
        <f>VLOOKUP($D251,global_toc!$C:$K,9,FALSE)</f>
        <v>3095</v>
      </c>
      <c r="AA251" s="19" t="str">
        <f t="shared" si="11"/>
        <v>FRNGE quality  index 0 --&gt; 9</v>
      </c>
    </row>
    <row r="252" spans="1:27" x14ac:dyDescent="0.2">
      <c r="A252" s="12">
        <v>370</v>
      </c>
      <c r="B252" s="12">
        <v>2</v>
      </c>
      <c r="C252" s="12" t="str">
        <f t="shared" si="10"/>
        <v>QualityCode</v>
      </c>
      <c r="D252" s="14" t="s">
        <v>978</v>
      </c>
      <c r="E252" s="12">
        <v>1</v>
      </c>
      <c r="F252" s="12">
        <v>1</v>
      </c>
      <c r="G252" s="12">
        <v>1</v>
      </c>
      <c r="H252" s="12" t="s">
        <v>589</v>
      </c>
      <c r="I252" s="12">
        <v>1</v>
      </c>
      <c r="J252" s="12" t="s">
        <v>2388</v>
      </c>
      <c r="K252" s="12" t="s">
        <v>1347</v>
      </c>
      <c r="L252" s="23" t="s">
        <v>1342</v>
      </c>
      <c r="M252" s="13" t="s">
        <v>1464</v>
      </c>
      <c r="N252" s="13" t="s">
        <v>1490</v>
      </c>
      <c r="O252" s="12" t="s">
        <v>2112</v>
      </c>
      <c r="P252" s="12" t="s">
        <v>2189</v>
      </c>
      <c r="Q252" s="12" t="s">
        <v>1342</v>
      </c>
      <c r="R252" s="13" t="s">
        <v>1520</v>
      </c>
      <c r="S252" s="13" t="s">
        <v>1342</v>
      </c>
      <c r="T252" s="23" t="s">
        <v>1316</v>
      </c>
      <c r="U252" s="13" t="s">
        <v>1342</v>
      </c>
      <c r="V252" s="13" t="s">
        <v>1342</v>
      </c>
      <c r="W252" s="13" t="s">
        <v>1342</v>
      </c>
      <c r="X252" s="12" t="str">
        <f>VLOOKUP($D252,global_toc!$C:$K,7,FALSE)</f>
        <v>80JUL26X_</v>
      </c>
      <c r="Y252" s="12" t="str">
        <f>VLOOKUP($D252,global_toc!$C:$K,8,FALSE)</f>
        <v>11OCT17XA</v>
      </c>
      <c r="Z252" s="12">
        <f>VLOOKUP($D252,global_toc!$C:$K,9,FALSE)</f>
        <v>5026</v>
      </c>
      <c r="AA252" s="19" t="str">
        <f t="shared" si="11"/>
        <v>FRNGE quality  index 0 --&gt; 9</v>
      </c>
    </row>
    <row r="253" spans="1:27" ht="25.5" x14ac:dyDescent="0.2">
      <c r="A253" s="12">
        <v>340</v>
      </c>
      <c r="B253" s="12">
        <v>2</v>
      </c>
      <c r="C253" s="12" t="str">
        <f t="shared" si="10"/>
        <v>RefFreq</v>
      </c>
      <c r="D253" s="14" t="s">
        <v>912</v>
      </c>
      <c r="E253" s="12">
        <v>1</v>
      </c>
      <c r="F253" s="12">
        <v>1</v>
      </c>
      <c r="G253" s="12">
        <v>1</v>
      </c>
      <c r="H253" s="12" t="s">
        <v>447</v>
      </c>
      <c r="I253" s="12">
        <v>4</v>
      </c>
      <c r="J253" s="12" t="s">
        <v>913</v>
      </c>
      <c r="K253" s="12" t="s">
        <v>1347</v>
      </c>
      <c r="L253" s="23" t="s">
        <v>1342</v>
      </c>
      <c r="M253" s="13" t="s">
        <v>1464</v>
      </c>
      <c r="N253" s="13" t="s">
        <v>1490</v>
      </c>
      <c r="O253" s="12" t="s">
        <v>2112</v>
      </c>
      <c r="P253" s="12" t="s">
        <v>2181</v>
      </c>
      <c r="Q253" s="12" t="s">
        <v>1342</v>
      </c>
      <c r="R253" s="13" t="s">
        <v>2183</v>
      </c>
      <c r="S253" s="13" t="s">
        <v>1342</v>
      </c>
      <c r="T253" s="23" t="s">
        <v>1638</v>
      </c>
      <c r="U253" s="13" t="s">
        <v>1342</v>
      </c>
      <c r="V253" s="13" t="s">
        <v>1631</v>
      </c>
      <c r="W253" s="13" t="s">
        <v>1342</v>
      </c>
      <c r="X253" s="12" t="str">
        <f>VLOOKUP($D253,global_toc!$C:$K,7,FALSE)</f>
        <v>82JUN21X_</v>
      </c>
      <c r="Y253" s="12" t="str">
        <f>VLOOKUP($D253,global_toc!$C:$K,8,FALSE)</f>
        <v>11OCT17XA</v>
      </c>
      <c r="Z253" s="12">
        <f>VLOOKUP($D253,global_toc!$C:$K,9,FALSE)</f>
        <v>2121</v>
      </c>
      <c r="AA253" s="19" t="str">
        <f t="shared" si="11"/>
        <v>Frequency to which phase is referenced</v>
      </c>
    </row>
    <row r="254" spans="1:27" ht="25.5" x14ac:dyDescent="0.2">
      <c r="A254" s="12">
        <v>344</v>
      </c>
      <c r="B254" s="12">
        <v>2</v>
      </c>
      <c r="C254" s="12" t="str">
        <f t="shared" si="10"/>
        <v>RefFreq</v>
      </c>
      <c r="D254" s="14" t="s">
        <v>765</v>
      </c>
      <c r="E254" s="12">
        <v>1</v>
      </c>
      <c r="F254" s="12">
        <v>1</v>
      </c>
      <c r="G254" s="12">
        <v>1</v>
      </c>
      <c r="H254" s="12" t="s">
        <v>447</v>
      </c>
      <c r="I254" s="12">
        <v>1</v>
      </c>
      <c r="J254" s="12" t="s">
        <v>766</v>
      </c>
      <c r="K254" s="12" t="s">
        <v>1347</v>
      </c>
      <c r="L254" s="23" t="s">
        <v>1342</v>
      </c>
      <c r="M254" s="13" t="s">
        <v>1464</v>
      </c>
      <c r="N254" s="13" t="s">
        <v>1490</v>
      </c>
      <c r="O254" s="12" t="s">
        <v>2112</v>
      </c>
      <c r="P254" s="12" t="s">
        <v>2182</v>
      </c>
      <c r="Q254" s="12" t="s">
        <v>1342</v>
      </c>
      <c r="R254" s="13" t="s">
        <v>2183</v>
      </c>
      <c r="S254" s="13" t="s">
        <v>1342</v>
      </c>
      <c r="T254" s="23" t="s">
        <v>1638</v>
      </c>
      <c r="U254" s="13" t="s">
        <v>1342</v>
      </c>
      <c r="V254" s="13" t="s">
        <v>1631</v>
      </c>
      <c r="W254" s="13" t="s">
        <v>1342</v>
      </c>
      <c r="X254" s="12" t="str">
        <f>VLOOKUP($D254,global_toc!$C:$K,7,FALSE)</f>
        <v>79AUG03XX</v>
      </c>
      <c r="Y254" s="12" t="str">
        <f>VLOOKUP($D254,global_toc!$C:$K,8,FALSE)</f>
        <v>11OCT17XA</v>
      </c>
      <c r="Z254" s="12">
        <f>VLOOKUP($D254,global_toc!$C:$K,9,FALSE)</f>
        <v>5029</v>
      </c>
      <c r="AA254" s="19" t="str">
        <f t="shared" si="11"/>
        <v>Frequency to which phase is referenced</v>
      </c>
    </row>
    <row r="255" spans="1:27" x14ac:dyDescent="0.2">
      <c r="A255" s="12">
        <v>372</v>
      </c>
      <c r="B255" s="12">
        <v>2</v>
      </c>
      <c r="C255" s="12" t="str">
        <f t="shared" si="10"/>
        <v>SBDelay</v>
      </c>
      <c r="D255" s="14" t="s">
        <v>918</v>
      </c>
      <c r="E255" s="12">
        <v>1</v>
      </c>
      <c r="F255" s="12">
        <v>1</v>
      </c>
      <c r="G255" s="12">
        <v>1</v>
      </c>
      <c r="H255" s="12" t="s">
        <v>447</v>
      </c>
      <c r="I255" s="12">
        <v>4</v>
      </c>
      <c r="J255" s="12" t="s">
        <v>919</v>
      </c>
      <c r="K255" s="12" t="s">
        <v>1347</v>
      </c>
      <c r="L255" s="23" t="s">
        <v>1342</v>
      </c>
      <c r="M255" s="13" t="s">
        <v>1464</v>
      </c>
      <c r="N255" s="13" t="s">
        <v>1490</v>
      </c>
      <c r="O255" s="12" t="s">
        <v>2112</v>
      </c>
      <c r="P255" s="12" t="s">
        <v>1643</v>
      </c>
      <c r="Q255" s="12" t="s">
        <v>1342</v>
      </c>
      <c r="R255" s="13" t="s">
        <v>1518</v>
      </c>
      <c r="S255" s="13" t="s">
        <v>1342</v>
      </c>
      <c r="T255" s="23" t="s">
        <v>1633</v>
      </c>
      <c r="U255" s="13" t="s">
        <v>1342</v>
      </c>
      <c r="V255" s="13" t="s">
        <v>1610</v>
      </c>
      <c r="W255" s="13" t="s">
        <v>1342</v>
      </c>
      <c r="X255" s="12" t="str">
        <f>VLOOKUP($D255,global_toc!$C:$K,7,FALSE)</f>
        <v>82JUN21X_</v>
      </c>
      <c r="Y255" s="12" t="str">
        <f>VLOOKUP($D255,global_toc!$C:$K,8,FALSE)</f>
        <v>11OCT17XA</v>
      </c>
      <c r="Z255" s="12">
        <f>VLOOKUP($D255,global_toc!$C:$K,9,FALSE)</f>
        <v>2121</v>
      </c>
      <c r="AA255" s="19" t="str">
        <f t="shared" si="11"/>
        <v>Single band delay</v>
      </c>
    </row>
    <row r="256" spans="1:27" x14ac:dyDescent="0.2">
      <c r="A256" s="12">
        <v>373</v>
      </c>
      <c r="B256" s="12">
        <v>2</v>
      </c>
      <c r="C256" s="12" t="str">
        <f t="shared" si="10"/>
        <v>SBDelaySig</v>
      </c>
      <c r="D256" s="14" t="s">
        <v>920</v>
      </c>
      <c r="E256" s="12">
        <v>1</v>
      </c>
      <c r="F256" s="12">
        <v>1</v>
      </c>
      <c r="G256" s="12">
        <v>1</v>
      </c>
      <c r="H256" s="12" t="s">
        <v>447</v>
      </c>
      <c r="I256" s="12">
        <v>4</v>
      </c>
      <c r="J256" s="12" t="s">
        <v>1696</v>
      </c>
      <c r="K256" s="12" t="s">
        <v>1347</v>
      </c>
      <c r="L256" s="23" t="s">
        <v>1342</v>
      </c>
      <c r="M256" s="13" t="s">
        <v>1464</v>
      </c>
      <c r="N256" s="13" t="s">
        <v>1490</v>
      </c>
      <c r="O256" s="12" t="s">
        <v>2112</v>
      </c>
      <c r="P256" s="12" t="s">
        <v>1643</v>
      </c>
      <c r="Q256" s="12" t="s">
        <v>1342</v>
      </c>
      <c r="R256" s="13" t="s">
        <v>1519</v>
      </c>
      <c r="S256" s="13" t="s">
        <v>1342</v>
      </c>
      <c r="T256" s="23" t="s">
        <v>1634</v>
      </c>
      <c r="U256" s="13" t="s">
        <v>1342</v>
      </c>
      <c r="V256" s="13" t="s">
        <v>1651</v>
      </c>
      <c r="W256" s="13" t="s">
        <v>1342</v>
      </c>
      <c r="X256" s="12" t="str">
        <f>VLOOKUP($D256,global_toc!$C:$K,7,FALSE)</f>
        <v>82JUN21X_</v>
      </c>
      <c r="Y256" s="12" t="str">
        <f>VLOOKUP($D256,global_toc!$C:$K,8,FALSE)</f>
        <v>11OCT17XA</v>
      </c>
      <c r="Z256" s="12">
        <f>VLOOKUP($D256,global_toc!$C:$K,9,FALSE)</f>
        <v>1256</v>
      </c>
      <c r="AA256" s="19" t="str">
        <f t="shared" si="11"/>
        <v>Single band delay error</v>
      </c>
    </row>
    <row r="257" spans="1:27" x14ac:dyDescent="0.2">
      <c r="A257" s="12">
        <v>374</v>
      </c>
      <c r="B257" s="12">
        <v>2</v>
      </c>
      <c r="C257" s="12" t="str">
        <f t="shared" si="10"/>
        <v>SBDelay</v>
      </c>
      <c r="D257" s="14" t="s">
        <v>771</v>
      </c>
      <c r="E257" s="12">
        <v>1</v>
      </c>
      <c r="F257" s="12">
        <v>1</v>
      </c>
      <c r="G257" s="12">
        <v>1</v>
      </c>
      <c r="H257" s="12" t="s">
        <v>447</v>
      </c>
      <c r="I257" s="12">
        <v>1</v>
      </c>
      <c r="J257" s="12" t="s">
        <v>2379</v>
      </c>
      <c r="K257" s="12" t="s">
        <v>1347</v>
      </c>
      <c r="L257" s="23" t="s">
        <v>1342</v>
      </c>
      <c r="M257" s="13" t="s">
        <v>1464</v>
      </c>
      <c r="N257" s="13" t="s">
        <v>1490</v>
      </c>
      <c r="O257" s="12" t="s">
        <v>2112</v>
      </c>
      <c r="P257" s="12" t="s">
        <v>1646</v>
      </c>
      <c r="Q257" s="12" t="s">
        <v>1342</v>
      </c>
      <c r="R257" s="13" t="s">
        <v>1518</v>
      </c>
      <c r="S257" s="13" t="s">
        <v>1342</v>
      </c>
      <c r="T257" s="23" t="s">
        <v>1633</v>
      </c>
      <c r="U257" s="13" t="s">
        <v>1342</v>
      </c>
      <c r="V257" s="13" t="s">
        <v>1610</v>
      </c>
      <c r="W257" s="13" t="s">
        <v>1342</v>
      </c>
      <c r="X257" s="12" t="str">
        <f>VLOOKUP($D257,global_toc!$C:$K,7,FALSE)</f>
        <v>80JUL26X_</v>
      </c>
      <c r="Y257" s="12" t="str">
        <f>VLOOKUP($D257,global_toc!$C:$K,8,FALSE)</f>
        <v>11OCT17XA</v>
      </c>
      <c r="Z257" s="12">
        <f>VLOOKUP($D257,global_toc!$C:$K,9,FALSE)</f>
        <v>5026</v>
      </c>
      <c r="AA257" s="19" t="str">
        <f t="shared" si="11"/>
        <v>Single band delay</v>
      </c>
    </row>
    <row r="258" spans="1:27" x14ac:dyDescent="0.2">
      <c r="A258" s="12">
        <v>375</v>
      </c>
      <c r="B258" s="12">
        <v>2</v>
      </c>
      <c r="C258" s="12" t="str">
        <f t="shared" si="10"/>
        <v>SBDelaySig</v>
      </c>
      <c r="D258" s="14" t="s">
        <v>773</v>
      </c>
      <c r="E258" s="12">
        <v>1</v>
      </c>
      <c r="F258" s="12">
        <v>1</v>
      </c>
      <c r="G258" s="12">
        <v>1</v>
      </c>
      <c r="H258" s="12" t="s">
        <v>447</v>
      </c>
      <c r="I258" s="12">
        <v>1</v>
      </c>
      <c r="J258" s="12" t="s">
        <v>2368</v>
      </c>
      <c r="K258" s="12" t="s">
        <v>1347</v>
      </c>
      <c r="L258" s="23" t="s">
        <v>1342</v>
      </c>
      <c r="M258" s="13" t="s">
        <v>1464</v>
      </c>
      <c r="N258" s="13" t="s">
        <v>1490</v>
      </c>
      <c r="O258" s="12" t="s">
        <v>2112</v>
      </c>
      <c r="P258" s="12" t="s">
        <v>1646</v>
      </c>
      <c r="Q258" s="12" t="s">
        <v>1342</v>
      </c>
      <c r="R258" s="13" t="s">
        <v>1519</v>
      </c>
      <c r="S258" s="13" t="s">
        <v>1342</v>
      </c>
      <c r="T258" s="23" t="s">
        <v>1634</v>
      </c>
      <c r="U258" s="13" t="s">
        <v>1342</v>
      </c>
      <c r="V258" s="13" t="s">
        <v>1610</v>
      </c>
      <c r="W258" s="13" t="s">
        <v>1342</v>
      </c>
      <c r="X258" s="12" t="str">
        <f>VLOOKUP($D258,global_toc!$C:$K,7,FALSE)</f>
        <v>81NOV18X_</v>
      </c>
      <c r="Y258" s="12" t="str">
        <f>VLOOKUP($D258,global_toc!$C:$K,8,FALSE)</f>
        <v>11OCT17XA</v>
      </c>
      <c r="Z258" s="12">
        <f>VLOOKUP($D258,global_toc!$C:$K,9,FALSE)</f>
        <v>4939</v>
      </c>
      <c r="AA258" s="19" t="str">
        <f t="shared" si="11"/>
        <v>Single band delay error</v>
      </c>
    </row>
    <row r="259" spans="1:27" x14ac:dyDescent="0.2">
      <c r="A259" s="12">
        <v>368</v>
      </c>
      <c r="B259" s="12">
        <v>2</v>
      </c>
      <c r="C259" s="12" t="str">
        <f t="shared" si="10"/>
        <v>SNR</v>
      </c>
      <c r="D259" s="14" t="s">
        <v>914</v>
      </c>
      <c r="E259" s="12">
        <v>1</v>
      </c>
      <c r="F259" s="12">
        <v>1</v>
      </c>
      <c r="G259" s="12">
        <v>1</v>
      </c>
      <c r="H259" s="12" t="s">
        <v>447</v>
      </c>
      <c r="I259" s="12">
        <v>4</v>
      </c>
      <c r="J259" s="12" t="s">
        <v>915</v>
      </c>
      <c r="K259" s="12" t="s">
        <v>1347</v>
      </c>
      <c r="L259" s="23" t="s">
        <v>1342</v>
      </c>
      <c r="M259" s="13" t="s">
        <v>1464</v>
      </c>
      <c r="N259" s="13" t="s">
        <v>1490</v>
      </c>
      <c r="O259" s="12" t="s">
        <v>2112</v>
      </c>
      <c r="P259" s="12" t="s">
        <v>2186</v>
      </c>
      <c r="Q259" s="12" t="s">
        <v>1342</v>
      </c>
      <c r="R259" s="13" t="s">
        <v>1456</v>
      </c>
      <c r="S259" s="13" t="s">
        <v>1342</v>
      </c>
      <c r="T259" s="23" t="s">
        <v>1342</v>
      </c>
      <c r="U259" s="13" t="s">
        <v>1342</v>
      </c>
      <c r="V259" s="13" t="s">
        <v>1342</v>
      </c>
      <c r="W259" s="13" t="s">
        <v>1342</v>
      </c>
      <c r="X259" s="12" t="str">
        <f>VLOOKUP($D259,global_toc!$C:$K,7,FALSE)</f>
        <v>82JUN21X_</v>
      </c>
      <c r="Y259" s="12" t="str">
        <f>VLOOKUP($D259,global_toc!$C:$K,8,FALSE)</f>
        <v>11OCT17XA</v>
      </c>
      <c r="Z259" s="12">
        <f>VLOOKUP($D259,global_toc!$C:$K,9,FALSE)</f>
        <v>2121</v>
      </c>
      <c r="AA259" s="19" t="str">
        <f t="shared" si="11"/>
        <v>Signal to noise ratio for S-band</v>
      </c>
    </row>
    <row r="260" spans="1:27" ht="12" customHeight="1" x14ac:dyDescent="0.2">
      <c r="A260" s="12">
        <v>371</v>
      </c>
      <c r="B260" s="12">
        <v>2</v>
      </c>
      <c r="C260" s="12" t="str">
        <f t="shared" si="10"/>
        <v>SNR</v>
      </c>
      <c r="D260" s="14" t="s">
        <v>779</v>
      </c>
      <c r="E260" s="12">
        <v>1</v>
      </c>
      <c r="F260" s="12">
        <v>1</v>
      </c>
      <c r="G260" s="12">
        <v>1</v>
      </c>
      <c r="H260" s="12" t="s">
        <v>447</v>
      </c>
      <c r="I260" s="12">
        <v>1</v>
      </c>
      <c r="J260" s="12" t="s">
        <v>2352</v>
      </c>
      <c r="K260" s="12" t="s">
        <v>1347</v>
      </c>
      <c r="L260" s="23" t="s">
        <v>1342</v>
      </c>
      <c r="M260" s="13" t="s">
        <v>1464</v>
      </c>
      <c r="N260" s="13" t="s">
        <v>1490</v>
      </c>
      <c r="O260" s="12" t="s">
        <v>2112</v>
      </c>
      <c r="P260" s="12" t="s">
        <v>2187</v>
      </c>
      <c r="Q260" s="12" t="s">
        <v>1342</v>
      </c>
      <c r="R260" s="13" t="s">
        <v>1456</v>
      </c>
      <c r="S260" s="13" t="s">
        <v>1342</v>
      </c>
      <c r="T260" s="23" t="s">
        <v>1342</v>
      </c>
      <c r="U260" s="13" t="s">
        <v>1342</v>
      </c>
      <c r="V260" s="13" t="s">
        <v>1342</v>
      </c>
      <c r="W260" s="13" t="s">
        <v>1342</v>
      </c>
      <c r="X260" s="12" t="str">
        <f>VLOOKUP($D260,global_toc!$C:$K,7,FALSE)</f>
        <v>80JUL26X_</v>
      </c>
      <c r="Y260" s="12" t="str">
        <f>VLOOKUP($D260,global_toc!$C:$K,8,FALSE)</f>
        <v>11OCT17XA</v>
      </c>
      <c r="Z260" s="12">
        <f>VLOOKUP($D260,global_toc!$C:$K,9,FALSE)</f>
        <v>5026</v>
      </c>
      <c r="AA260" s="19" t="str">
        <f t="shared" si="11"/>
        <v>Signal to noise  ratio.</v>
      </c>
    </row>
    <row r="261" spans="1:27" ht="12" customHeight="1" x14ac:dyDescent="0.2">
      <c r="A261" s="12">
        <v>376</v>
      </c>
      <c r="B261" s="12">
        <v>2</v>
      </c>
      <c r="C261" s="12" t="str">
        <f t="shared" ref="C261:C273" si="12">IF(R261="-",D261,R261)</f>
        <v>Source</v>
      </c>
      <c r="D261" s="14" t="s">
        <v>984</v>
      </c>
      <c r="E261" s="12">
        <v>4</v>
      </c>
      <c r="F261" s="12">
        <v>1</v>
      </c>
      <c r="G261" s="12">
        <v>1</v>
      </c>
      <c r="H261" s="12" t="s">
        <v>589</v>
      </c>
      <c r="I261" s="12">
        <v>1</v>
      </c>
      <c r="J261" s="12" t="s">
        <v>2353</v>
      </c>
      <c r="K261" s="12" t="s">
        <v>1347</v>
      </c>
      <c r="L261" s="23" t="s">
        <v>1342</v>
      </c>
      <c r="M261" s="13" t="s">
        <v>1464</v>
      </c>
      <c r="N261" s="13" t="s">
        <v>1477</v>
      </c>
      <c r="O261" s="12" t="s">
        <v>2112</v>
      </c>
      <c r="P261" s="12" t="s">
        <v>2071</v>
      </c>
      <c r="Q261" s="12" t="s">
        <v>1342</v>
      </c>
      <c r="R261" s="13" t="s">
        <v>2071</v>
      </c>
      <c r="S261" s="13" t="s">
        <v>1342</v>
      </c>
      <c r="T261" s="23" t="s">
        <v>1342</v>
      </c>
      <c r="U261" s="13" t="s">
        <v>1342</v>
      </c>
      <c r="V261" s="13" t="s">
        <v>1342</v>
      </c>
      <c r="W261" s="13" t="s">
        <v>1342</v>
      </c>
      <c r="X261" s="12" t="str">
        <f>VLOOKUP($D261,global_toc!$C:$K,7,FALSE)</f>
        <v>79AUG03XX</v>
      </c>
      <c r="Y261" s="12" t="str">
        <f>VLOOKUP($D261,global_toc!$C:$K,8,FALSE)</f>
        <v>11OCT17XA</v>
      </c>
      <c r="Z261" s="12">
        <f>VLOOKUP($D261,global_toc!$C:$K,9,FALSE)</f>
        <v>5029</v>
      </c>
      <c r="AA261" s="19" t="str">
        <f t="shared" ref="AA261:AA325" si="13">IF(T261="-",J261,T261)</f>
        <v>Radio source name.</v>
      </c>
    </row>
    <row r="262" spans="1:27" x14ac:dyDescent="0.2">
      <c r="A262" s="12">
        <v>377</v>
      </c>
      <c r="B262" s="12">
        <v>2</v>
      </c>
      <c r="C262" s="12" t="str">
        <f t="shared" si="12"/>
        <v>Second</v>
      </c>
      <c r="D262" s="14" t="s">
        <v>777</v>
      </c>
      <c r="E262" s="12">
        <v>1</v>
      </c>
      <c r="F262" s="12">
        <v>1</v>
      </c>
      <c r="G262" s="12">
        <v>1</v>
      </c>
      <c r="H262" s="12" t="s">
        <v>447</v>
      </c>
      <c r="I262" s="12">
        <v>1</v>
      </c>
      <c r="J262" s="12" t="s">
        <v>1310</v>
      </c>
      <c r="K262" s="12" t="s">
        <v>1347</v>
      </c>
      <c r="L262" s="23" t="s">
        <v>1342</v>
      </c>
      <c r="M262" s="13" t="s">
        <v>1464</v>
      </c>
      <c r="N262" s="13" t="s">
        <v>1477</v>
      </c>
      <c r="O262" s="12" t="s">
        <v>2112</v>
      </c>
      <c r="P262" s="12" t="s">
        <v>2069</v>
      </c>
      <c r="Q262" s="12" t="s">
        <v>1342</v>
      </c>
      <c r="R262" s="13" t="s">
        <v>1840</v>
      </c>
      <c r="S262" s="13" t="s">
        <v>1342</v>
      </c>
      <c r="T262" s="23" t="s">
        <v>1342</v>
      </c>
      <c r="U262" s="13" t="s">
        <v>1342</v>
      </c>
      <c r="V262" s="13" t="s">
        <v>1651</v>
      </c>
      <c r="W262" s="13" t="s">
        <v>1342</v>
      </c>
      <c r="X262" s="12" t="str">
        <f>VLOOKUP($D262,global_toc!$C:$K,7,FALSE)</f>
        <v>79AUG03XX</v>
      </c>
      <c r="Y262" s="12" t="str">
        <f>VLOOKUP($D262,global_toc!$C:$K,8,FALSE)</f>
        <v>11OCT17XA</v>
      </c>
      <c r="Z262" s="12">
        <f>VLOOKUP($D262,global_toc!$C:$K,9,FALSE)</f>
        <v>5029</v>
      </c>
      <c r="AA262" s="19" t="str">
        <f t="shared" si="13"/>
        <v>Seconds part of UTC TAG.</v>
      </c>
    </row>
    <row r="263" spans="1:27" x14ac:dyDescent="0.2">
      <c r="A263" s="12">
        <v>378</v>
      </c>
      <c r="B263" s="12">
        <v>2</v>
      </c>
      <c r="C263" s="12" t="str">
        <f t="shared" si="12"/>
        <v>YMDHM</v>
      </c>
      <c r="D263" s="14" t="s">
        <v>958</v>
      </c>
      <c r="E263" s="12">
        <v>5</v>
      </c>
      <c r="F263" s="12">
        <v>1</v>
      </c>
      <c r="G263" s="12">
        <v>1</v>
      </c>
      <c r="H263" s="12" t="s">
        <v>544</v>
      </c>
      <c r="I263" s="12">
        <v>1</v>
      </c>
      <c r="J263" s="12" t="s">
        <v>1275</v>
      </c>
      <c r="K263" s="12" t="s">
        <v>1347</v>
      </c>
      <c r="L263" s="23" t="s">
        <v>1342</v>
      </c>
      <c r="M263" s="13" t="s">
        <v>1467</v>
      </c>
      <c r="N263" s="13" t="s">
        <v>1477</v>
      </c>
      <c r="O263" s="12" t="s">
        <v>2112</v>
      </c>
      <c r="P263" s="12" t="s">
        <v>2069</v>
      </c>
      <c r="Q263" s="12" t="s">
        <v>1342</v>
      </c>
      <c r="R263" s="13" t="s">
        <v>1839</v>
      </c>
      <c r="S263" s="13" t="s">
        <v>1342</v>
      </c>
      <c r="T263" s="23" t="s">
        <v>1342</v>
      </c>
      <c r="U263" s="13" t="s">
        <v>1342</v>
      </c>
      <c r="V263" s="13" t="s">
        <v>1342</v>
      </c>
      <c r="W263" s="13" t="s">
        <v>1342</v>
      </c>
      <c r="X263" s="12" t="str">
        <f>VLOOKUP($D263,global_toc!$C:$K,7,FALSE)</f>
        <v>79AUG03XX</v>
      </c>
      <c r="Y263" s="12" t="str">
        <f>VLOOKUP($D263,global_toc!$C:$K,8,FALSE)</f>
        <v>11OCT17XA</v>
      </c>
      <c r="Z263" s="12">
        <f>VLOOKUP($D263,global_toc!$C:$K,9,FALSE)</f>
        <v>5029</v>
      </c>
      <c r="AA263" s="19" t="str">
        <f t="shared" si="13"/>
        <v>Epoch UTC YMDHM.</v>
      </c>
    </row>
    <row r="264" spans="1:27" x14ac:dyDescent="0.2">
      <c r="A264" s="12">
        <v>379</v>
      </c>
      <c r="B264" s="16" t="s">
        <v>1462</v>
      </c>
      <c r="C264" s="12" t="str">
        <f t="shared" si="12"/>
        <v>Tsys</v>
      </c>
      <c r="D264" s="14" t="s">
        <v>1332</v>
      </c>
      <c r="E264" s="12">
        <v>16</v>
      </c>
      <c r="F264" s="12">
        <v>2</v>
      </c>
      <c r="G264" s="12">
        <v>1</v>
      </c>
      <c r="H264" s="12" t="s">
        <v>447</v>
      </c>
      <c r="I264" s="12" t="s">
        <v>1655</v>
      </c>
      <c r="J264" s="12" t="s">
        <v>1703</v>
      </c>
      <c r="K264" s="12" t="s">
        <v>1347</v>
      </c>
      <c r="L264" s="23" t="s">
        <v>1342</v>
      </c>
      <c r="M264" s="13" t="s">
        <v>1464</v>
      </c>
      <c r="N264" s="13" t="s">
        <v>1342</v>
      </c>
      <c r="O264" s="12" t="s">
        <v>2112</v>
      </c>
      <c r="P264" s="12" t="s">
        <v>1499</v>
      </c>
      <c r="Q264" s="12" t="s">
        <v>1342</v>
      </c>
      <c r="R264" s="13" t="s">
        <v>1499</v>
      </c>
      <c r="S264" s="13" t="s">
        <v>1342</v>
      </c>
      <c r="T264" s="23" t="s">
        <v>1342</v>
      </c>
      <c r="U264" s="13" t="s">
        <v>1342</v>
      </c>
      <c r="V264" s="13" t="s">
        <v>1342</v>
      </c>
      <c r="W264" s="13" t="s">
        <v>1342</v>
      </c>
      <c r="X264" s="12" t="str">
        <f>VLOOKUP($D264,global_toc!$C:$K,7,FALSE)</f>
        <v>84JUL18DX</v>
      </c>
      <c r="Y264" s="12" t="str">
        <f>VLOOKUP($D264,global_toc!$C:$K,8,FALSE)</f>
        <v>91MAR25DX</v>
      </c>
      <c r="Z264" s="12">
        <f>VLOOKUP($D264,global_toc!$C:$K,9,FALSE)</f>
        <v>40</v>
      </c>
      <c r="AA264" s="19" t="str">
        <f t="shared" si="13"/>
        <v>TSYS TMP (K) 14CH AND IF1 IF2</v>
      </c>
    </row>
    <row r="265" spans="1:27" x14ac:dyDescent="0.2">
      <c r="A265" s="12">
        <v>475</v>
      </c>
      <c r="B265" s="12">
        <v>2</v>
      </c>
      <c r="C265" s="12" t="str">
        <f t="shared" si="12"/>
        <v>Part-Bend</v>
      </c>
      <c r="D265" s="14" t="s">
        <v>872</v>
      </c>
      <c r="E265" s="12">
        <v>2</v>
      </c>
      <c r="F265" s="12">
        <v>1</v>
      </c>
      <c r="G265" s="12">
        <v>1</v>
      </c>
      <c r="H265" s="12" t="s">
        <v>447</v>
      </c>
      <c r="I265" s="12">
        <v>5</v>
      </c>
      <c r="J265" s="12" t="s">
        <v>873</v>
      </c>
      <c r="K265" s="12" t="s">
        <v>1347</v>
      </c>
      <c r="L265" s="23" t="s">
        <v>1342</v>
      </c>
      <c r="M265" s="13" t="s">
        <v>1464</v>
      </c>
      <c r="N265" s="13" t="s">
        <v>1342</v>
      </c>
      <c r="O265" s="12" t="s">
        <v>1512</v>
      </c>
      <c r="P265" s="12" t="s">
        <v>2543</v>
      </c>
      <c r="Q265" s="12" t="s">
        <v>1247</v>
      </c>
      <c r="R265" s="13" t="s">
        <v>2543</v>
      </c>
      <c r="S265" s="13" t="s">
        <v>1342</v>
      </c>
      <c r="T265" s="23" t="s">
        <v>1342</v>
      </c>
      <c r="U265" s="13">
        <v>2</v>
      </c>
      <c r="V265" s="13" t="s">
        <v>1651</v>
      </c>
      <c r="W265" s="13" t="s">
        <v>1342</v>
      </c>
      <c r="X265" s="12" t="str">
        <f>VLOOKUP($D265,global_toc!$C:$K,7,FALSE)</f>
        <v>79AUG03XX</v>
      </c>
      <c r="Y265" s="12" t="str">
        <f>VLOOKUP($D265,global_toc!$C:$K,8,FALSE)</f>
        <v>11OCT17XA</v>
      </c>
      <c r="Z265" s="12">
        <f>VLOOKUP($D265,global_toc!$C:$K,9,FALSE)</f>
        <v>5029</v>
      </c>
      <c r="AA265" s="19" t="str">
        <f t="shared" si="13"/>
        <v>Grav. bend. partial w.r.t. Gamma</v>
      </c>
    </row>
    <row r="266" spans="1:27" ht="25.5" x14ac:dyDescent="0.2">
      <c r="A266" s="12">
        <v>476</v>
      </c>
      <c r="B266" s="12">
        <v>2</v>
      </c>
      <c r="C266" s="12" t="str">
        <f t="shared" si="12"/>
        <v>Part-UT1</v>
      </c>
      <c r="D266" s="14" t="s">
        <v>841</v>
      </c>
      <c r="E266" s="12">
        <v>2</v>
      </c>
      <c r="F266" s="12">
        <v>2</v>
      </c>
      <c r="G266" s="12">
        <v>1</v>
      </c>
      <c r="H266" s="12" t="s">
        <v>447</v>
      </c>
      <c r="I266" s="12">
        <v>5</v>
      </c>
      <c r="J266" s="12" t="s">
        <v>842</v>
      </c>
      <c r="K266" s="12" t="s">
        <v>1347</v>
      </c>
      <c r="L266" s="23" t="s">
        <v>2449</v>
      </c>
      <c r="M266" s="13" t="s">
        <v>1464</v>
      </c>
      <c r="N266" s="13" t="s">
        <v>1490</v>
      </c>
      <c r="O266" s="12" t="s">
        <v>1512</v>
      </c>
      <c r="P266" s="12" t="s">
        <v>2544</v>
      </c>
      <c r="Q266" s="12" t="s">
        <v>1247</v>
      </c>
      <c r="R266" s="13" t="s">
        <v>2558</v>
      </c>
      <c r="S266" s="13" t="s">
        <v>1604</v>
      </c>
      <c r="T266" s="23" t="s">
        <v>1342</v>
      </c>
      <c r="U266" s="13">
        <v>2</v>
      </c>
      <c r="V266" s="13" t="s">
        <v>1651</v>
      </c>
      <c r="W266" s="13" t="s">
        <v>1342</v>
      </c>
      <c r="X266" s="12" t="str">
        <f>VLOOKUP($D266,global_toc!$C:$K,7,FALSE)</f>
        <v>79AUG03XX</v>
      </c>
      <c r="Y266" s="12" t="str">
        <f>VLOOKUP($D266,global_toc!$C:$K,8,FALSE)</f>
        <v>11OCT17XA</v>
      </c>
      <c r="Z266" s="12">
        <f>VLOOKUP($D266,global_toc!$C:$K,9,FALSE)</f>
        <v>5029</v>
      </c>
      <c r="AA266" s="19" t="str">
        <f t="shared" si="13"/>
        <v>UT1 partial derivatives def.</v>
      </c>
    </row>
    <row r="267" spans="1:27" x14ac:dyDescent="0.2">
      <c r="A267" s="12">
        <v>477</v>
      </c>
      <c r="B267" s="12">
        <v>2</v>
      </c>
      <c r="C267" s="12" t="str">
        <f t="shared" si="12"/>
        <v>Part-Wobble</v>
      </c>
      <c r="D267" s="14" t="s">
        <v>845</v>
      </c>
      <c r="E267" s="12">
        <v>2</v>
      </c>
      <c r="F267" s="12">
        <v>2</v>
      </c>
      <c r="G267" s="12">
        <v>1</v>
      </c>
      <c r="H267" s="12" t="s">
        <v>447</v>
      </c>
      <c r="I267" s="12">
        <v>5</v>
      </c>
      <c r="J267" s="12" t="s">
        <v>846</v>
      </c>
      <c r="K267" s="12" t="s">
        <v>1347</v>
      </c>
      <c r="L267" s="23" t="s">
        <v>1342</v>
      </c>
      <c r="M267" s="13" t="s">
        <v>1464</v>
      </c>
      <c r="N267" s="13" t="s">
        <v>1490</v>
      </c>
      <c r="O267" s="12" t="s">
        <v>1512</v>
      </c>
      <c r="P267" s="12" t="s">
        <v>2544</v>
      </c>
      <c r="Q267" s="12" t="s">
        <v>1247</v>
      </c>
      <c r="R267" s="13" t="s">
        <v>2559</v>
      </c>
      <c r="S267" s="13" t="s">
        <v>1585</v>
      </c>
      <c r="T267" s="23" t="s">
        <v>1342</v>
      </c>
      <c r="U267" s="13">
        <v>2</v>
      </c>
      <c r="V267" s="13" t="s">
        <v>1651</v>
      </c>
      <c r="W267" s="13" t="s">
        <v>1342</v>
      </c>
      <c r="X267" s="12" t="str">
        <f>VLOOKUP($D267,global_toc!$C:$K,7,FALSE)</f>
        <v>79AUG03XX</v>
      </c>
      <c r="Y267" s="12" t="str">
        <f>VLOOKUP($D267,global_toc!$C:$K,8,FALSE)</f>
        <v>11OCT17XA</v>
      </c>
      <c r="Z267" s="12">
        <f>VLOOKUP($D267,global_toc!$C:$K,9,FALSE)</f>
        <v>5029</v>
      </c>
      <c r="AA267" s="19" t="str">
        <f t="shared" si="13"/>
        <v>Wobble partial derivatives def.</v>
      </c>
    </row>
    <row r="268" spans="1:27" x14ac:dyDescent="0.2">
      <c r="A268" s="12">
        <v>478</v>
      </c>
      <c r="B268" s="12">
        <v>2</v>
      </c>
      <c r="C268" s="12" t="str">
        <f t="shared" si="12"/>
        <v>Part-Gamma</v>
      </c>
      <c r="D268" s="14" t="s">
        <v>865</v>
      </c>
      <c r="E268" s="12">
        <v>2</v>
      </c>
      <c r="F268" s="12">
        <v>1</v>
      </c>
      <c r="G268" s="12">
        <v>1</v>
      </c>
      <c r="H268" s="12" t="s">
        <v>447</v>
      </c>
      <c r="I268" s="12">
        <v>5</v>
      </c>
      <c r="J268" s="12" t="s">
        <v>866</v>
      </c>
      <c r="K268" s="12" t="s">
        <v>1347</v>
      </c>
      <c r="L268" s="23" t="s">
        <v>1342</v>
      </c>
      <c r="M268" s="13" t="s">
        <v>1504</v>
      </c>
      <c r="N268" s="13" t="s">
        <v>1490</v>
      </c>
      <c r="O268" s="12" t="s">
        <v>1512</v>
      </c>
      <c r="P268" s="12" t="s">
        <v>2545</v>
      </c>
      <c r="Q268" s="12" t="s">
        <v>1247</v>
      </c>
      <c r="R268" s="13" t="s">
        <v>2545</v>
      </c>
      <c r="S268" s="13" t="s">
        <v>1342</v>
      </c>
      <c r="T268" s="23" t="s">
        <v>1342</v>
      </c>
      <c r="U268" s="13">
        <v>2</v>
      </c>
      <c r="V268" s="13" t="s">
        <v>1651</v>
      </c>
      <c r="W268" s="13" t="s">
        <v>1342</v>
      </c>
      <c r="X268" s="12" t="str">
        <f>VLOOKUP($D268,global_toc!$C:$K,7,FALSE)</f>
        <v>79AUG03XX</v>
      </c>
      <c r="Y268" s="12" t="str">
        <f>VLOOKUP($D268,global_toc!$C:$K,8,FALSE)</f>
        <v>11OCT17XA</v>
      </c>
      <c r="Z268" s="12">
        <f>VLOOKUP($D268,global_toc!$C:$K,9,FALSE)</f>
        <v>5029</v>
      </c>
      <c r="AA268" s="19" t="str">
        <f t="shared" si="13"/>
        <v>Consensus partial w.r.t. Gamma</v>
      </c>
    </row>
    <row r="269" spans="1:27" x14ac:dyDescent="0.2">
      <c r="A269" s="12">
        <v>479</v>
      </c>
      <c r="B269" s="12" t="s">
        <v>1655</v>
      </c>
      <c r="C269" s="12" t="str">
        <f t="shared" si="12"/>
        <v>Part-HorizonGrad-EW</v>
      </c>
      <c r="D269" s="12" t="s">
        <v>1711</v>
      </c>
      <c r="E269" s="12">
        <v>2</v>
      </c>
      <c r="F269" s="12">
        <v>2</v>
      </c>
      <c r="G269" s="12">
        <v>1</v>
      </c>
      <c r="H269" s="12" t="s">
        <v>447</v>
      </c>
      <c r="I269" s="12">
        <v>5</v>
      </c>
      <c r="J269" s="12" t="s">
        <v>1342</v>
      </c>
      <c r="K269" s="12" t="s">
        <v>1347</v>
      </c>
      <c r="L269" s="23" t="s">
        <v>1342</v>
      </c>
      <c r="M269" s="13" t="s">
        <v>1655</v>
      </c>
      <c r="N269" s="13" t="s">
        <v>1490</v>
      </c>
      <c r="O269" s="12" t="s">
        <v>1512</v>
      </c>
      <c r="P269" s="12" t="s">
        <v>2546</v>
      </c>
      <c r="Q269" s="12" t="s">
        <v>1247</v>
      </c>
      <c r="R269" s="13" t="s">
        <v>2561</v>
      </c>
      <c r="S269" s="13" t="s">
        <v>1342</v>
      </c>
      <c r="T269" s="23" t="s">
        <v>1709</v>
      </c>
      <c r="U269" s="13">
        <v>2</v>
      </c>
      <c r="V269" s="13" t="s">
        <v>1651</v>
      </c>
      <c r="W269" s="13" t="s">
        <v>1572</v>
      </c>
      <c r="X269" s="12" t="e">
        <f>VLOOKUP($D269,global_toc!$C:$K,7,FALSE)</f>
        <v>#N/A</v>
      </c>
      <c r="Y269" s="12" t="e">
        <f>VLOOKUP($D269,global_toc!$C:$K,8,FALSE)</f>
        <v>#N/A</v>
      </c>
      <c r="Z269" s="12" t="e">
        <f>VLOOKUP($D269,global_toc!$C:$K,9,FALSE)</f>
        <v>#N/A</v>
      </c>
      <c r="AA269" s="19" t="str">
        <f t="shared" si="13"/>
        <v>NMF dry atm. EW Gradient Partials</v>
      </c>
    </row>
    <row r="270" spans="1:27" x14ac:dyDescent="0.2">
      <c r="A270" s="12">
        <v>480</v>
      </c>
      <c r="B270" s="12" t="s">
        <v>1655</v>
      </c>
      <c r="C270" s="12" t="str">
        <f t="shared" si="12"/>
        <v>Part-HorizonGrad-NS</v>
      </c>
      <c r="D270" s="12" t="s">
        <v>1712</v>
      </c>
      <c r="E270" s="12">
        <v>2</v>
      </c>
      <c r="F270" s="12">
        <v>2</v>
      </c>
      <c r="G270" s="12">
        <v>1</v>
      </c>
      <c r="H270" s="12" t="s">
        <v>447</v>
      </c>
      <c r="I270" s="12">
        <v>5</v>
      </c>
      <c r="J270" s="12" t="s">
        <v>1342</v>
      </c>
      <c r="K270" s="12" t="s">
        <v>1347</v>
      </c>
      <c r="L270" s="23" t="s">
        <v>1342</v>
      </c>
      <c r="M270" s="13" t="s">
        <v>1655</v>
      </c>
      <c r="N270" s="13" t="s">
        <v>1490</v>
      </c>
      <c r="O270" s="12" t="s">
        <v>1512</v>
      </c>
      <c r="P270" s="12" t="s">
        <v>2546</v>
      </c>
      <c r="Q270" s="12" t="s">
        <v>1247</v>
      </c>
      <c r="R270" s="13" t="s">
        <v>2562</v>
      </c>
      <c r="S270" s="13" t="s">
        <v>1342</v>
      </c>
      <c r="T270" s="23" t="s">
        <v>1710</v>
      </c>
      <c r="U270" s="13">
        <v>2</v>
      </c>
      <c r="V270" s="13" t="s">
        <v>1651</v>
      </c>
      <c r="W270" s="13" t="s">
        <v>1572</v>
      </c>
      <c r="X270" s="12" t="e">
        <f>VLOOKUP($D270,global_toc!$C:$K,7,FALSE)</f>
        <v>#N/A</v>
      </c>
      <c r="Y270" s="12" t="e">
        <f>VLOOKUP($D270,global_toc!$C:$K,8,FALSE)</f>
        <v>#N/A</v>
      </c>
      <c r="Z270" s="12" t="e">
        <f>VLOOKUP($D270,global_toc!$C:$K,9,FALSE)</f>
        <v>#N/A</v>
      </c>
      <c r="AA270" s="19" t="str">
        <f t="shared" si="13"/>
        <v>NMF dry atm. NS Gradient Partials</v>
      </c>
    </row>
    <row r="271" spans="1:27" x14ac:dyDescent="0.2">
      <c r="A271" s="12">
        <v>483</v>
      </c>
      <c r="B271" s="12">
        <v>2</v>
      </c>
      <c r="C271" s="12" t="str">
        <f t="shared" si="12"/>
        <v>Part-NutationEQX</v>
      </c>
      <c r="D271" s="12" t="s">
        <v>304</v>
      </c>
      <c r="E271" s="12">
        <v>2</v>
      </c>
      <c r="F271" s="12">
        <v>2</v>
      </c>
      <c r="G271" s="12">
        <v>1</v>
      </c>
      <c r="H271" s="12" t="s">
        <v>447</v>
      </c>
      <c r="I271" s="12">
        <v>5</v>
      </c>
      <c r="J271" s="12" t="s">
        <v>1843</v>
      </c>
      <c r="K271" s="12" t="s">
        <v>1347</v>
      </c>
      <c r="L271" s="23" t="s">
        <v>1342</v>
      </c>
      <c r="M271" s="13" t="s">
        <v>1464</v>
      </c>
      <c r="N271" s="13" t="s">
        <v>1342</v>
      </c>
      <c r="O271" s="12" t="s">
        <v>1512</v>
      </c>
      <c r="P271" s="12" t="s">
        <v>2547</v>
      </c>
      <c r="Q271" s="12" t="s">
        <v>1247</v>
      </c>
      <c r="R271" s="31" t="s">
        <v>2618</v>
      </c>
      <c r="S271" s="13" t="s">
        <v>2477</v>
      </c>
      <c r="T271" s="23" t="s">
        <v>1342</v>
      </c>
      <c r="U271" s="13">
        <v>2</v>
      </c>
      <c r="V271" s="13" t="s">
        <v>1651</v>
      </c>
      <c r="W271" s="13" t="s">
        <v>1342</v>
      </c>
      <c r="X271" s="12" t="e">
        <f>VLOOKUP($D271,global_toc!$C:$K,7,FALSE)</f>
        <v>#N/A</v>
      </c>
      <c r="Y271" s="12" t="e">
        <f>VLOOKUP($D271,global_toc!$C:$K,8,FALSE)</f>
        <v>#N/A</v>
      </c>
      <c r="Z271" s="12" t="e">
        <f>VLOOKUP($D271,global_toc!$C:$K,9,FALSE)</f>
        <v>#N/A</v>
      </c>
      <c r="AA271" s="19" t="str">
        <f t="shared" si="13"/>
        <v>Pre Calc10 Nuation Partial</v>
      </c>
    </row>
    <row r="272" spans="1:27" x14ac:dyDescent="0.2">
      <c r="A272" s="12">
        <v>481</v>
      </c>
      <c r="B272" s="12">
        <v>2</v>
      </c>
      <c r="C272" s="12" t="str">
        <f t="shared" si="12"/>
        <v>Part-NutationEQX</v>
      </c>
      <c r="D272" s="14" t="s">
        <v>932</v>
      </c>
      <c r="E272" s="12">
        <v>2</v>
      </c>
      <c r="F272" s="12">
        <v>2</v>
      </c>
      <c r="G272" s="12">
        <v>1</v>
      </c>
      <c r="H272" s="12" t="s">
        <v>447</v>
      </c>
      <c r="I272" s="12">
        <v>5</v>
      </c>
      <c r="J272" s="12" t="s">
        <v>1691</v>
      </c>
      <c r="K272" s="12" t="s">
        <v>1347</v>
      </c>
      <c r="L272" s="23" t="s">
        <v>1342</v>
      </c>
      <c r="M272" s="13" t="s">
        <v>1464</v>
      </c>
      <c r="N272" s="13" t="s">
        <v>1342</v>
      </c>
      <c r="O272" s="12" t="s">
        <v>1512</v>
      </c>
      <c r="P272" s="12" t="s">
        <v>2548</v>
      </c>
      <c r="Q272" s="12" t="s">
        <v>1247</v>
      </c>
      <c r="R272" s="31" t="s">
        <v>2618</v>
      </c>
      <c r="S272" s="13" t="s">
        <v>2477</v>
      </c>
      <c r="T272" s="23" t="s">
        <v>1342</v>
      </c>
      <c r="U272" s="13">
        <v>2</v>
      </c>
      <c r="V272" s="13" t="s">
        <v>1651</v>
      </c>
      <c r="W272" s="13" t="s">
        <v>1342</v>
      </c>
      <c r="X272" s="12" t="str">
        <f>VLOOKUP($D272,global_toc!$C:$K,7,FALSE)</f>
        <v>79AUG03XX</v>
      </c>
      <c r="Y272" s="12" t="str">
        <f>VLOOKUP($D272,global_toc!$C:$K,8,FALSE)</f>
        <v>11OCT17XA</v>
      </c>
      <c r="Z272" s="12">
        <f>VLOOKUP($D272,global_toc!$C:$K,9,FALSE)</f>
        <v>5029</v>
      </c>
      <c r="AA272" s="19" t="str">
        <f t="shared" si="13"/>
        <v>IAU2000A Nutation Psi Eps Partls</v>
      </c>
    </row>
    <row r="273" spans="1:27" x14ac:dyDescent="0.2">
      <c r="A273" s="12">
        <v>482</v>
      </c>
      <c r="B273" s="12">
        <v>2</v>
      </c>
      <c r="C273" s="12" t="str">
        <f t="shared" si="12"/>
        <v>Part-NutationNRO</v>
      </c>
      <c r="D273" s="14" t="s">
        <v>930</v>
      </c>
      <c r="E273" s="12">
        <v>2</v>
      </c>
      <c r="F273" s="12">
        <v>2</v>
      </c>
      <c r="G273" s="12">
        <v>1</v>
      </c>
      <c r="H273" s="12" t="s">
        <v>447</v>
      </c>
      <c r="I273" s="12">
        <v>5</v>
      </c>
      <c r="J273" s="12" t="s">
        <v>1692</v>
      </c>
      <c r="K273" s="12" t="s">
        <v>1347</v>
      </c>
      <c r="L273" s="23" t="s">
        <v>1342</v>
      </c>
      <c r="M273" s="13" t="s">
        <v>1464</v>
      </c>
      <c r="N273" s="13" t="s">
        <v>1490</v>
      </c>
      <c r="O273" s="12" t="s">
        <v>1512</v>
      </c>
      <c r="P273" s="12" t="s">
        <v>2549</v>
      </c>
      <c r="Q273" s="12" t="s">
        <v>1247</v>
      </c>
      <c r="R273" s="31" t="s">
        <v>2617</v>
      </c>
      <c r="S273" s="13" t="s">
        <v>2478</v>
      </c>
      <c r="T273" s="23" t="s">
        <v>1342</v>
      </c>
      <c r="U273" s="13">
        <v>2</v>
      </c>
      <c r="V273" s="13" t="s">
        <v>1651</v>
      </c>
      <c r="W273" s="13" t="s">
        <v>1342</v>
      </c>
      <c r="X273" s="12" t="str">
        <f>VLOOKUP($D273,global_toc!$C:$K,7,FALSE)</f>
        <v>79AUG03XX</v>
      </c>
      <c r="Y273" s="12" t="str">
        <f>VLOOKUP($D273,global_toc!$C:$K,8,FALSE)</f>
        <v>11OCT17XA</v>
      </c>
      <c r="Z273" s="12">
        <f>VLOOKUP($D273,global_toc!$C:$K,9,FALSE)</f>
        <v>5029</v>
      </c>
      <c r="AA273" s="19" t="str">
        <f t="shared" si="13"/>
        <v>IAU2000A Nutation X Y Partials</v>
      </c>
    </row>
    <row r="274" spans="1:27" x14ac:dyDescent="0.2">
      <c r="A274" s="12">
        <v>481</v>
      </c>
      <c r="B274" s="12">
        <v>2</v>
      </c>
      <c r="C274" s="12" t="s">
        <v>2466</v>
      </c>
      <c r="D274" s="12" t="s">
        <v>2467</v>
      </c>
      <c r="E274" s="12">
        <v>2</v>
      </c>
      <c r="F274" s="12">
        <v>2</v>
      </c>
      <c r="G274" s="12">
        <v>1</v>
      </c>
      <c r="H274" s="12" t="s">
        <v>447</v>
      </c>
      <c r="I274" s="12">
        <v>5</v>
      </c>
      <c r="J274" s="12" t="s">
        <v>2468</v>
      </c>
      <c r="K274" s="12" t="s">
        <v>1347</v>
      </c>
      <c r="L274" s="23" t="s">
        <v>1342</v>
      </c>
      <c r="M274" s="13" t="s">
        <v>1464</v>
      </c>
      <c r="N274" s="13" t="s">
        <v>1490</v>
      </c>
      <c r="O274" s="12" t="s">
        <v>1512</v>
      </c>
      <c r="P274" s="12" t="s">
        <v>2550</v>
      </c>
      <c r="Q274" s="12" t="s">
        <v>1247</v>
      </c>
      <c r="R274" s="31" t="s">
        <v>2617</v>
      </c>
      <c r="S274" s="13" t="s">
        <v>2478</v>
      </c>
      <c r="T274" s="23" t="s">
        <v>1342</v>
      </c>
      <c r="U274" s="13">
        <v>2</v>
      </c>
      <c r="V274" s="13" t="s">
        <v>1651</v>
      </c>
      <c r="W274" s="13" t="s">
        <v>1342</v>
      </c>
      <c r="X274" s="12" t="e">
        <f>VLOOKUP($D274,global_toc!$C:$K,7,FALSE)</f>
        <v>#N/A</v>
      </c>
      <c r="Y274" s="12" t="e">
        <f>VLOOKUP($D274,global_toc!$C:$K,8,FALSE)</f>
        <v>#N/A</v>
      </c>
      <c r="Z274" s="12" t="e">
        <f>VLOOKUP($D274,global_toc!$C:$K,9,FALSE)</f>
        <v>#N/A</v>
      </c>
      <c r="AA274" s="19" t="str">
        <f t="shared" si="13"/>
        <v>2000/2006 Nut/Prec X,Y Partials</v>
      </c>
    </row>
    <row r="275" spans="1:27" x14ac:dyDescent="0.2">
      <c r="A275" s="12">
        <v>484</v>
      </c>
      <c r="B275" s="12">
        <v>2</v>
      </c>
      <c r="C275" s="12" t="str">
        <f t="shared" ref="C275:C339" si="14">IF(R275="-",D275,R275)</f>
        <v>Part-Parallax</v>
      </c>
      <c r="D275" s="14" t="s">
        <v>874</v>
      </c>
      <c r="E275" s="12">
        <v>2</v>
      </c>
      <c r="F275" s="12">
        <v>1</v>
      </c>
      <c r="G275" s="12">
        <v>1</v>
      </c>
      <c r="H275" s="12" t="s">
        <v>447</v>
      </c>
      <c r="I275" s="12">
        <v>5</v>
      </c>
      <c r="J275" s="12" t="s">
        <v>875</v>
      </c>
      <c r="K275" s="12" t="s">
        <v>1347</v>
      </c>
      <c r="L275" s="23" t="s">
        <v>1342</v>
      </c>
      <c r="M275" s="13" t="s">
        <v>1464</v>
      </c>
      <c r="N275" s="13" t="s">
        <v>1342</v>
      </c>
      <c r="O275" s="12" t="s">
        <v>1512</v>
      </c>
      <c r="P275" s="12" t="s">
        <v>2551</v>
      </c>
      <c r="Q275" s="12" t="s">
        <v>1247</v>
      </c>
      <c r="R275" s="13" t="s">
        <v>2551</v>
      </c>
      <c r="S275" s="13" t="s">
        <v>1342</v>
      </c>
      <c r="T275" s="23" t="s">
        <v>1342</v>
      </c>
      <c r="U275" s="13">
        <v>2</v>
      </c>
      <c r="V275" s="13" t="s">
        <v>1651</v>
      </c>
      <c r="W275" s="13" t="s">
        <v>1342</v>
      </c>
      <c r="X275" s="12" t="str">
        <f>VLOOKUP($D275,global_toc!$C:$K,7,FALSE)</f>
        <v>79AUG03XX</v>
      </c>
      <c r="Y275" s="12" t="str">
        <f>VLOOKUP($D275,global_toc!$C:$K,8,FALSE)</f>
        <v>11OCT17XA</v>
      </c>
      <c r="Z275" s="12">
        <f>VLOOKUP($D275,global_toc!$C:$K,9,FALSE)</f>
        <v>5029</v>
      </c>
      <c r="AA275" s="19" t="str">
        <f t="shared" si="13"/>
        <v>Parallax partial deriv. def.</v>
      </c>
    </row>
    <row r="276" spans="1:27" x14ac:dyDescent="0.2">
      <c r="A276" s="12">
        <v>485</v>
      </c>
      <c r="B276" s="12">
        <v>2</v>
      </c>
      <c r="C276" s="12" t="str">
        <f t="shared" si="14"/>
        <v>Part-PoleTide</v>
      </c>
      <c r="D276" s="14" t="s">
        <v>819</v>
      </c>
      <c r="E276" s="12">
        <v>2</v>
      </c>
      <c r="F276" s="12">
        <v>2</v>
      </c>
      <c r="G276" s="12">
        <v>1</v>
      </c>
      <c r="H276" s="12" t="s">
        <v>447</v>
      </c>
      <c r="I276" s="12">
        <v>5</v>
      </c>
      <c r="J276" s="12" t="s">
        <v>820</v>
      </c>
      <c r="K276" s="12" t="s">
        <v>1347</v>
      </c>
      <c r="L276" s="23" t="s">
        <v>1342</v>
      </c>
      <c r="M276" s="13" t="s">
        <v>1464</v>
      </c>
      <c r="N276" s="13" t="s">
        <v>1342</v>
      </c>
      <c r="O276" s="12" t="s">
        <v>1512</v>
      </c>
      <c r="P276" s="12" t="s">
        <v>2552</v>
      </c>
      <c r="Q276" s="12" t="s">
        <v>1247</v>
      </c>
      <c r="R276" s="13" t="s">
        <v>2563</v>
      </c>
      <c r="S276" s="13" t="s">
        <v>2479</v>
      </c>
      <c r="T276" s="23" t="s">
        <v>1342</v>
      </c>
      <c r="U276" s="13">
        <v>2</v>
      </c>
      <c r="V276" s="13" t="s">
        <v>1651</v>
      </c>
      <c r="W276" s="13" t="s">
        <v>1342</v>
      </c>
      <c r="X276" s="12" t="str">
        <f>VLOOKUP($D276,global_toc!$C:$K,7,FALSE)</f>
        <v>79AUG03XX</v>
      </c>
      <c r="Y276" s="12" t="str">
        <f>VLOOKUP($D276,global_toc!$C:$K,8,FALSE)</f>
        <v>11OCT17XA</v>
      </c>
      <c r="Z276" s="12">
        <f>VLOOKUP($D276,global_toc!$C:$K,9,FALSE)</f>
        <v>5029</v>
      </c>
      <c r="AA276" s="19" t="str">
        <f t="shared" si="13"/>
        <v>Pole Tide Partials w.r.t. X &amp; Y</v>
      </c>
    </row>
    <row r="277" spans="1:27" x14ac:dyDescent="0.2">
      <c r="A277" s="12">
        <v>486</v>
      </c>
      <c r="B277" s="12">
        <v>2</v>
      </c>
      <c r="C277" s="12" t="str">
        <f t="shared" si="14"/>
        <v>Part-Precession</v>
      </c>
      <c r="D277" s="14" t="s">
        <v>835</v>
      </c>
      <c r="E277" s="12">
        <v>2</v>
      </c>
      <c r="F277" s="12">
        <v>1</v>
      </c>
      <c r="G277" s="12">
        <v>1</v>
      </c>
      <c r="H277" s="12" t="s">
        <v>447</v>
      </c>
      <c r="I277" s="12">
        <v>5</v>
      </c>
      <c r="J277" s="12" t="s">
        <v>836</v>
      </c>
      <c r="K277" s="12" t="s">
        <v>1347</v>
      </c>
      <c r="L277" s="23" t="s">
        <v>1342</v>
      </c>
      <c r="M277" s="13" t="s">
        <v>1464</v>
      </c>
      <c r="N277" s="13" t="s">
        <v>1490</v>
      </c>
      <c r="O277" s="12" t="s">
        <v>1512</v>
      </c>
      <c r="P277" s="12" t="s">
        <v>2553</v>
      </c>
      <c r="Q277" s="12" t="s">
        <v>1247</v>
      </c>
      <c r="R277" s="13" t="s">
        <v>2553</v>
      </c>
      <c r="S277" s="13" t="s">
        <v>1342</v>
      </c>
      <c r="T277" s="23" t="s">
        <v>1342</v>
      </c>
      <c r="U277" s="13">
        <v>2</v>
      </c>
      <c r="V277" s="13" t="s">
        <v>1651</v>
      </c>
      <c r="W277" s="13" t="s">
        <v>1342</v>
      </c>
      <c r="X277" s="12" t="str">
        <f>VLOOKUP($D277,global_toc!$C:$K,7,FALSE)</f>
        <v>79AUG03XX</v>
      </c>
      <c r="Y277" s="12" t="str">
        <f>VLOOKUP($D277,global_toc!$C:$K,8,FALSE)</f>
        <v>11OCT17XA</v>
      </c>
      <c r="Z277" s="12">
        <f>VLOOKUP($D277,global_toc!$C:$K,9,FALSE)</f>
        <v>5029</v>
      </c>
      <c r="AA277" s="19" t="str">
        <f t="shared" si="13"/>
        <v>Precession partial deriv. def.</v>
      </c>
    </row>
    <row r="278" spans="1:27" x14ac:dyDescent="0.2">
      <c r="A278" s="12">
        <v>487</v>
      </c>
      <c r="B278" s="12">
        <v>2</v>
      </c>
      <c r="C278" s="12" t="str">
        <f t="shared" si="14"/>
        <v>Part-RaDec</v>
      </c>
      <c r="D278" s="14" t="s">
        <v>839</v>
      </c>
      <c r="E278" s="12">
        <v>2</v>
      </c>
      <c r="F278" s="12">
        <v>2</v>
      </c>
      <c r="G278" s="12">
        <v>1</v>
      </c>
      <c r="H278" s="12" t="s">
        <v>447</v>
      </c>
      <c r="I278" s="12">
        <v>5</v>
      </c>
      <c r="J278" s="12" t="s">
        <v>840</v>
      </c>
      <c r="K278" s="12" t="s">
        <v>1347</v>
      </c>
      <c r="L278" s="23" t="s">
        <v>1342</v>
      </c>
      <c r="M278" s="13" t="s">
        <v>1464</v>
      </c>
      <c r="N278" s="13" t="s">
        <v>1490</v>
      </c>
      <c r="O278" s="12" t="s">
        <v>1512</v>
      </c>
      <c r="P278" s="12" t="s">
        <v>2554</v>
      </c>
      <c r="Q278" s="12" t="s">
        <v>1247</v>
      </c>
      <c r="R278" s="13" t="s">
        <v>2554</v>
      </c>
      <c r="S278" s="13" t="s">
        <v>1602</v>
      </c>
      <c r="T278" s="23" t="s">
        <v>1342</v>
      </c>
      <c r="U278" s="13">
        <v>2</v>
      </c>
      <c r="V278" s="13" t="s">
        <v>1651</v>
      </c>
      <c r="W278" s="13" t="s">
        <v>1342</v>
      </c>
      <c r="X278" s="12" t="str">
        <f>VLOOKUP($D278,global_toc!$C:$K,7,FALSE)</f>
        <v>79AUG03XX</v>
      </c>
      <c r="Y278" s="12" t="str">
        <f>VLOOKUP($D278,global_toc!$C:$K,8,FALSE)</f>
        <v>11OCT17XA</v>
      </c>
      <c r="Z278" s="12">
        <f>VLOOKUP($D278,global_toc!$C:$K,9,FALSE)</f>
        <v>5029</v>
      </c>
      <c r="AA278" s="19" t="str">
        <f t="shared" si="13"/>
        <v>Star partial derivatives def.</v>
      </c>
    </row>
    <row r="279" spans="1:27" x14ac:dyDescent="0.2">
      <c r="A279" s="12">
        <v>488</v>
      </c>
      <c r="B279" s="12">
        <v>2</v>
      </c>
      <c r="C279" s="12" t="str">
        <f t="shared" si="14"/>
        <v>Part-XYZ</v>
      </c>
      <c r="D279" s="14" t="s">
        <v>837</v>
      </c>
      <c r="E279" s="12">
        <v>3</v>
      </c>
      <c r="F279" s="12">
        <v>2</v>
      </c>
      <c r="G279" s="12">
        <v>2</v>
      </c>
      <c r="H279" s="12" t="s">
        <v>447</v>
      </c>
      <c r="I279" s="12">
        <v>5</v>
      </c>
      <c r="J279" s="12" t="s">
        <v>838</v>
      </c>
      <c r="K279" s="12" t="s">
        <v>1707</v>
      </c>
      <c r="L279" s="23" t="s">
        <v>1342</v>
      </c>
      <c r="M279" s="13" t="s">
        <v>1464</v>
      </c>
      <c r="N279" s="13" t="s">
        <v>1490</v>
      </c>
      <c r="O279" s="12" t="s">
        <v>1512</v>
      </c>
      <c r="P279" s="12" t="s">
        <v>2555</v>
      </c>
      <c r="Q279" s="12" t="s">
        <v>1247</v>
      </c>
      <c r="R279" s="13" t="s">
        <v>2555</v>
      </c>
      <c r="S279" s="13" t="s">
        <v>1583</v>
      </c>
      <c r="T279" s="23" t="s">
        <v>2202</v>
      </c>
      <c r="U279" s="13">
        <v>2</v>
      </c>
      <c r="V279" s="13" t="s">
        <v>1651</v>
      </c>
      <c r="W279" s="13" t="s">
        <v>1500</v>
      </c>
      <c r="X279" s="12" t="str">
        <f>VLOOKUP($D279,global_toc!$C:$K,7,FALSE)</f>
        <v>79AUG03XX</v>
      </c>
      <c r="Y279" s="12" t="str">
        <f>VLOOKUP($D279,global_toc!$C:$K,8,FALSE)</f>
        <v>11OCT17XA</v>
      </c>
      <c r="Z279" s="12">
        <f>VLOOKUP($D279,global_toc!$C:$K,9,FALSE)</f>
        <v>5029</v>
      </c>
      <c r="AA279" s="19" t="str">
        <f t="shared" si="13"/>
        <v>Site partials: dtau/dr_1=-dtau/dr_2</v>
      </c>
    </row>
    <row r="280" spans="1:27" x14ac:dyDescent="0.2">
      <c r="A280" s="12">
        <v>489</v>
      </c>
      <c r="B280" s="12">
        <v>2</v>
      </c>
      <c r="C280" s="12" t="str">
        <f t="shared" si="14"/>
        <v>DelayTheoretical</v>
      </c>
      <c r="D280" s="14" t="s">
        <v>861</v>
      </c>
      <c r="E280" s="12">
        <v>2</v>
      </c>
      <c r="F280" s="12">
        <v>1</v>
      </c>
      <c r="G280" s="12">
        <v>1</v>
      </c>
      <c r="H280" s="12" t="s">
        <v>447</v>
      </c>
      <c r="I280" s="12">
        <v>5</v>
      </c>
      <c r="J280" s="12" t="s">
        <v>862</v>
      </c>
      <c r="K280" s="12" t="s">
        <v>1347</v>
      </c>
      <c r="L280" s="23" t="s">
        <v>1342</v>
      </c>
      <c r="M280" s="13" t="s">
        <v>1464</v>
      </c>
      <c r="N280" s="13" t="s">
        <v>1490</v>
      </c>
      <c r="O280" s="12" t="s">
        <v>2116</v>
      </c>
      <c r="P280" s="12" t="s">
        <v>1642</v>
      </c>
      <c r="Q280" s="12" t="s">
        <v>1247</v>
      </c>
      <c r="R280" s="13" t="s">
        <v>1642</v>
      </c>
      <c r="S280" s="13" t="s">
        <v>1342</v>
      </c>
      <c r="T280" s="23" t="s">
        <v>1831</v>
      </c>
      <c r="U280" s="13" t="s">
        <v>1342</v>
      </c>
      <c r="V280" s="13" t="s">
        <v>1610</v>
      </c>
      <c r="W280" s="13" t="s">
        <v>1342</v>
      </c>
      <c r="X280" s="12" t="str">
        <f>VLOOKUP($D280,global_toc!$C:$K,7,FALSE)</f>
        <v>79AUG03XX</v>
      </c>
      <c r="Y280" s="12" t="str">
        <f>VLOOKUP($D280,global_toc!$C:$K,8,FALSE)</f>
        <v>11OCT17XA</v>
      </c>
      <c r="Z280" s="12">
        <f>VLOOKUP($D280,global_toc!$C:$K,9,FALSE)</f>
        <v>5029</v>
      </c>
      <c r="AA280" s="19" t="str">
        <f t="shared" si="13"/>
        <v>Consensus theoretical delay</v>
      </c>
    </row>
    <row r="281" spans="1:27" x14ac:dyDescent="0.2">
      <c r="A281" s="12">
        <v>490</v>
      </c>
      <c r="B281" s="12">
        <v>2</v>
      </c>
      <c r="C281" s="12" t="str">
        <f t="shared" si="14"/>
        <v>RateTheoretical</v>
      </c>
      <c r="D281" s="14" t="s">
        <v>863</v>
      </c>
      <c r="E281" s="12">
        <v>1</v>
      </c>
      <c r="F281" s="12">
        <v>1</v>
      </c>
      <c r="G281" s="12">
        <v>1</v>
      </c>
      <c r="H281" s="12" t="s">
        <v>447</v>
      </c>
      <c r="I281" s="12">
        <v>5</v>
      </c>
      <c r="J281" s="12" t="s">
        <v>864</v>
      </c>
      <c r="K281" s="12" t="s">
        <v>1347</v>
      </c>
      <c r="L281" s="23" t="s">
        <v>1342</v>
      </c>
      <c r="M281" s="13" t="s">
        <v>1464</v>
      </c>
      <c r="N281" s="13" t="s">
        <v>1490</v>
      </c>
      <c r="O281" s="12" t="s">
        <v>2116</v>
      </c>
      <c r="P281" s="12" t="s">
        <v>1641</v>
      </c>
      <c r="Q281" s="12" t="s">
        <v>1247</v>
      </c>
      <c r="R281" s="13" t="s">
        <v>1641</v>
      </c>
      <c r="S281" s="13" t="s">
        <v>1342</v>
      </c>
      <c r="T281" s="23" t="s">
        <v>1838</v>
      </c>
      <c r="U281" s="13" t="s">
        <v>1342</v>
      </c>
      <c r="V281" s="13" t="s">
        <v>1652</v>
      </c>
      <c r="W281" s="13" t="s">
        <v>1342</v>
      </c>
      <c r="X281" s="12" t="str">
        <f>VLOOKUP($D281,global_toc!$C:$K,7,FALSE)</f>
        <v>79AUG03XX</v>
      </c>
      <c r="Y281" s="12" t="str">
        <f>VLOOKUP($D281,global_toc!$C:$K,8,FALSE)</f>
        <v>11OCT17XA</v>
      </c>
      <c r="Z281" s="12">
        <f>VLOOKUP($D281,global_toc!$C:$K,9,FALSE)</f>
        <v>5029</v>
      </c>
      <c r="AA281" s="19" t="str">
        <f t="shared" si="13"/>
        <v>Consensus theoretical rate</v>
      </c>
    </row>
    <row r="282" spans="1:27" x14ac:dyDescent="0.2">
      <c r="A282" s="12">
        <v>104</v>
      </c>
      <c r="B282" s="12">
        <v>2</v>
      </c>
      <c r="C282" s="12" t="str">
        <f t="shared" si="14"/>
        <v>EarthXYZ</v>
      </c>
      <c r="D282" s="14" t="s">
        <v>855</v>
      </c>
      <c r="E282" s="12">
        <v>3</v>
      </c>
      <c r="F282" s="12">
        <v>3</v>
      </c>
      <c r="G282" s="12">
        <v>1</v>
      </c>
      <c r="H282" s="12" t="s">
        <v>447</v>
      </c>
      <c r="I282" s="12">
        <v>5</v>
      </c>
      <c r="J282" s="12" t="s">
        <v>2300</v>
      </c>
      <c r="K282" s="12" t="s">
        <v>1351</v>
      </c>
      <c r="L282" s="23" t="s">
        <v>1342</v>
      </c>
      <c r="M282" s="13" t="s">
        <v>1504</v>
      </c>
      <c r="N282" s="13" t="s">
        <v>1342</v>
      </c>
      <c r="O282" s="12" t="s">
        <v>1351</v>
      </c>
      <c r="P282" s="12" t="s">
        <v>2210</v>
      </c>
      <c r="Q282" s="12" t="s">
        <v>1342</v>
      </c>
      <c r="R282" s="13" t="s">
        <v>1508</v>
      </c>
      <c r="S282" s="13" t="s">
        <v>1342</v>
      </c>
      <c r="T282" s="23" t="s">
        <v>1342</v>
      </c>
      <c r="U282" s="13">
        <v>3</v>
      </c>
      <c r="V282" s="13" t="s">
        <v>1475</v>
      </c>
      <c r="W282" s="13" t="s">
        <v>1620</v>
      </c>
      <c r="X282" s="12" t="str">
        <f>VLOOKUP($D282,global_toc!$C:$K,7,FALSE)</f>
        <v>79AUG03XX</v>
      </c>
      <c r="Y282" s="12" t="str">
        <f>VLOOKUP($D282,global_toc!$C:$K,8,FALSE)</f>
        <v>11OCT17XA</v>
      </c>
      <c r="Z282" s="12">
        <f>VLOOKUP($D282,global_toc!$C:$K,9,FALSE)</f>
        <v>5029</v>
      </c>
      <c r="AA282" s="19" t="str">
        <f t="shared" si="13"/>
        <v>Earth barycentric coordinates.</v>
      </c>
    </row>
    <row r="283" spans="1:27" x14ac:dyDescent="0.2">
      <c r="A283" s="12">
        <v>105</v>
      </c>
      <c r="B283" s="12">
        <v>2</v>
      </c>
      <c r="C283" s="12" t="str">
        <f t="shared" si="14"/>
        <v>MoonXYZ</v>
      </c>
      <c r="D283" s="14" t="s">
        <v>859</v>
      </c>
      <c r="E283" s="12">
        <v>3</v>
      </c>
      <c r="F283" s="12">
        <v>2</v>
      </c>
      <c r="G283" s="12">
        <v>1</v>
      </c>
      <c r="H283" s="12" t="s">
        <v>447</v>
      </c>
      <c r="I283" s="12">
        <v>5</v>
      </c>
      <c r="J283" s="12" t="s">
        <v>310</v>
      </c>
      <c r="K283" s="12" t="s">
        <v>1351</v>
      </c>
      <c r="L283" s="23" t="s">
        <v>1342</v>
      </c>
      <c r="M283" s="13" t="s">
        <v>1504</v>
      </c>
      <c r="N283" s="13" t="s">
        <v>1342</v>
      </c>
      <c r="O283" s="12" t="s">
        <v>1351</v>
      </c>
      <c r="P283" s="12" t="s">
        <v>2210</v>
      </c>
      <c r="Q283" s="12" t="s">
        <v>1342</v>
      </c>
      <c r="R283" s="13" t="s">
        <v>1509</v>
      </c>
      <c r="S283" s="13" t="s">
        <v>1342</v>
      </c>
      <c r="T283" s="23" t="s">
        <v>1342</v>
      </c>
      <c r="U283" s="13">
        <v>2</v>
      </c>
      <c r="V283" s="13" t="s">
        <v>1475</v>
      </c>
      <c r="W283" s="13" t="s">
        <v>1620</v>
      </c>
      <c r="X283" s="12" t="str">
        <f>VLOOKUP($D283,global_toc!$C:$K,7,FALSE)</f>
        <v>79AUG03XX</v>
      </c>
      <c r="Y283" s="12" t="str">
        <f>VLOOKUP($D283,global_toc!$C:$K,8,FALSE)</f>
        <v>11OCT17XA</v>
      </c>
      <c r="Z283" s="12">
        <f>VLOOKUP($D283,global_toc!$C:$K,9,FALSE)</f>
        <v>5029</v>
      </c>
      <c r="AA283" s="19" t="str">
        <f t="shared" si="13"/>
        <v>Lunar geocentric coordinates.</v>
      </c>
    </row>
    <row r="284" spans="1:27" x14ac:dyDescent="0.2">
      <c r="A284" s="12">
        <v>106</v>
      </c>
      <c r="B284" s="12">
        <v>2</v>
      </c>
      <c r="C284" s="12" t="str">
        <f t="shared" si="14"/>
        <v>SunXYZ</v>
      </c>
      <c r="D284" s="14" t="s">
        <v>857</v>
      </c>
      <c r="E284" s="12">
        <v>3</v>
      </c>
      <c r="F284" s="12">
        <v>2</v>
      </c>
      <c r="G284" s="12">
        <v>1</v>
      </c>
      <c r="H284" s="12" t="s">
        <v>447</v>
      </c>
      <c r="I284" s="12">
        <v>5</v>
      </c>
      <c r="J284" s="12" t="s">
        <v>309</v>
      </c>
      <c r="K284" s="12" t="s">
        <v>1351</v>
      </c>
      <c r="L284" s="23" t="s">
        <v>1342</v>
      </c>
      <c r="M284" s="13" t="s">
        <v>1504</v>
      </c>
      <c r="N284" s="13" t="s">
        <v>1342</v>
      </c>
      <c r="O284" s="12" t="s">
        <v>1351</v>
      </c>
      <c r="P284" s="12" t="s">
        <v>2210</v>
      </c>
      <c r="Q284" s="12" t="s">
        <v>1342</v>
      </c>
      <c r="R284" s="13" t="s">
        <v>1507</v>
      </c>
      <c r="S284" s="13" t="s">
        <v>1342</v>
      </c>
      <c r="T284" s="23" t="s">
        <v>1342</v>
      </c>
      <c r="U284" s="13">
        <v>2</v>
      </c>
      <c r="V284" s="13" t="s">
        <v>1475</v>
      </c>
      <c r="W284" s="13" t="s">
        <v>1620</v>
      </c>
      <c r="X284" s="12" t="str">
        <f>VLOOKUP($D284,global_toc!$C:$K,7,FALSE)</f>
        <v>79AUG03XX</v>
      </c>
      <c r="Y284" s="12" t="str">
        <f>VLOOKUP($D284,global_toc!$C:$K,8,FALSE)</f>
        <v>11OCT17XA</v>
      </c>
      <c r="Z284" s="12">
        <f>VLOOKUP($D284,global_toc!$C:$K,9,FALSE)</f>
        <v>5029</v>
      </c>
      <c r="AA284" s="19" t="str">
        <f t="shared" si="13"/>
        <v>Solar geocentric coordinates.</v>
      </c>
    </row>
    <row r="285" spans="1:27" x14ac:dyDescent="0.2">
      <c r="A285" s="12">
        <v>102</v>
      </c>
      <c r="B285" s="12">
        <v>2</v>
      </c>
      <c r="C285" s="12" t="str">
        <f t="shared" si="14"/>
        <v>PolarMotion</v>
      </c>
      <c r="D285" s="14" t="s">
        <v>851</v>
      </c>
      <c r="E285" s="12">
        <v>2</v>
      </c>
      <c r="F285" s="12">
        <v>1</v>
      </c>
      <c r="G285" s="12">
        <v>1</v>
      </c>
      <c r="H285" s="12" t="s">
        <v>447</v>
      </c>
      <c r="I285" s="12">
        <v>5</v>
      </c>
      <c r="J285" s="12" t="s">
        <v>852</v>
      </c>
      <c r="K285" s="12" t="s">
        <v>1351</v>
      </c>
      <c r="L285" s="23" t="s">
        <v>1342</v>
      </c>
      <c r="M285" s="13" t="s">
        <v>1504</v>
      </c>
      <c r="N285" s="13" t="s">
        <v>1342</v>
      </c>
      <c r="O285" s="12" t="s">
        <v>1351</v>
      </c>
      <c r="P285" s="12" t="s">
        <v>2482</v>
      </c>
      <c r="Q285" s="12" t="s">
        <v>1247</v>
      </c>
      <c r="R285" s="13" t="s">
        <v>1522</v>
      </c>
      <c r="S285" s="13" t="s">
        <v>1342</v>
      </c>
      <c r="T285" s="23" t="s">
        <v>1342</v>
      </c>
      <c r="U285" s="13">
        <v>1</v>
      </c>
      <c r="V285" s="13" t="s">
        <v>1480</v>
      </c>
      <c r="W285" s="13" t="s">
        <v>1506</v>
      </c>
      <c r="X285" s="12" t="str">
        <f>VLOOKUP($D285,global_toc!$C:$K,7,FALSE)</f>
        <v>79AUG03XX</v>
      </c>
      <c r="Y285" s="12" t="str">
        <f>VLOOKUP($D285,global_toc!$C:$K,8,FALSE)</f>
        <v>11OCT17XA</v>
      </c>
      <c r="Z285" s="12">
        <f>VLOOKUP($D285,global_toc!$C:$K,9,FALSE)</f>
        <v>5029</v>
      </c>
      <c r="AA285" s="19" t="str">
        <f t="shared" si="13"/>
        <v>Polar motion X &amp; Y for obs (rad)</v>
      </c>
    </row>
    <row r="286" spans="1:27" x14ac:dyDescent="0.2">
      <c r="A286" s="12">
        <v>103</v>
      </c>
      <c r="B286" s="12">
        <v>2</v>
      </c>
      <c r="C286" s="12" t="str">
        <f t="shared" si="14"/>
        <v>UT1</v>
      </c>
      <c r="D286" s="14" t="s">
        <v>843</v>
      </c>
      <c r="E286" s="12">
        <v>1</v>
      </c>
      <c r="F286" s="12">
        <v>1</v>
      </c>
      <c r="G286" s="12">
        <v>1</v>
      </c>
      <c r="H286" s="12" t="s">
        <v>447</v>
      </c>
      <c r="I286" s="12">
        <v>5</v>
      </c>
      <c r="J286" s="12" t="s">
        <v>844</v>
      </c>
      <c r="K286" s="12" t="s">
        <v>1351</v>
      </c>
      <c r="L286" s="23" t="s">
        <v>1342</v>
      </c>
      <c r="M286" s="13" t="s">
        <v>1504</v>
      </c>
      <c r="N286" s="13" t="s">
        <v>1342</v>
      </c>
      <c r="O286" s="12" t="s">
        <v>1351</v>
      </c>
      <c r="P286" s="12" t="s">
        <v>2482</v>
      </c>
      <c r="Q286" s="12" t="s">
        <v>1247</v>
      </c>
      <c r="R286" s="13" t="s">
        <v>1459</v>
      </c>
      <c r="S286" s="13" t="s">
        <v>1342</v>
      </c>
      <c r="T286" s="23" t="s">
        <v>1342</v>
      </c>
      <c r="U286" s="13">
        <v>1</v>
      </c>
      <c r="V286" s="13" t="s">
        <v>1651</v>
      </c>
      <c r="W286" s="13" t="s">
        <v>1505</v>
      </c>
      <c r="X286" s="12" t="str">
        <f>VLOOKUP($D286,global_toc!$C:$K,7,FALSE)</f>
        <v>79AUG03XX</v>
      </c>
      <c r="Y286" s="12" t="str">
        <f>VLOOKUP($D286,global_toc!$C:$K,8,FALSE)</f>
        <v>11OCT17XA</v>
      </c>
      <c r="Z286" s="12">
        <f>VLOOKUP($D286,global_toc!$C:$K,9,FALSE)</f>
        <v>5029</v>
      </c>
      <c r="AA286" s="19" t="str">
        <f t="shared" si="13"/>
        <v>UT1 time of day for this obsvr.</v>
      </c>
    </row>
    <row r="287" spans="1:27" x14ac:dyDescent="0.2">
      <c r="A287" s="12">
        <v>107</v>
      </c>
      <c r="B287" s="12">
        <v>2</v>
      </c>
      <c r="C287" s="12" t="str">
        <f t="shared" ref="C287" si="15">IF(R287="-",D287,R287)</f>
        <v>NutationEQX</v>
      </c>
      <c r="D287" s="14" t="s">
        <v>2636</v>
      </c>
      <c r="E287" s="12">
        <v>2</v>
      </c>
      <c r="F287" s="12">
        <v>2</v>
      </c>
      <c r="G287" s="12">
        <v>1</v>
      </c>
      <c r="H287" s="12" t="s">
        <v>447</v>
      </c>
      <c r="I287" s="12">
        <v>5</v>
      </c>
      <c r="J287" s="12" t="s">
        <v>2638</v>
      </c>
      <c r="K287" s="12" t="s">
        <v>1351</v>
      </c>
      <c r="L287" s="23" t="s">
        <v>1342</v>
      </c>
      <c r="M287" s="13" t="s">
        <v>1464</v>
      </c>
      <c r="N287" s="13" t="s">
        <v>1490</v>
      </c>
      <c r="O287" s="12" t="s">
        <v>1351</v>
      </c>
      <c r="P287" s="12" t="s">
        <v>2637</v>
      </c>
      <c r="Q287" s="12" t="s">
        <v>1247</v>
      </c>
      <c r="R287" s="13" t="s">
        <v>2619</v>
      </c>
      <c r="S287" s="13" t="s">
        <v>2477</v>
      </c>
      <c r="T287" s="12" t="s">
        <v>2638</v>
      </c>
      <c r="U287" s="13">
        <v>2</v>
      </c>
      <c r="V287" s="13" t="s">
        <v>1342</v>
      </c>
      <c r="W287" s="13" t="s">
        <v>1593</v>
      </c>
      <c r="X287" s="12" t="e">
        <f>VLOOKUP($D287,global_toc!$C:$K,7,FALSE)</f>
        <v>#N/A</v>
      </c>
      <c r="Y287" s="12" t="e">
        <f>VLOOKUP($D287,global_toc!$C:$K,8,FALSE)</f>
        <v>#N/A</v>
      </c>
      <c r="Z287" s="12" t="e">
        <f>VLOOKUP($D287,global_toc!$C:$K,9,FALSE)</f>
        <v>#N/A</v>
      </c>
      <c r="AA287" s="19" t="str">
        <f t="shared" ref="AA287" si="16">IF(T287="-",J287,T287)</f>
        <v>IAU2006A Nut. - Dpsi  Deps  Rates</v>
      </c>
    </row>
    <row r="288" spans="1:27" x14ac:dyDescent="0.2">
      <c r="A288" s="12">
        <v>107</v>
      </c>
      <c r="B288" s="12">
        <v>2</v>
      </c>
      <c r="C288" s="12" t="str">
        <f t="shared" si="14"/>
        <v>NutationEQX</v>
      </c>
      <c r="D288" s="14" t="s">
        <v>926</v>
      </c>
      <c r="E288" s="12">
        <v>2</v>
      </c>
      <c r="F288" s="12">
        <v>2</v>
      </c>
      <c r="G288" s="12">
        <v>1</v>
      </c>
      <c r="H288" s="12" t="s">
        <v>447</v>
      </c>
      <c r="I288" s="12">
        <v>5</v>
      </c>
      <c r="J288" s="12" t="s">
        <v>1697</v>
      </c>
      <c r="K288" s="12" t="s">
        <v>1351</v>
      </c>
      <c r="L288" s="23" t="s">
        <v>1342</v>
      </c>
      <c r="M288" s="13" t="s">
        <v>1464</v>
      </c>
      <c r="N288" s="13" t="s">
        <v>1490</v>
      </c>
      <c r="O288" s="12" t="s">
        <v>1351</v>
      </c>
      <c r="P288" s="12" t="s">
        <v>2499</v>
      </c>
      <c r="Q288" s="12" t="s">
        <v>1247</v>
      </c>
      <c r="R288" s="13" t="s">
        <v>2619</v>
      </c>
      <c r="S288" s="13" t="s">
        <v>2477</v>
      </c>
      <c r="T288" s="12" t="s">
        <v>2639</v>
      </c>
      <c r="U288" s="13">
        <v>2</v>
      </c>
      <c r="V288" s="13" t="s">
        <v>1342</v>
      </c>
      <c r="W288" s="13" t="s">
        <v>1593</v>
      </c>
      <c r="X288" s="12" t="str">
        <f>VLOOKUP($D288,global_toc!$C:$K,7,FALSE)</f>
        <v>79AUG03XX</v>
      </c>
      <c r="Y288" s="12" t="str">
        <f>VLOOKUP($D288,global_toc!$C:$K,8,FALSE)</f>
        <v>11OCT17XA</v>
      </c>
      <c r="Z288" s="12">
        <f>VLOOKUP($D288,global_toc!$C:$K,9,FALSE)</f>
        <v>5029</v>
      </c>
      <c r="AA288" s="19" t="str">
        <f t="shared" si="13"/>
        <v>IAU2000A Nut. - Dpsi  Deps  Rates</v>
      </c>
    </row>
    <row r="289" spans="1:27" x14ac:dyDescent="0.2">
      <c r="A289" s="12">
        <v>109</v>
      </c>
      <c r="B289" s="12">
        <v>2</v>
      </c>
      <c r="C289" s="12" t="str">
        <f t="shared" si="14"/>
        <v>NutationEQX</v>
      </c>
      <c r="D289" s="14" t="s">
        <v>823</v>
      </c>
      <c r="E289" s="12">
        <v>2</v>
      </c>
      <c r="F289" s="12">
        <v>2</v>
      </c>
      <c r="G289" s="12">
        <v>1</v>
      </c>
      <c r="H289" s="12" t="s">
        <v>447</v>
      </c>
      <c r="I289" s="12">
        <v>5</v>
      </c>
      <c r="J289" s="12" t="s">
        <v>1699</v>
      </c>
      <c r="K289" s="12" t="s">
        <v>1351</v>
      </c>
      <c r="L289" s="23" t="s">
        <v>1342</v>
      </c>
      <c r="M289" s="13" t="s">
        <v>1464</v>
      </c>
      <c r="N289" s="13" t="s">
        <v>1490</v>
      </c>
      <c r="O289" s="12" t="s">
        <v>1351</v>
      </c>
      <c r="P289" s="12" t="s">
        <v>2500</v>
      </c>
      <c r="Q289" s="12" t="s">
        <v>1247</v>
      </c>
      <c r="R289" s="13" t="s">
        <v>2619</v>
      </c>
      <c r="S289" s="13" t="s">
        <v>2477</v>
      </c>
      <c r="T289" s="23" t="s">
        <v>1342</v>
      </c>
      <c r="U289" s="13">
        <v>2</v>
      </c>
      <c r="V289" s="13" t="s">
        <v>1342</v>
      </c>
      <c r="W289" s="13" t="s">
        <v>1619</v>
      </c>
      <c r="X289" s="12" t="str">
        <f>VLOOKUP($D289,global_toc!$C:$K,7,FALSE)</f>
        <v>79AUG03XX</v>
      </c>
      <c r="Y289" s="12" t="str">
        <f>VLOOKUP($D289,global_toc!$C:$K,8,FALSE)</f>
        <v>11OCT17XA</v>
      </c>
      <c r="Z289" s="12">
        <f>VLOOKUP($D289,global_toc!$C:$K,9,FALSE)</f>
        <v>5029</v>
      </c>
      <c r="AA289" s="19" t="str">
        <f t="shared" si="13"/>
        <v>Wahr nut vals  - Dpsi Deps&amp;rates</v>
      </c>
    </row>
    <row r="290" spans="1:27" x14ac:dyDescent="0.2">
      <c r="A290" s="12">
        <v>108</v>
      </c>
      <c r="B290" s="12">
        <v>2</v>
      </c>
      <c r="C290" s="12" t="str">
        <f t="shared" si="14"/>
        <v>NutationNRO</v>
      </c>
      <c r="D290" s="14" t="s">
        <v>928</v>
      </c>
      <c r="E290" s="12">
        <v>3</v>
      </c>
      <c r="F290" s="12">
        <v>2</v>
      </c>
      <c r="G290" s="12">
        <v>1</v>
      </c>
      <c r="H290" s="12" t="s">
        <v>447</v>
      </c>
      <c r="I290" s="12">
        <v>5</v>
      </c>
      <c r="J290" s="12" t="s">
        <v>1698</v>
      </c>
      <c r="K290" s="12" t="s">
        <v>1351</v>
      </c>
      <c r="L290" s="23" t="s">
        <v>1342</v>
      </c>
      <c r="M290" s="13" t="s">
        <v>1464</v>
      </c>
      <c r="N290" s="13" t="s">
        <v>1490</v>
      </c>
      <c r="O290" s="12" t="s">
        <v>1351</v>
      </c>
      <c r="P290" s="12" t="s">
        <v>2501</v>
      </c>
      <c r="Q290" s="12" t="s">
        <v>1247</v>
      </c>
      <c r="R290" s="13" t="s">
        <v>2620</v>
      </c>
      <c r="S290" s="13" t="s">
        <v>2486</v>
      </c>
      <c r="T290" s="23" t="s">
        <v>1342</v>
      </c>
      <c r="U290" s="13">
        <v>2</v>
      </c>
      <c r="V290" s="13" t="s">
        <v>1342</v>
      </c>
      <c r="W290" s="13" t="s">
        <v>1595</v>
      </c>
      <c r="X290" s="12" t="str">
        <f>VLOOKUP($D290,global_toc!$C:$K,7,FALSE)</f>
        <v>79AUG03XX</v>
      </c>
      <c r="Y290" s="12" t="str">
        <f>VLOOKUP($D290,global_toc!$C:$K,8,FALSE)</f>
        <v>11OCT17XA</v>
      </c>
      <c r="Z290" s="12">
        <f>VLOOKUP($D290,global_toc!$C:$K,9,FALSE)</f>
        <v>5029</v>
      </c>
      <c r="AA290" s="19" t="str">
        <f t="shared" si="13"/>
        <v>CIP Coordinates X Y S  and Rates</v>
      </c>
    </row>
    <row r="291" spans="1:27" x14ac:dyDescent="0.2">
      <c r="A291" s="12">
        <v>107</v>
      </c>
      <c r="B291" s="12">
        <v>2</v>
      </c>
      <c r="C291" s="12" t="str">
        <f t="shared" si="14"/>
        <v>NutationNRO</v>
      </c>
      <c r="D291" s="12" t="s">
        <v>2464</v>
      </c>
      <c r="E291" s="12">
        <v>3</v>
      </c>
      <c r="F291" s="12">
        <v>2</v>
      </c>
      <c r="G291" s="12">
        <v>1</v>
      </c>
      <c r="H291" s="12" t="s">
        <v>447</v>
      </c>
      <c r="I291" s="12">
        <v>5</v>
      </c>
      <c r="J291" s="12" t="s">
        <v>2465</v>
      </c>
      <c r="K291" s="12" t="s">
        <v>1351</v>
      </c>
      <c r="L291" s="23" t="s">
        <v>1342</v>
      </c>
      <c r="M291" s="13" t="s">
        <v>1464</v>
      </c>
      <c r="N291" s="13" t="s">
        <v>1490</v>
      </c>
      <c r="O291" s="12" t="s">
        <v>1351</v>
      </c>
      <c r="P291" s="12" t="s">
        <v>2502</v>
      </c>
      <c r="Q291" s="12" t="s">
        <v>1247</v>
      </c>
      <c r="R291" s="13" t="s">
        <v>2620</v>
      </c>
      <c r="S291" s="13" t="s">
        <v>2486</v>
      </c>
      <c r="T291" s="23" t="s">
        <v>1342</v>
      </c>
      <c r="U291" s="13">
        <v>2</v>
      </c>
      <c r="V291" s="13" t="s">
        <v>1342</v>
      </c>
      <c r="W291" s="13" t="s">
        <v>1593</v>
      </c>
      <c r="X291" s="12" t="e">
        <f>VLOOKUP($D291,global_toc!$C:$K,7,FALSE)</f>
        <v>#N/A</v>
      </c>
      <c r="Y291" s="12" t="e">
        <f>VLOOKUP($D291,global_toc!$C:$K,8,FALSE)</f>
        <v>#N/A</v>
      </c>
      <c r="Z291" s="12" t="e">
        <f>VLOOKUP($D291,global_toc!$C:$K,9,FALSE)</f>
        <v>#N/A</v>
      </c>
      <c r="AA291" s="19" t="str">
        <f t="shared" si="13"/>
        <v>2000/2006 Nut/Prec X,Y, S &amp; Rates</v>
      </c>
    </row>
    <row r="292" spans="1:27" ht="25.5" x14ac:dyDescent="0.2">
      <c r="A292" s="12">
        <v>110</v>
      </c>
      <c r="B292" s="12">
        <v>2</v>
      </c>
      <c r="C292" s="12" t="str">
        <f t="shared" si="14"/>
        <v>Rot-CF2J2K</v>
      </c>
      <c r="D292" s="14" t="s">
        <v>940</v>
      </c>
      <c r="E292" s="12">
        <v>3</v>
      </c>
      <c r="F292" s="12">
        <v>3</v>
      </c>
      <c r="G292" s="12">
        <v>3</v>
      </c>
      <c r="H292" s="12" t="s">
        <v>447</v>
      </c>
      <c r="I292" s="12">
        <v>5</v>
      </c>
      <c r="J292" s="12" t="s">
        <v>941</v>
      </c>
      <c r="K292" s="12" t="s">
        <v>1351</v>
      </c>
      <c r="L292" s="23" t="s">
        <v>1342</v>
      </c>
      <c r="M292" s="13" t="s">
        <v>1464</v>
      </c>
      <c r="N292" s="13" t="s">
        <v>1342</v>
      </c>
      <c r="O292" s="12" t="s">
        <v>1351</v>
      </c>
      <c r="P292" s="12" t="s">
        <v>2596</v>
      </c>
      <c r="Q292" s="12" t="s">
        <v>1342</v>
      </c>
      <c r="R292" s="13" t="s">
        <v>2596</v>
      </c>
      <c r="S292" s="13" t="s">
        <v>1342</v>
      </c>
      <c r="T292" s="23" t="s">
        <v>1574</v>
      </c>
      <c r="U292" s="13">
        <v>3</v>
      </c>
      <c r="V292" s="13" t="s">
        <v>1342</v>
      </c>
      <c r="W292" s="13" t="s">
        <v>1595</v>
      </c>
      <c r="X292" s="12" t="str">
        <f>VLOOKUP($D292,global_toc!$C:$K,7,FALSE)</f>
        <v>79AUG03XX</v>
      </c>
      <c r="Y292" s="12" t="str">
        <f>VLOOKUP($D292,global_toc!$C:$K,8,FALSE)</f>
        <v>11OCT17XA</v>
      </c>
      <c r="Z292" s="12">
        <f>VLOOKUP($D292,global_toc!$C:$K,9,FALSE)</f>
        <v>5029</v>
      </c>
      <c r="AA292" s="19" t="str">
        <f t="shared" si="13"/>
        <v>Crust-fixed to J2000 Rot. Matrix and deriviatives</v>
      </c>
    </row>
    <row r="293" spans="1:27" x14ac:dyDescent="0.2">
      <c r="A293" s="12">
        <v>111</v>
      </c>
      <c r="B293" s="12">
        <v>2</v>
      </c>
      <c r="C293" s="12" t="str">
        <f t="shared" si="14"/>
        <v>ScanName</v>
      </c>
      <c r="D293" s="14" t="s">
        <v>980</v>
      </c>
      <c r="E293" s="12">
        <v>5</v>
      </c>
      <c r="F293" s="12">
        <v>1</v>
      </c>
      <c r="G293" s="12">
        <v>1</v>
      </c>
      <c r="H293" s="12" t="s">
        <v>589</v>
      </c>
      <c r="I293" s="12">
        <v>1</v>
      </c>
      <c r="J293" s="12" t="s">
        <v>2385</v>
      </c>
      <c r="K293" s="12" t="s">
        <v>1351</v>
      </c>
      <c r="L293" s="23" t="s">
        <v>1342</v>
      </c>
      <c r="M293" s="13" t="s">
        <v>1504</v>
      </c>
      <c r="N293" s="13" t="s">
        <v>1490</v>
      </c>
      <c r="O293" s="12" t="s">
        <v>1351</v>
      </c>
      <c r="P293" s="12" t="s">
        <v>1487</v>
      </c>
      <c r="Q293" s="12" t="s">
        <v>1342</v>
      </c>
      <c r="R293" s="13" t="s">
        <v>1487</v>
      </c>
      <c r="S293" s="13" t="s">
        <v>1342</v>
      </c>
      <c r="T293" s="23" t="s">
        <v>2077</v>
      </c>
      <c r="U293" s="13" t="s">
        <v>1342</v>
      </c>
      <c r="V293" s="13" t="s">
        <v>1342</v>
      </c>
      <c r="W293" s="13" t="s">
        <v>1342</v>
      </c>
      <c r="X293" s="12" t="str">
        <f>VLOOKUP($D293,global_toc!$C:$K,7,FALSE)</f>
        <v>97DEC03XN</v>
      </c>
      <c r="Y293" s="12" t="str">
        <f>VLOOKUP($D293,global_toc!$C:$K,8,FALSE)</f>
        <v>11OCT17XA</v>
      </c>
      <c r="Z293" s="12">
        <f>VLOOKUP($D293,global_toc!$C:$K,9,FALSE)</f>
        <v>1752</v>
      </c>
      <c r="AA293" s="19" t="str">
        <f t="shared" si="13"/>
        <v>Scanname in database</v>
      </c>
    </row>
    <row r="294" spans="1:27" ht="25.5" x14ac:dyDescent="0.2">
      <c r="A294" s="12">
        <v>112</v>
      </c>
      <c r="B294" s="12" t="s">
        <v>1655</v>
      </c>
      <c r="C294" s="12" t="str">
        <f t="shared" si="14"/>
        <v>ScanNameFull</v>
      </c>
      <c r="D294" s="12" t="s">
        <v>1924</v>
      </c>
      <c r="E294" s="12">
        <v>15</v>
      </c>
      <c r="F294" s="12">
        <v>1</v>
      </c>
      <c r="G294" s="12">
        <v>1</v>
      </c>
      <c r="H294" s="12" t="s">
        <v>589</v>
      </c>
      <c r="I294" s="12" t="s">
        <v>1655</v>
      </c>
      <c r="J294" s="12" t="s">
        <v>1342</v>
      </c>
      <c r="K294" s="12" t="s">
        <v>1351</v>
      </c>
      <c r="L294" s="23" t="s">
        <v>2070</v>
      </c>
      <c r="M294" s="13" t="s">
        <v>1655</v>
      </c>
      <c r="N294" s="13" t="s">
        <v>1490</v>
      </c>
      <c r="O294" s="12" t="s">
        <v>1351</v>
      </c>
      <c r="P294" s="12" t="s">
        <v>1487</v>
      </c>
      <c r="Q294" s="12" t="s">
        <v>1342</v>
      </c>
      <c r="R294" s="13" t="s">
        <v>1342</v>
      </c>
      <c r="S294" s="13" t="s">
        <v>1342</v>
      </c>
      <c r="T294" s="23" t="s">
        <v>1923</v>
      </c>
      <c r="U294" s="13"/>
      <c r="V294" s="13"/>
      <c r="W294" s="13"/>
      <c r="X294" s="12" t="e">
        <f>VLOOKUP($D294,global_toc!$C:$K,7,FALSE)</f>
        <v>#N/A</v>
      </c>
      <c r="Y294" s="12" t="e">
        <f>VLOOKUP($D294,global_toc!$C:$K,8,FALSE)</f>
        <v>#N/A</v>
      </c>
      <c r="Z294" s="12" t="e">
        <f>VLOOKUP($D294,global_toc!$C:$K,9,FALSE)</f>
        <v>#N/A</v>
      </c>
      <c r="AA294" s="19" t="str">
        <f t="shared" si="13"/>
        <v>ScanName=UTC TimeTag + SourceName</v>
      </c>
    </row>
    <row r="295" spans="1:27" x14ac:dyDescent="0.2">
      <c r="A295" s="12">
        <v>113</v>
      </c>
      <c r="B295" s="12" t="s">
        <v>1655</v>
      </c>
      <c r="C295" s="12" t="str">
        <f t="shared" si="14"/>
        <v>Second</v>
      </c>
      <c r="D295" s="12" t="s">
        <v>1939</v>
      </c>
      <c r="E295" s="12">
        <v>1</v>
      </c>
      <c r="F295" s="12">
        <v>1</v>
      </c>
      <c r="G295" s="12">
        <v>1</v>
      </c>
      <c r="H295" s="12" t="s">
        <v>447</v>
      </c>
      <c r="I295" s="12" t="s">
        <v>1655</v>
      </c>
      <c r="J295" s="12" t="s">
        <v>1342</v>
      </c>
      <c r="K295" s="12" t="s">
        <v>1351</v>
      </c>
      <c r="L295" s="23" t="s">
        <v>2070</v>
      </c>
      <c r="M295" s="13" t="s">
        <v>1655</v>
      </c>
      <c r="N295" s="13" t="s">
        <v>1490</v>
      </c>
      <c r="O295" s="12" t="s">
        <v>1351</v>
      </c>
      <c r="P295" s="12" t="s">
        <v>2069</v>
      </c>
      <c r="Q295" s="12" t="s">
        <v>1342</v>
      </c>
      <c r="R295" s="13" t="s">
        <v>1840</v>
      </c>
      <c r="S295" s="13" t="s">
        <v>1342</v>
      </c>
      <c r="T295" s="23" t="s">
        <v>1920</v>
      </c>
      <c r="U295" s="13" t="s">
        <v>1342</v>
      </c>
      <c r="V295" s="13" t="s">
        <v>1467</v>
      </c>
      <c r="W295" s="13" t="s">
        <v>1342</v>
      </c>
      <c r="X295" s="12" t="e">
        <f>VLOOKUP($D295,global_toc!$C:$K,7,FALSE)</f>
        <v>#N/A</v>
      </c>
      <c r="Y295" s="12" t="e">
        <f>VLOOKUP($D295,global_toc!$C:$K,8,FALSE)</f>
        <v>#N/A</v>
      </c>
      <c r="Z295" s="12" t="e">
        <f>VLOOKUP($D295,global_toc!$C:$K,9,FALSE)</f>
        <v>#N/A</v>
      </c>
      <c r="AA295" s="19" t="str">
        <f t="shared" si="13"/>
        <v>Seconds part of time tag for scan</v>
      </c>
    </row>
    <row r="296" spans="1:27" x14ac:dyDescent="0.2">
      <c r="A296" s="12">
        <v>114</v>
      </c>
      <c r="B296" s="12" t="s">
        <v>1655</v>
      </c>
      <c r="C296" s="12" t="str">
        <f t="shared" si="14"/>
        <v>YMDHM</v>
      </c>
      <c r="D296" s="12" t="s">
        <v>1925</v>
      </c>
      <c r="E296" s="12">
        <v>5</v>
      </c>
      <c r="F296" s="12">
        <v>1</v>
      </c>
      <c r="G296" s="12">
        <v>1</v>
      </c>
      <c r="H296" s="12" t="s">
        <v>544</v>
      </c>
      <c r="I296" s="12" t="s">
        <v>1655</v>
      </c>
      <c r="J296" s="12" t="s">
        <v>1342</v>
      </c>
      <c r="K296" s="12" t="s">
        <v>1351</v>
      </c>
      <c r="L296" s="23" t="s">
        <v>2070</v>
      </c>
      <c r="M296" s="13" t="s">
        <v>1655</v>
      </c>
      <c r="N296" s="13" t="s">
        <v>1490</v>
      </c>
      <c r="O296" s="12" t="s">
        <v>1351</v>
      </c>
      <c r="P296" s="12" t="s">
        <v>2069</v>
      </c>
      <c r="Q296" s="12" t="s">
        <v>1342</v>
      </c>
      <c r="R296" s="13" t="s">
        <v>1839</v>
      </c>
      <c r="S296" s="13" t="s">
        <v>1342</v>
      </c>
      <c r="T296" s="23" t="s">
        <v>1919</v>
      </c>
      <c r="U296" s="13" t="s">
        <v>1342</v>
      </c>
      <c r="V296" s="13" t="s">
        <v>1839</v>
      </c>
      <c r="W296" s="13" t="s">
        <v>1342</v>
      </c>
      <c r="X296" s="12" t="e">
        <f>VLOOKUP($D296,global_toc!$C:$K,7,FALSE)</f>
        <v>#N/A</v>
      </c>
      <c r="Y296" s="12" t="e">
        <f>VLOOKUP($D296,global_toc!$C:$K,8,FALSE)</f>
        <v>#N/A</v>
      </c>
      <c r="Z296" s="12" t="e">
        <f>VLOOKUP($D296,global_toc!$C:$K,9,FALSE)</f>
        <v>#N/A</v>
      </c>
      <c r="AA296" s="19" t="str">
        <f t="shared" si="13"/>
        <v>YMDHM time tag of scan</v>
      </c>
    </row>
    <row r="297" spans="1:27" ht="38.25" x14ac:dyDescent="0.2">
      <c r="A297" s="12">
        <v>215</v>
      </c>
      <c r="B297" s="12">
        <v>1</v>
      </c>
      <c r="C297" s="12" t="str">
        <f t="shared" si="14"/>
        <v>BRK_NUMB</v>
      </c>
      <c r="D297" s="14" t="s">
        <v>568</v>
      </c>
      <c r="E297" s="12">
        <v>1</v>
      </c>
      <c r="F297" s="12">
        <v>1</v>
      </c>
      <c r="G297" s="12">
        <v>1</v>
      </c>
      <c r="H297" s="12" t="s">
        <v>544</v>
      </c>
      <c r="I297" s="12">
        <v>4</v>
      </c>
      <c r="J297" s="12" t="s">
        <v>569</v>
      </c>
      <c r="K297" s="12" t="s">
        <v>1340</v>
      </c>
      <c r="L297" s="23" t="s">
        <v>1858</v>
      </c>
      <c r="M297" s="13" t="s">
        <v>1464</v>
      </c>
      <c r="N297" s="13" t="s">
        <v>1477</v>
      </c>
      <c r="O297" s="12" t="s">
        <v>1340</v>
      </c>
      <c r="P297" s="12" t="s">
        <v>1861</v>
      </c>
      <c r="Q297" s="12" t="s">
        <v>1342</v>
      </c>
      <c r="R297" s="13" t="s">
        <v>1342</v>
      </c>
      <c r="S297" s="13" t="s">
        <v>1342</v>
      </c>
      <c r="T297" s="23" t="s">
        <v>1342</v>
      </c>
      <c r="U297" s="13" t="s">
        <v>1342</v>
      </c>
      <c r="V297" s="13" t="s">
        <v>1342</v>
      </c>
      <c r="W297" s="13" t="s">
        <v>1342</v>
      </c>
      <c r="X297" s="12" t="str">
        <f>VLOOKUP($D297,global_toc!$C:$K,7,FALSE)</f>
        <v>79AUG03XX</v>
      </c>
      <c r="Y297" s="12" t="str">
        <f>VLOOKUP($D297,global_toc!$C:$K,8,FALSE)</f>
        <v>11OCT17XA</v>
      </c>
      <c r="Z297" s="12">
        <f>VLOOKUP($D297,global_toc!$C:$K,9,FALSE)</f>
        <v>562</v>
      </c>
      <c r="AA297" s="19" t="str">
        <f t="shared" si="13"/>
        <v>Number of batchmode clock breaks</v>
      </c>
    </row>
    <row r="298" spans="1:27" ht="38.25" x14ac:dyDescent="0.2">
      <c r="A298" s="12">
        <v>219</v>
      </c>
      <c r="B298" s="12">
        <v>1</v>
      </c>
      <c r="C298" s="12" t="str">
        <f t="shared" si="14"/>
        <v>CLKBREAK</v>
      </c>
      <c r="D298" s="14" t="s">
        <v>700</v>
      </c>
      <c r="E298" s="12">
        <v>1</v>
      </c>
      <c r="F298" s="12">
        <v>1</v>
      </c>
      <c r="G298" s="12">
        <v>1</v>
      </c>
      <c r="H298" s="12" t="s">
        <v>589</v>
      </c>
      <c r="I298" s="12">
        <v>4</v>
      </c>
      <c r="J298" s="12" t="s">
        <v>701</v>
      </c>
      <c r="K298" s="12" t="s">
        <v>1340</v>
      </c>
      <c r="L298" s="23" t="s">
        <v>1858</v>
      </c>
      <c r="M298" s="13" t="s">
        <v>1464</v>
      </c>
      <c r="N298" s="13" t="s">
        <v>1490</v>
      </c>
      <c r="O298" s="12" t="s">
        <v>1340</v>
      </c>
      <c r="P298" s="12" t="s">
        <v>1861</v>
      </c>
      <c r="Q298" s="12" t="s">
        <v>1342</v>
      </c>
      <c r="R298" s="13" t="s">
        <v>1342</v>
      </c>
      <c r="S298" s="13" t="s">
        <v>1342</v>
      </c>
      <c r="T298" s="23" t="s">
        <v>1342</v>
      </c>
      <c r="U298" s="13" t="s">
        <v>1342</v>
      </c>
      <c r="V298" s="13" t="s">
        <v>1342</v>
      </c>
      <c r="W298" s="13" t="s">
        <v>1342</v>
      </c>
      <c r="X298" s="12" t="str">
        <f>VLOOKUP($D298,global_toc!$C:$K,7,FALSE)</f>
        <v>79AUG03XX</v>
      </c>
      <c r="Y298" s="12" t="str">
        <f>VLOOKUP($D298,global_toc!$C:$K,8,FALSE)</f>
        <v>11OCT17XA</v>
      </c>
      <c r="Z298" s="12">
        <f>VLOOKUP($D298,global_toc!$C:$K,9,FALSE)</f>
        <v>5029</v>
      </c>
      <c r="AA298" s="19" t="str">
        <f t="shared" si="13"/>
        <v>Status of clock break existence</v>
      </c>
    </row>
    <row r="299" spans="1:27" ht="38.25" x14ac:dyDescent="0.2">
      <c r="A299" s="12">
        <v>213</v>
      </c>
      <c r="B299" s="12">
        <v>1</v>
      </c>
      <c r="C299" s="12" t="str">
        <f t="shared" si="14"/>
        <v>ClockBreakEpoch</v>
      </c>
      <c r="D299" s="14" t="s">
        <v>533</v>
      </c>
      <c r="E299" s="12">
        <v>1</v>
      </c>
      <c r="F299" s="12">
        <v>1</v>
      </c>
      <c r="G299" s="12">
        <v>1</v>
      </c>
      <c r="H299" s="12" t="s">
        <v>447</v>
      </c>
      <c r="I299" s="12">
        <v>4</v>
      </c>
      <c r="J299" s="12" t="s">
        <v>534</v>
      </c>
      <c r="K299" s="12" t="s">
        <v>1340</v>
      </c>
      <c r="L299" s="23" t="s">
        <v>1858</v>
      </c>
      <c r="M299" s="13" t="s">
        <v>1464</v>
      </c>
      <c r="N299" s="13" t="s">
        <v>1477</v>
      </c>
      <c r="O299" s="12" t="s">
        <v>1340</v>
      </c>
      <c r="P299" s="12" t="s">
        <v>1861</v>
      </c>
      <c r="Q299" s="12" t="s">
        <v>1342</v>
      </c>
      <c r="R299" s="13" t="s">
        <v>1881</v>
      </c>
      <c r="S299" s="13" t="s">
        <v>1342</v>
      </c>
      <c r="T299" s="23" t="s">
        <v>1342</v>
      </c>
      <c r="U299" s="13" t="s">
        <v>1342</v>
      </c>
      <c r="V299" s="13" t="s">
        <v>1342</v>
      </c>
      <c r="W299" s="13" t="s">
        <v>1342</v>
      </c>
      <c r="X299" s="12" t="str">
        <f>VLOOKUP($D299,global_toc!$C:$K,7,FALSE)</f>
        <v>79AUG03XX</v>
      </c>
      <c r="Y299" s="12" t="str">
        <f>VLOOKUP($D299,global_toc!$C:$K,8,FALSE)</f>
        <v>11OCT17XA</v>
      </c>
      <c r="Z299" s="12">
        <f>VLOOKUP($D299,global_toc!$C:$K,9,FALSE)</f>
        <v>563</v>
      </c>
      <c r="AA299" s="19" t="str">
        <f t="shared" si="13"/>
        <v>Batchmode clock break epochs</v>
      </c>
    </row>
    <row r="300" spans="1:27" ht="38.25" x14ac:dyDescent="0.2">
      <c r="A300" s="12">
        <v>214</v>
      </c>
      <c r="B300" s="12">
        <v>1</v>
      </c>
      <c r="C300" s="12" t="str">
        <f t="shared" si="14"/>
        <v>ClockBreakFlag</v>
      </c>
      <c r="D300" s="14" t="s">
        <v>570</v>
      </c>
      <c r="E300" s="12">
        <v>1</v>
      </c>
      <c r="F300" s="12">
        <v>1</v>
      </c>
      <c r="G300" s="12">
        <v>1</v>
      </c>
      <c r="H300" s="12" t="s">
        <v>544</v>
      </c>
      <c r="I300" s="12">
        <v>4</v>
      </c>
      <c r="J300" s="12" t="s">
        <v>571</v>
      </c>
      <c r="K300" s="12" t="s">
        <v>1340</v>
      </c>
      <c r="L300" s="23" t="s">
        <v>1858</v>
      </c>
      <c r="M300" s="13" t="s">
        <v>1464</v>
      </c>
      <c r="N300" s="13" t="s">
        <v>1477</v>
      </c>
      <c r="O300" s="12" t="s">
        <v>1340</v>
      </c>
      <c r="P300" s="12" t="s">
        <v>1861</v>
      </c>
      <c r="Q300" s="12" t="s">
        <v>1342</v>
      </c>
      <c r="R300" s="13" t="s">
        <v>1892</v>
      </c>
      <c r="S300" s="13" t="s">
        <v>1342</v>
      </c>
      <c r="T300" s="23" t="s">
        <v>1342</v>
      </c>
      <c r="U300" s="13" t="s">
        <v>1342</v>
      </c>
      <c r="V300" s="13" t="s">
        <v>1342</v>
      </c>
      <c r="W300" s="13" t="s">
        <v>1342</v>
      </c>
      <c r="X300" s="12" t="str">
        <f>VLOOKUP($D300,global_toc!$C:$K,7,FALSE)</f>
        <v>79AUG03XX</v>
      </c>
      <c r="Y300" s="12" t="str">
        <f>VLOOKUP($D300,global_toc!$C:$K,8,FALSE)</f>
        <v>11OCT17XA</v>
      </c>
      <c r="Z300" s="12">
        <f>VLOOKUP($D300,global_toc!$C:$K,9,FALSE)</f>
        <v>562</v>
      </c>
      <c r="AA300" s="19" t="str">
        <f t="shared" si="13"/>
        <v>Batchmode clock break flags</v>
      </c>
    </row>
    <row r="301" spans="1:27" x14ac:dyDescent="0.2">
      <c r="A301" s="12">
        <v>218</v>
      </c>
      <c r="B301" s="12">
        <v>1</v>
      </c>
      <c r="C301" s="12" t="str">
        <f t="shared" si="14"/>
        <v>ClockBreakStationList</v>
      </c>
      <c r="D301" s="12" t="s">
        <v>1213</v>
      </c>
      <c r="E301" s="12">
        <v>6</v>
      </c>
      <c r="F301" s="12">
        <v>1</v>
      </c>
      <c r="G301" s="12">
        <v>1</v>
      </c>
      <c r="H301" s="12" t="s">
        <v>544</v>
      </c>
      <c r="I301" s="12">
        <v>2</v>
      </c>
      <c r="J301" s="12" t="s">
        <v>713</v>
      </c>
      <c r="K301" s="12" t="s">
        <v>1340</v>
      </c>
      <c r="L301" s="23" t="s">
        <v>1342</v>
      </c>
      <c r="M301" s="13" t="s">
        <v>1464</v>
      </c>
      <c r="N301" s="13" t="s">
        <v>1477</v>
      </c>
      <c r="O301" s="12" t="s">
        <v>1340</v>
      </c>
      <c r="P301" s="12" t="s">
        <v>1861</v>
      </c>
      <c r="Q301" s="12" t="s">
        <v>1342</v>
      </c>
      <c r="R301" s="13" t="s">
        <v>2594</v>
      </c>
      <c r="S301" s="13" t="s">
        <v>1342</v>
      </c>
      <c r="T301" s="23" t="s">
        <v>1342</v>
      </c>
      <c r="U301" s="13" t="s">
        <v>1342</v>
      </c>
      <c r="V301" s="13" t="s">
        <v>1342</v>
      </c>
      <c r="W301" s="13" t="s">
        <v>1342</v>
      </c>
      <c r="X301" s="12" t="str">
        <f>VLOOKUP($D301,global_toc!$C:$K,7,FALSE)</f>
        <v>80OCT16X_</v>
      </c>
      <c r="Y301" s="12" t="str">
        <f>VLOOKUP($D301,global_toc!$C:$K,8,FALSE)</f>
        <v>95MAR07XE</v>
      </c>
      <c r="Z301" s="12">
        <f>VLOOKUP($D301,global_toc!$C:$K,9,FALSE)</f>
        <v>93</v>
      </c>
      <c r="AA301" s="19" t="str">
        <f t="shared" si="13"/>
        <v>Batchmode clock break stations</v>
      </c>
    </row>
    <row r="302" spans="1:27" x14ac:dyDescent="0.2">
      <c r="A302" s="12">
        <v>217</v>
      </c>
      <c r="B302" s="12">
        <v>1</v>
      </c>
      <c r="C302" s="12" t="str">
        <f t="shared" si="14"/>
        <v>ClockBreakStationList</v>
      </c>
      <c r="D302" s="14" t="s">
        <v>712</v>
      </c>
      <c r="E302" s="12">
        <v>4</v>
      </c>
      <c r="F302" s="12">
        <v>1</v>
      </c>
      <c r="G302" s="12">
        <v>1</v>
      </c>
      <c r="H302" s="12" t="s">
        <v>589</v>
      </c>
      <c r="I302" s="12">
        <v>4</v>
      </c>
      <c r="J302" s="12" t="s">
        <v>713</v>
      </c>
      <c r="K302" s="12" t="s">
        <v>1340</v>
      </c>
      <c r="L302" s="23" t="s">
        <v>1342</v>
      </c>
      <c r="M302" s="13" t="s">
        <v>1464</v>
      </c>
      <c r="N302" s="13" t="s">
        <v>1477</v>
      </c>
      <c r="O302" s="12" t="s">
        <v>1340</v>
      </c>
      <c r="P302" s="12" t="s">
        <v>1861</v>
      </c>
      <c r="Q302" s="12" t="s">
        <v>1342</v>
      </c>
      <c r="R302" s="13" t="s">
        <v>2594</v>
      </c>
      <c r="S302" s="13" t="s">
        <v>1342</v>
      </c>
      <c r="T302" s="23" t="s">
        <v>1342</v>
      </c>
      <c r="U302" s="13" t="s">
        <v>1342</v>
      </c>
      <c r="V302" s="13" t="s">
        <v>1342</v>
      </c>
      <c r="W302" s="13" t="s">
        <v>1342</v>
      </c>
      <c r="X302" s="12" t="str">
        <f>VLOOKUP($D302,global_toc!$C:$K,7,FALSE)</f>
        <v>79AUG03XX</v>
      </c>
      <c r="Y302" s="12" t="str">
        <f>VLOOKUP($D302,global_toc!$C:$K,8,FALSE)</f>
        <v>11OCT17XA</v>
      </c>
      <c r="Z302" s="12">
        <f>VLOOKUP($D302,global_toc!$C:$K,9,FALSE)</f>
        <v>469</v>
      </c>
      <c r="AA302" s="19" t="str">
        <f t="shared" si="13"/>
        <v>Batchmode clock break stations</v>
      </c>
    </row>
    <row r="303" spans="1:27" ht="38.25" x14ac:dyDescent="0.2">
      <c r="A303" s="12">
        <v>216</v>
      </c>
      <c r="B303" s="12">
        <v>1</v>
      </c>
      <c r="C303" s="12" t="str">
        <f t="shared" si="14"/>
        <v>ClockBreakStationList</v>
      </c>
      <c r="D303" s="12" t="s">
        <v>15</v>
      </c>
      <c r="E303" s="12">
        <v>4</v>
      </c>
      <c r="F303" s="12">
        <v>2</v>
      </c>
      <c r="G303" s="12">
        <v>1</v>
      </c>
      <c r="H303" s="12" t="s">
        <v>589</v>
      </c>
      <c r="I303" s="12">
        <v>3</v>
      </c>
      <c r="J303" s="12" t="s">
        <v>16</v>
      </c>
      <c r="K303" s="12" t="s">
        <v>1340</v>
      </c>
      <c r="L303" s="23" t="s">
        <v>1858</v>
      </c>
      <c r="M303" s="13" t="s">
        <v>1464</v>
      </c>
      <c r="N303" s="13" t="s">
        <v>1477</v>
      </c>
      <c r="O303" s="12" t="s">
        <v>1340</v>
      </c>
      <c r="P303" s="12" t="s">
        <v>1861</v>
      </c>
      <c r="Q303" s="12" t="s">
        <v>1342</v>
      </c>
      <c r="R303" s="13" t="s">
        <v>2594</v>
      </c>
      <c r="S303" s="13" t="s">
        <v>1342</v>
      </c>
      <c r="T303" s="23" t="s">
        <v>1342</v>
      </c>
      <c r="U303" s="13" t="s">
        <v>1342</v>
      </c>
      <c r="V303" s="13" t="s">
        <v>1342</v>
      </c>
      <c r="W303" s="13" t="s">
        <v>1342</v>
      </c>
      <c r="X303" s="12" t="str">
        <f>VLOOKUP($D303,global_toc!$C:$K,7,FALSE)</f>
        <v>80APR11XQ</v>
      </c>
      <c r="Y303" s="12" t="str">
        <f>VLOOKUP($D303,global_toc!$C:$K,8,FALSE)</f>
        <v>95MAR07XE</v>
      </c>
      <c r="Z303" s="12">
        <f>VLOOKUP($D303,global_toc!$C:$K,9,FALSE)</f>
        <v>432</v>
      </c>
      <c r="AA303" s="19" t="str">
        <f t="shared" si="13"/>
        <v>Sites with real clock breaks</v>
      </c>
    </row>
    <row r="304" spans="1:27" x14ac:dyDescent="0.2">
      <c r="A304" s="12">
        <v>211</v>
      </c>
      <c r="B304" s="12">
        <v>1</v>
      </c>
      <c r="C304" s="12" t="str">
        <f t="shared" si="14"/>
        <v>GroupBLWeightStationList</v>
      </c>
      <c r="D304" s="14" t="s">
        <v>694</v>
      </c>
      <c r="E304" s="12">
        <v>4</v>
      </c>
      <c r="F304" s="12">
        <v>2</v>
      </c>
      <c r="G304" s="12">
        <v>55</v>
      </c>
      <c r="H304" s="12" t="s">
        <v>589</v>
      </c>
      <c r="I304" s="12">
        <v>4</v>
      </c>
      <c r="J304" s="12" t="s">
        <v>695</v>
      </c>
      <c r="K304" s="12" t="s">
        <v>1340</v>
      </c>
      <c r="L304" s="23" t="s">
        <v>1342</v>
      </c>
      <c r="M304" s="13" t="s">
        <v>1464</v>
      </c>
      <c r="N304" s="13" t="s">
        <v>1490</v>
      </c>
      <c r="O304" s="12" t="s">
        <v>1340</v>
      </c>
      <c r="P304" s="12" t="s">
        <v>1859</v>
      </c>
      <c r="Q304" s="12" t="s">
        <v>1342</v>
      </c>
      <c r="R304" s="13" t="s">
        <v>2595</v>
      </c>
      <c r="S304" s="13" t="s">
        <v>1342</v>
      </c>
      <c r="T304" s="23" t="s">
        <v>1342</v>
      </c>
      <c r="U304" s="13" t="s">
        <v>1342</v>
      </c>
      <c r="V304" s="13" t="s">
        <v>1342</v>
      </c>
      <c r="W304" s="13" t="s">
        <v>1342</v>
      </c>
      <c r="X304" s="12" t="str">
        <f>VLOOKUP($D304,global_toc!$C:$K,7,FALSE)</f>
        <v>79AUG03XX</v>
      </c>
      <c r="Y304" s="12" t="str">
        <f>VLOOKUP($D304,global_toc!$C:$K,8,FALSE)</f>
        <v>11OCT17XA</v>
      </c>
      <c r="Z304" s="12">
        <f>VLOOKUP($D304,global_toc!$C:$K,9,FALSE)</f>
        <v>5028</v>
      </c>
      <c r="AA304" s="19" t="str">
        <f t="shared" si="13"/>
        <v>B.L.names for formal errors</v>
      </c>
    </row>
    <row r="305" spans="1:28" ht="25.5" x14ac:dyDescent="0.2">
      <c r="A305" s="12">
        <v>212</v>
      </c>
      <c r="B305" s="12">
        <v>1</v>
      </c>
      <c r="C305" s="12" t="str">
        <f t="shared" si="14"/>
        <v>GroupBLWeights</v>
      </c>
      <c r="D305" s="14" t="s">
        <v>525</v>
      </c>
      <c r="E305" s="12">
        <v>2</v>
      </c>
      <c r="F305" s="12">
        <v>55</v>
      </c>
      <c r="G305" s="12">
        <v>1</v>
      </c>
      <c r="H305" s="12" t="s">
        <v>447</v>
      </c>
      <c r="I305" s="12">
        <v>4</v>
      </c>
      <c r="J305" s="12" t="s">
        <v>1342</v>
      </c>
      <c r="K305" s="12" t="s">
        <v>1340</v>
      </c>
      <c r="L305" s="23" t="s">
        <v>1342</v>
      </c>
      <c r="M305" s="13" t="s">
        <v>1464</v>
      </c>
      <c r="N305" s="13" t="s">
        <v>1490</v>
      </c>
      <c r="O305" s="12" t="s">
        <v>1340</v>
      </c>
      <c r="P305" s="12" t="s">
        <v>1859</v>
      </c>
      <c r="Q305" s="12" t="s">
        <v>1342</v>
      </c>
      <c r="R305" s="13" t="s">
        <v>1859</v>
      </c>
      <c r="S305" s="13" t="s">
        <v>1342</v>
      </c>
      <c r="T305" s="23" t="s">
        <v>2176</v>
      </c>
      <c r="U305" s="13">
        <v>2</v>
      </c>
      <c r="V305" s="13" t="s">
        <v>1651</v>
      </c>
      <c r="W305" s="13" t="s">
        <v>1342</v>
      </c>
      <c r="X305" s="12" t="str">
        <f>VLOOKUP($D305,global_toc!$C:$K,7,FALSE)</f>
        <v>79AUG03XX</v>
      </c>
      <c r="Y305" s="12" t="str">
        <f>VLOOKUP($D305,global_toc!$C:$K,8,FALSE)</f>
        <v>11OCT17XA</v>
      </c>
      <c r="Z305" s="12">
        <f>VLOOKUP($D305,global_toc!$C:$K,9,FALSE)</f>
        <v>5028</v>
      </c>
      <c r="AA305" s="19" t="str">
        <f t="shared" si="13"/>
        <v>Group delay and rate re-weighting constants.</v>
      </c>
    </row>
    <row r="306" spans="1:28" x14ac:dyDescent="0.2">
      <c r="A306" s="12">
        <v>491</v>
      </c>
      <c r="B306" s="12">
        <v>2</v>
      </c>
      <c r="C306" s="12" t="str">
        <f t="shared" si="14"/>
        <v>FractC</v>
      </c>
      <c r="D306" s="14" t="s">
        <v>853</v>
      </c>
      <c r="E306" s="12">
        <v>1</v>
      </c>
      <c r="F306" s="12">
        <v>1</v>
      </c>
      <c r="G306" s="12">
        <v>1</v>
      </c>
      <c r="H306" s="12" t="s">
        <v>447</v>
      </c>
      <c r="I306" s="12">
        <v>5</v>
      </c>
      <c r="J306" s="12" t="s">
        <v>854</v>
      </c>
      <c r="K306" s="12" t="s">
        <v>1347</v>
      </c>
      <c r="L306" s="23" t="s">
        <v>1342</v>
      </c>
      <c r="M306" s="13" t="s">
        <v>1464</v>
      </c>
      <c r="N306" s="13" t="s">
        <v>1490</v>
      </c>
      <c r="O306" s="12" t="s">
        <v>1490</v>
      </c>
      <c r="P306" s="12" t="s">
        <v>1605</v>
      </c>
      <c r="Q306" s="12" t="s">
        <v>1342</v>
      </c>
      <c r="R306" s="13" t="s">
        <v>1605</v>
      </c>
      <c r="S306" s="13" t="s">
        <v>1342</v>
      </c>
      <c r="T306" s="23" t="s">
        <v>1901</v>
      </c>
      <c r="U306" s="13" t="s">
        <v>1342</v>
      </c>
      <c r="V306" s="13" t="s">
        <v>1902</v>
      </c>
      <c r="W306" s="13" t="s">
        <v>1342</v>
      </c>
      <c r="X306" s="12" t="str">
        <f>VLOOKUP($D306,global_toc!$C:$K,7,FALSE)</f>
        <v>79AUG03XX</v>
      </c>
      <c r="Y306" s="12" t="str">
        <f>VLOOKUP($D306,global_toc!$C:$K,8,FALSE)</f>
        <v>11OCT17XA</v>
      </c>
      <c r="Z306" s="12">
        <f>VLOOKUP($D306,global_toc!$C:$K,9,FALSE)</f>
        <v>5029</v>
      </c>
      <c r="AA306" s="19" t="str">
        <f t="shared" si="13"/>
        <v>Coordinate time at site 1</v>
      </c>
    </row>
    <row r="307" spans="1:28" ht="25.5" x14ac:dyDescent="0.2">
      <c r="A307" s="12">
        <v>496</v>
      </c>
      <c r="B307" s="12">
        <v>2</v>
      </c>
      <c r="C307" s="12" t="str">
        <f t="shared" si="14"/>
        <v>IonCode</v>
      </c>
      <c r="D307" s="14" t="s">
        <v>966</v>
      </c>
      <c r="E307" s="12">
        <v>1</v>
      </c>
      <c r="F307" s="12">
        <v>1</v>
      </c>
      <c r="G307" s="12">
        <v>1</v>
      </c>
      <c r="H307" s="12" t="s">
        <v>544</v>
      </c>
      <c r="I307" s="12">
        <v>4</v>
      </c>
      <c r="J307" s="12" t="s">
        <v>1689</v>
      </c>
      <c r="K307" s="12" t="s">
        <v>1347</v>
      </c>
      <c r="L307" s="23" t="s">
        <v>2097</v>
      </c>
      <c r="M307" s="13" t="s">
        <v>544</v>
      </c>
      <c r="N307" s="13" t="s">
        <v>1490</v>
      </c>
      <c r="O307" s="12" t="s">
        <v>1490</v>
      </c>
      <c r="P307" s="12" t="s">
        <v>2157</v>
      </c>
      <c r="Q307" s="12" t="s">
        <v>1342</v>
      </c>
      <c r="R307" s="13" t="s">
        <v>1616</v>
      </c>
      <c r="S307" s="13" t="s">
        <v>1342</v>
      </c>
      <c r="T307" s="23" t="s">
        <v>1342</v>
      </c>
      <c r="U307" s="13" t="s">
        <v>1342</v>
      </c>
      <c r="V307" s="13" t="s">
        <v>1342</v>
      </c>
      <c r="W307" s="13" t="s">
        <v>1342</v>
      </c>
      <c r="X307" s="12" t="str">
        <f>VLOOKUP($D307,global_toc!$C:$K,7,FALSE)</f>
        <v>79AUG03XX</v>
      </c>
      <c r="Y307" s="12" t="str">
        <f>VLOOKUP($D307,global_toc!$C:$K,8,FALSE)</f>
        <v>11OCT17XA</v>
      </c>
      <c r="Z307" s="12">
        <f>VLOOKUP($D307,global_toc!$C:$K,9,FALSE)</f>
        <v>5028</v>
      </c>
      <c r="AA307" s="19" t="str">
        <f t="shared" si="13"/>
        <v>Ion corr code. -1=no good  0=OK</v>
      </c>
    </row>
    <row r="308" spans="1:28" x14ac:dyDescent="0.2">
      <c r="A308" s="12">
        <v>497</v>
      </c>
      <c r="B308" s="12">
        <v>2</v>
      </c>
      <c r="C308" s="12" t="str">
        <f t="shared" si="14"/>
        <v>IonoBits</v>
      </c>
      <c r="D308" s="14" t="s">
        <v>968</v>
      </c>
      <c r="E308" s="12">
        <v>1</v>
      </c>
      <c r="F308" s="12">
        <v>1</v>
      </c>
      <c r="G308" s="12">
        <v>1</v>
      </c>
      <c r="H308" s="12" t="s">
        <v>544</v>
      </c>
      <c r="I308" s="12">
        <v>4</v>
      </c>
      <c r="J308" s="12" t="s">
        <v>969</v>
      </c>
      <c r="K308" s="12" t="s">
        <v>1347</v>
      </c>
      <c r="L308" s="23" t="s">
        <v>1342</v>
      </c>
      <c r="M308" s="13" t="s">
        <v>1464</v>
      </c>
      <c r="N308" s="13" t="s">
        <v>1490</v>
      </c>
      <c r="O308" s="12" t="s">
        <v>1490</v>
      </c>
      <c r="P308" s="12" t="s">
        <v>2485</v>
      </c>
      <c r="Q308" s="12" t="s">
        <v>1342</v>
      </c>
      <c r="R308" s="12" t="s">
        <v>2485</v>
      </c>
      <c r="S308" s="13" t="s">
        <v>1342</v>
      </c>
      <c r="T308" s="23" t="s">
        <v>1342</v>
      </c>
      <c r="U308" s="13" t="s">
        <v>1342</v>
      </c>
      <c r="V308" s="13" t="s">
        <v>1342</v>
      </c>
      <c r="W308" s="13" t="s">
        <v>1342</v>
      </c>
      <c r="X308" s="12" t="str">
        <f>VLOOKUP($D308,global_toc!$C:$K,7,FALSE)</f>
        <v>79AUG03XX</v>
      </c>
      <c r="Y308" s="12" t="str">
        <f>VLOOKUP($D308,global_toc!$C:$K,8,FALSE)</f>
        <v>11OCT17XA</v>
      </c>
      <c r="Z308" s="12">
        <f>VLOOKUP($D308,global_toc!$C:$K,9,FALSE)</f>
        <v>5029</v>
      </c>
      <c r="AA308" s="19" t="str">
        <f t="shared" si="13"/>
        <v>ICORR for full ion tracking.</v>
      </c>
    </row>
    <row r="309" spans="1:28" x14ac:dyDescent="0.2">
      <c r="A309" s="12">
        <v>493</v>
      </c>
      <c r="B309" s="12">
        <v>2</v>
      </c>
      <c r="C309" s="12" t="str">
        <f t="shared" si="14"/>
        <v>UNPHAFLG</v>
      </c>
      <c r="D309" s="14" t="s">
        <v>962</v>
      </c>
      <c r="E309" s="12">
        <v>2</v>
      </c>
      <c r="F309" s="12">
        <v>2</v>
      </c>
      <c r="G309" s="12">
        <v>1</v>
      </c>
      <c r="H309" s="12" t="s">
        <v>544</v>
      </c>
      <c r="I309" s="12">
        <v>3</v>
      </c>
      <c r="J309" s="12" t="s">
        <v>963</v>
      </c>
      <c r="K309" s="12" t="s">
        <v>1347</v>
      </c>
      <c r="L309" s="23" t="s">
        <v>1342</v>
      </c>
      <c r="M309" s="13" t="s">
        <v>1467</v>
      </c>
      <c r="N309" s="13" t="s">
        <v>1342</v>
      </c>
      <c r="O309" s="12" t="s">
        <v>1490</v>
      </c>
      <c r="P309" s="12" t="s">
        <v>2445</v>
      </c>
      <c r="Q309" s="12" t="s">
        <v>1342</v>
      </c>
      <c r="R309" s="13" t="s">
        <v>1342</v>
      </c>
      <c r="S309" s="13" t="s">
        <v>1342</v>
      </c>
      <c r="T309" s="23" t="s">
        <v>1342</v>
      </c>
      <c r="U309" s="13" t="s">
        <v>1342</v>
      </c>
      <c r="V309" s="13" t="s">
        <v>1342</v>
      </c>
      <c r="W309" s="13" t="s">
        <v>1342</v>
      </c>
      <c r="X309" s="12" t="str">
        <f>VLOOKUP($D309,global_toc!$C:$K,7,FALSE)</f>
        <v>83MAY11X_</v>
      </c>
      <c r="Y309" s="12" t="str">
        <f>VLOOKUP($D309,global_toc!$C:$K,8,FALSE)</f>
        <v>11OCT17XA</v>
      </c>
      <c r="Z309" s="12">
        <f>VLOOKUP($D309,global_toc!$C:$K,9,FALSE)</f>
        <v>4173</v>
      </c>
      <c r="AA309" s="19" t="str">
        <f t="shared" si="13"/>
        <v>UnPhaseCal flag</v>
      </c>
    </row>
    <row r="310" spans="1:28" s="20" customFormat="1" x14ac:dyDescent="0.2">
      <c r="A310" s="12">
        <v>495</v>
      </c>
      <c r="B310" s="12">
        <v>2</v>
      </c>
      <c r="C310" s="12" t="str">
        <f t="shared" si="14"/>
        <v>UVFperAsec</v>
      </c>
      <c r="D310" s="14" t="s">
        <v>791</v>
      </c>
      <c r="E310" s="12">
        <v>2</v>
      </c>
      <c r="F310" s="12">
        <v>1</v>
      </c>
      <c r="G310" s="12">
        <v>1</v>
      </c>
      <c r="H310" s="12" t="s">
        <v>447</v>
      </c>
      <c r="I310" s="12">
        <v>5</v>
      </c>
      <c r="J310" s="12" t="s">
        <v>1685</v>
      </c>
      <c r="K310" s="12" t="s">
        <v>1347</v>
      </c>
      <c r="L310" s="23" t="s">
        <v>1342</v>
      </c>
      <c r="M310" s="13" t="s">
        <v>1464</v>
      </c>
      <c r="N310" s="13" t="s">
        <v>1342</v>
      </c>
      <c r="O310" s="12" t="s">
        <v>1490</v>
      </c>
      <c r="P310" s="12" t="s">
        <v>1533</v>
      </c>
      <c r="Q310" s="12" t="s">
        <v>1342</v>
      </c>
      <c r="R310" s="13" t="s">
        <v>1533</v>
      </c>
      <c r="S310" s="13" t="s">
        <v>1342</v>
      </c>
      <c r="T310" s="23" t="s">
        <v>1342</v>
      </c>
      <c r="U310" s="13" t="s">
        <v>1342</v>
      </c>
      <c r="V310" s="13" t="s">
        <v>1342</v>
      </c>
      <c r="W310" s="13" t="s">
        <v>1342</v>
      </c>
      <c r="X310" s="12" t="str">
        <f>VLOOKUP($D310,global_toc!$C:$K,7,FALSE)</f>
        <v>79AUG03XX</v>
      </c>
      <c r="Y310" s="12" t="str">
        <f>VLOOKUP($D310,global_toc!$C:$K,8,FALSE)</f>
        <v>11OCT17XA</v>
      </c>
      <c r="Z310" s="12">
        <f>VLOOKUP($D310,global_toc!$C:$K,9,FALSE)</f>
        <v>5029</v>
      </c>
      <c r="AA310" s="19" t="str">
        <f t="shared" si="13"/>
        <v>U V in FR per arcsec  from CALC</v>
      </c>
      <c r="AB310" s="19"/>
    </row>
    <row r="311" spans="1:28" x14ac:dyDescent="0.2">
      <c r="A311" s="12">
        <v>115</v>
      </c>
      <c r="B311" s="12" t="s">
        <v>1655</v>
      </c>
      <c r="C311" s="12" t="str">
        <f t="shared" si="14"/>
        <v>DayFrac</v>
      </c>
      <c r="D311" s="12" t="s">
        <v>1927</v>
      </c>
      <c r="E311" s="12">
        <v>1</v>
      </c>
      <c r="F311" s="12">
        <v>1</v>
      </c>
      <c r="G311" s="12">
        <v>1</v>
      </c>
      <c r="H311" s="12" t="s">
        <v>447</v>
      </c>
      <c r="I311" s="12" t="s">
        <v>1655</v>
      </c>
      <c r="J311" s="12" t="s">
        <v>1342</v>
      </c>
      <c r="K311" s="15" t="s">
        <v>1351</v>
      </c>
      <c r="L311" s="23" t="s">
        <v>2070</v>
      </c>
      <c r="M311" s="13" t="s">
        <v>1655</v>
      </c>
      <c r="N311" s="13" t="s">
        <v>1490</v>
      </c>
      <c r="O311" s="12" t="s">
        <v>1490</v>
      </c>
      <c r="P311" s="12" t="s">
        <v>1926</v>
      </c>
      <c r="Q311" s="12" t="s">
        <v>1342</v>
      </c>
      <c r="R311" s="13" t="s">
        <v>1941</v>
      </c>
      <c r="S311" s="13" t="s">
        <v>1342</v>
      </c>
      <c r="T311" s="23" t="s">
        <v>1922</v>
      </c>
      <c r="U311" s="13"/>
      <c r="V311" s="13" t="s">
        <v>39</v>
      </c>
      <c r="W311" s="13"/>
      <c r="X311" s="12" t="e">
        <f>VLOOKUP($D311,global_toc!$C:$K,7,FALSE)</f>
        <v>#N/A</v>
      </c>
      <c r="Y311" s="12" t="e">
        <f>VLOOKUP($D311,global_toc!$C:$K,8,FALSE)</f>
        <v>#N/A</v>
      </c>
      <c r="Z311" s="12" t="e">
        <f>VLOOKUP($D311,global_toc!$C:$K,9,FALSE)</f>
        <v>#N/A</v>
      </c>
      <c r="AA311" s="19" t="str">
        <f t="shared" si="13"/>
        <v>Fractional day time tag of scan</v>
      </c>
    </row>
    <row r="312" spans="1:28" x14ac:dyDescent="0.2">
      <c r="A312" s="12">
        <v>116</v>
      </c>
      <c r="B312" s="12" t="s">
        <v>1655</v>
      </c>
      <c r="C312" s="12" t="str">
        <f t="shared" si="14"/>
        <v>MJD</v>
      </c>
      <c r="D312" s="12" t="s">
        <v>1926</v>
      </c>
      <c r="E312" s="12">
        <v>1</v>
      </c>
      <c r="F312" s="12">
        <v>1</v>
      </c>
      <c r="G312" s="12">
        <v>1</v>
      </c>
      <c r="H312" s="12" t="s">
        <v>731</v>
      </c>
      <c r="I312" s="12" t="s">
        <v>1655</v>
      </c>
      <c r="J312" s="12" t="s">
        <v>1342</v>
      </c>
      <c r="K312" s="15" t="s">
        <v>1351</v>
      </c>
      <c r="L312" s="23" t="s">
        <v>2070</v>
      </c>
      <c r="M312" s="13" t="s">
        <v>1655</v>
      </c>
      <c r="N312" s="13" t="s">
        <v>1490</v>
      </c>
      <c r="O312" s="12" t="s">
        <v>1490</v>
      </c>
      <c r="P312" s="12" t="s">
        <v>1926</v>
      </c>
      <c r="Q312" s="12" t="s">
        <v>1342</v>
      </c>
      <c r="R312" s="13" t="s">
        <v>1942</v>
      </c>
      <c r="S312" s="13" t="s">
        <v>1342</v>
      </c>
      <c r="T312" s="23" t="s">
        <v>1921</v>
      </c>
      <c r="U312" s="13"/>
      <c r="V312" s="13" t="s">
        <v>39</v>
      </c>
      <c r="W312" s="13"/>
      <c r="X312" s="12" t="e">
        <f>VLOOKUP($D312,global_toc!$C:$K,7,FALSE)</f>
        <v>#N/A</v>
      </c>
      <c r="Y312" s="12" t="e">
        <f>VLOOKUP($D312,global_toc!$C:$K,8,FALSE)</f>
        <v>#N/A</v>
      </c>
      <c r="Z312" s="12" t="e">
        <f>VLOOKUP($D312,global_toc!$C:$K,9,FALSE)</f>
        <v>#N/A</v>
      </c>
      <c r="AA312" s="19" t="str">
        <f t="shared" si="13"/>
        <v>MJD time tag of scan</v>
      </c>
    </row>
    <row r="313" spans="1:28" x14ac:dyDescent="0.2">
      <c r="A313" s="12">
        <v>222</v>
      </c>
      <c r="B313" s="12">
        <v>1</v>
      </c>
      <c r="C313" s="12" t="str">
        <f t="shared" si="14"/>
        <v>AtmInterval</v>
      </c>
      <c r="D313" s="14" t="s">
        <v>535</v>
      </c>
      <c r="E313" s="12">
        <v>1</v>
      </c>
      <c r="F313" s="12">
        <v>1</v>
      </c>
      <c r="G313" s="12">
        <v>1</v>
      </c>
      <c r="H313" s="12" t="s">
        <v>447</v>
      </c>
      <c r="I313" s="12">
        <v>4</v>
      </c>
      <c r="J313" s="12" t="s">
        <v>536</v>
      </c>
      <c r="K313" s="12" t="s">
        <v>1340</v>
      </c>
      <c r="L313" s="23" t="s">
        <v>1342</v>
      </c>
      <c r="M313" s="13" t="s">
        <v>1464</v>
      </c>
      <c r="N313" s="13" t="s">
        <v>1490</v>
      </c>
      <c r="O313" s="12" t="s">
        <v>1490</v>
      </c>
      <c r="P313" s="12" t="s">
        <v>2127</v>
      </c>
      <c r="Q313" s="12" t="s">
        <v>1342</v>
      </c>
      <c r="R313" s="13" t="s">
        <v>1865</v>
      </c>
      <c r="S313" s="13" t="s">
        <v>1342</v>
      </c>
      <c r="T313" s="23" t="s">
        <v>1342</v>
      </c>
      <c r="U313" s="13" t="s">
        <v>1342</v>
      </c>
      <c r="V313" s="13" t="s">
        <v>1342</v>
      </c>
      <c r="W313" s="13" t="s">
        <v>1342</v>
      </c>
      <c r="X313" s="12" t="str">
        <f>VLOOKUP($D313,global_toc!$C:$K,7,FALSE)</f>
        <v>79AUG03XX</v>
      </c>
      <c r="Y313" s="12" t="str">
        <f>VLOOKUP($D313,global_toc!$C:$K,8,FALSE)</f>
        <v>11OCT17XA</v>
      </c>
      <c r="Z313" s="12">
        <f>VLOOKUP($D313,global_toc!$C:$K,9,FALSE)</f>
        <v>5010</v>
      </c>
      <c r="AA313" s="19" t="str">
        <f t="shared" si="13"/>
        <v>Batchmode atmos interval - hours</v>
      </c>
    </row>
    <row r="314" spans="1:28" ht="38.25" x14ac:dyDescent="0.2">
      <c r="A314" s="12">
        <v>221</v>
      </c>
      <c r="B314" s="12">
        <v>1</v>
      </c>
      <c r="C314" s="12" t="str">
        <f t="shared" si="14"/>
        <v>AtmRateConstraint</v>
      </c>
      <c r="D314" s="14" t="s">
        <v>527</v>
      </c>
      <c r="E314" s="12">
        <v>1</v>
      </c>
      <c r="F314" s="12">
        <v>1</v>
      </c>
      <c r="G314" s="12">
        <v>1</v>
      </c>
      <c r="H314" s="12" t="s">
        <v>447</v>
      </c>
      <c r="I314" s="12">
        <v>4</v>
      </c>
      <c r="J314" s="12" t="s">
        <v>528</v>
      </c>
      <c r="K314" s="12" t="s">
        <v>1340</v>
      </c>
      <c r="L314" s="23" t="s">
        <v>1848</v>
      </c>
      <c r="M314" s="13" t="s">
        <v>1464</v>
      </c>
      <c r="N314" s="13" t="s">
        <v>1490</v>
      </c>
      <c r="O314" s="12" t="s">
        <v>1490</v>
      </c>
      <c r="P314" s="12" t="s">
        <v>2127</v>
      </c>
      <c r="Q314" s="12" t="s">
        <v>1342</v>
      </c>
      <c r="R314" s="13" t="s">
        <v>1862</v>
      </c>
      <c r="S314" s="13" t="s">
        <v>1342</v>
      </c>
      <c r="T314" s="23" t="s">
        <v>1342</v>
      </c>
      <c r="U314" s="13" t="s">
        <v>1342</v>
      </c>
      <c r="V314" s="13" t="s">
        <v>1342</v>
      </c>
      <c r="W314" s="13" t="s">
        <v>1342</v>
      </c>
      <c r="X314" s="12" t="str">
        <f>VLOOKUP($D314,global_toc!$C:$K,7,FALSE)</f>
        <v>79AUG03XX</v>
      </c>
      <c r="Y314" s="12" t="str">
        <f>VLOOKUP($D314,global_toc!$C:$K,8,FALSE)</f>
        <v>11OCT17XA</v>
      </c>
      <c r="Z314" s="12">
        <f>VLOOKUP($D314,global_toc!$C:$K,9,FALSE)</f>
        <v>5029</v>
      </c>
      <c r="AA314" s="19" t="str">
        <f t="shared" si="13"/>
        <v>Atmosphere constraint. ps/hr</v>
      </c>
    </row>
    <row r="315" spans="1:28" ht="38.25" x14ac:dyDescent="0.2">
      <c r="A315" s="12">
        <v>220</v>
      </c>
      <c r="B315" s="12">
        <v>1</v>
      </c>
      <c r="C315" s="12" t="str">
        <f t="shared" si="14"/>
        <v>AtmRateStationList</v>
      </c>
      <c r="D315" s="12" t="s">
        <v>163</v>
      </c>
      <c r="E315" s="12">
        <v>4</v>
      </c>
      <c r="F315" s="12">
        <v>5</v>
      </c>
      <c r="G315" s="12">
        <v>1</v>
      </c>
      <c r="H315" s="12" t="s">
        <v>589</v>
      </c>
      <c r="I315" s="12">
        <v>3</v>
      </c>
      <c r="J315" s="12" t="s">
        <v>166</v>
      </c>
      <c r="K315" s="15" t="s">
        <v>1340</v>
      </c>
      <c r="L315" s="23" t="s">
        <v>1848</v>
      </c>
      <c r="M315" s="13" t="s">
        <v>1464</v>
      </c>
      <c r="N315" s="13" t="s">
        <v>1490</v>
      </c>
      <c r="O315" s="12" t="s">
        <v>1490</v>
      </c>
      <c r="P315" s="12" t="s">
        <v>2127</v>
      </c>
      <c r="Q315" s="12" t="s">
        <v>1342</v>
      </c>
      <c r="R315" s="13" t="s">
        <v>2605</v>
      </c>
      <c r="S315" s="13" t="s">
        <v>1342</v>
      </c>
      <c r="T315" s="23" t="s">
        <v>1342</v>
      </c>
      <c r="U315" s="13" t="s">
        <v>1342</v>
      </c>
      <c r="V315" s="13" t="s">
        <v>1342</v>
      </c>
      <c r="W315" s="13" t="s">
        <v>1342</v>
      </c>
      <c r="X315" s="12" t="str">
        <f>VLOOKUP($D315,global_toc!$C:$K,7,FALSE)</f>
        <v>82JUN20XA</v>
      </c>
      <c r="Y315" s="12" t="str">
        <f>VLOOKUP($D315,global_toc!$C:$K,8,FALSE)</f>
        <v>11SEP26XA</v>
      </c>
      <c r="Z315" s="12">
        <f>VLOOKUP($D315,global_toc!$C:$K,9,FALSE)</f>
        <v>1210</v>
      </c>
      <c r="AA315" s="19" t="str">
        <f t="shared" si="13"/>
        <v>Site list for clocks constraints</v>
      </c>
    </row>
    <row r="316" spans="1:28" x14ac:dyDescent="0.2">
      <c r="A316" s="12">
        <v>223</v>
      </c>
      <c r="B316" s="12" t="s">
        <v>1655</v>
      </c>
      <c r="C316" s="12" t="str">
        <f t="shared" si="14"/>
        <v>GradOffsetConstraint</v>
      </c>
      <c r="D316" s="12" t="s">
        <v>1849</v>
      </c>
      <c r="E316" s="12">
        <v>1</v>
      </c>
      <c r="F316" s="12">
        <v>1</v>
      </c>
      <c r="G316" s="12">
        <v>1</v>
      </c>
      <c r="H316" s="12" t="s">
        <v>447</v>
      </c>
      <c r="I316" s="12" t="s">
        <v>1655</v>
      </c>
      <c r="J316" s="12" t="s">
        <v>1851</v>
      </c>
      <c r="K316" s="12" t="s">
        <v>1340</v>
      </c>
      <c r="L316" s="23" t="s">
        <v>1342</v>
      </c>
      <c r="M316" s="13" t="s">
        <v>1464</v>
      </c>
      <c r="N316" s="13" t="s">
        <v>1490</v>
      </c>
      <c r="O316" s="12" t="s">
        <v>1490</v>
      </c>
      <c r="P316" s="12" t="s">
        <v>2127</v>
      </c>
      <c r="Q316" s="12" t="s">
        <v>1342</v>
      </c>
      <c r="R316" s="13" t="s">
        <v>1342</v>
      </c>
      <c r="S316" s="13" t="s">
        <v>1342</v>
      </c>
      <c r="T316" s="23" t="s">
        <v>1342</v>
      </c>
      <c r="U316" s="13" t="s">
        <v>1342</v>
      </c>
      <c r="V316" s="13" t="s">
        <v>1342</v>
      </c>
      <c r="W316" s="13" t="s">
        <v>1342</v>
      </c>
      <c r="X316" s="12" t="e">
        <f>VLOOKUP($D316,global_toc!$C:$K,7,FALSE)</f>
        <v>#N/A</v>
      </c>
      <c r="Y316" s="12" t="e">
        <f>VLOOKUP($D316,global_toc!$C:$K,8,FALSE)</f>
        <v>#N/A</v>
      </c>
      <c r="Z316" s="12" t="e">
        <f>VLOOKUP($D316,global_toc!$C:$K,9,FALSE)</f>
        <v>#N/A</v>
      </c>
      <c r="AA316" s="19" t="str">
        <f t="shared" si="13"/>
        <v>Gradient Offset Constraint</v>
      </c>
    </row>
    <row r="317" spans="1:28" x14ac:dyDescent="0.2">
      <c r="A317" s="12">
        <v>224</v>
      </c>
      <c r="B317" s="12" t="s">
        <v>1655</v>
      </c>
      <c r="C317" s="12" t="str">
        <f t="shared" si="14"/>
        <v>GradRateConstraint</v>
      </c>
      <c r="D317" s="12" t="s">
        <v>1850</v>
      </c>
      <c r="E317" s="12">
        <v>1</v>
      </c>
      <c r="F317" s="12">
        <v>1</v>
      </c>
      <c r="G317" s="12">
        <v>1</v>
      </c>
      <c r="H317" s="12" t="s">
        <v>447</v>
      </c>
      <c r="I317" s="12" t="s">
        <v>1655</v>
      </c>
      <c r="J317" s="12" t="s">
        <v>1852</v>
      </c>
      <c r="K317" s="12" t="s">
        <v>1340</v>
      </c>
      <c r="L317" s="23" t="s">
        <v>1342</v>
      </c>
      <c r="M317" s="13" t="s">
        <v>1464</v>
      </c>
      <c r="N317" s="13" t="s">
        <v>1490</v>
      </c>
      <c r="O317" s="12" t="s">
        <v>1490</v>
      </c>
      <c r="P317" s="12" t="s">
        <v>2127</v>
      </c>
      <c r="Q317" s="12" t="s">
        <v>1342</v>
      </c>
      <c r="R317" s="13" t="s">
        <v>1342</v>
      </c>
      <c r="S317" s="13" t="s">
        <v>1342</v>
      </c>
      <c r="T317" s="23" t="s">
        <v>1342</v>
      </c>
      <c r="U317" s="13" t="s">
        <v>1342</v>
      </c>
      <c r="V317" s="13" t="s">
        <v>1342</v>
      </c>
      <c r="W317" s="13" t="s">
        <v>1342</v>
      </c>
      <c r="X317" s="12" t="e">
        <f>VLOOKUP($D317,global_toc!$C:$K,7,FALSE)</f>
        <v>#N/A</v>
      </c>
      <c r="Y317" s="12" t="e">
        <f>VLOOKUP($D317,global_toc!$C:$K,8,FALSE)</f>
        <v>#N/A</v>
      </c>
      <c r="Z317" s="12" t="e">
        <f>VLOOKUP($D317,global_toc!$C:$K,9,FALSE)</f>
        <v>#N/A</v>
      </c>
      <c r="AA317" s="19" t="str">
        <f t="shared" si="13"/>
        <v>Gradient Rate Constraint</v>
      </c>
    </row>
    <row r="318" spans="1:28" x14ac:dyDescent="0.2">
      <c r="A318" s="12">
        <v>226</v>
      </c>
      <c r="B318" s="12">
        <v>1</v>
      </c>
      <c r="C318" s="12" t="str">
        <f t="shared" si="14"/>
        <v>BaselineClockList</v>
      </c>
      <c r="D318" s="14" t="s">
        <v>698</v>
      </c>
      <c r="E318" s="12">
        <v>8</v>
      </c>
      <c r="F318" s="12">
        <v>39</v>
      </c>
      <c r="G318" s="12">
        <v>1</v>
      </c>
      <c r="H318" s="12" t="s">
        <v>589</v>
      </c>
      <c r="I318" s="12">
        <v>4</v>
      </c>
      <c r="J318" s="12" t="s">
        <v>699</v>
      </c>
      <c r="K318" s="12" t="s">
        <v>1340</v>
      </c>
      <c r="L318" s="21" t="s">
        <v>1346</v>
      </c>
      <c r="M318" s="13" t="s">
        <v>1464</v>
      </c>
      <c r="N318" s="13" t="s">
        <v>1490</v>
      </c>
      <c r="O318" s="12" t="s">
        <v>1490</v>
      </c>
      <c r="P318" s="12" t="s">
        <v>2133</v>
      </c>
      <c r="Q318" s="12" t="s">
        <v>1342</v>
      </c>
      <c r="R318" s="13" t="s">
        <v>2606</v>
      </c>
      <c r="S318" s="13" t="s">
        <v>1342</v>
      </c>
      <c r="T318" s="23" t="s">
        <v>1342</v>
      </c>
      <c r="U318" s="13" t="s">
        <v>1342</v>
      </c>
      <c r="V318" s="13" t="s">
        <v>1342</v>
      </c>
      <c r="W318" s="13" t="s">
        <v>1342</v>
      </c>
      <c r="X318" s="12" t="str">
        <f>VLOOKUP($D318,global_toc!$C:$K,7,FALSE)</f>
        <v>79AUG03XX</v>
      </c>
      <c r="Y318" s="12" t="str">
        <f>VLOOKUP($D318,global_toc!$C:$K,8,FALSE)</f>
        <v>11OCT17XA</v>
      </c>
      <c r="Z318" s="12">
        <f>VLOOKUP($D318,global_toc!$C:$K,9,FALSE)</f>
        <v>2673</v>
      </c>
      <c r="AA318" s="19" t="str">
        <f t="shared" si="13"/>
        <v>Bl-dependent clock list</v>
      </c>
    </row>
    <row r="319" spans="1:28" x14ac:dyDescent="0.2">
      <c r="A319" s="12">
        <v>225</v>
      </c>
      <c r="B319" s="12">
        <v>1</v>
      </c>
      <c r="C319" s="12" t="str">
        <f t="shared" si="14"/>
        <v>BaselineClockList</v>
      </c>
      <c r="D319" s="12" t="s">
        <v>1212</v>
      </c>
      <c r="E319" s="12">
        <v>1</v>
      </c>
      <c r="F319" s="12">
        <v>16</v>
      </c>
      <c r="G319" s="12">
        <v>1</v>
      </c>
      <c r="H319" s="12" t="s">
        <v>544</v>
      </c>
      <c r="I319" s="12">
        <v>2</v>
      </c>
      <c r="J319" s="12" t="s">
        <v>223</v>
      </c>
      <c r="K319" s="12" t="s">
        <v>1340</v>
      </c>
      <c r="L319" s="23" t="s">
        <v>1342</v>
      </c>
      <c r="M319" s="13" t="s">
        <v>1467</v>
      </c>
      <c r="N319" s="13" t="s">
        <v>1490</v>
      </c>
      <c r="O319" s="12" t="s">
        <v>1490</v>
      </c>
      <c r="P319" s="12" t="s">
        <v>2133</v>
      </c>
      <c r="Q319" s="12" t="s">
        <v>1342</v>
      </c>
      <c r="R319" s="13" t="s">
        <v>2606</v>
      </c>
      <c r="S319" s="13" t="s">
        <v>1342</v>
      </c>
      <c r="T319" s="23" t="s">
        <v>1903</v>
      </c>
      <c r="U319" s="13" t="s">
        <v>1342</v>
      </c>
      <c r="V319" s="13" t="s">
        <v>1342</v>
      </c>
      <c r="W319" s="13" t="s">
        <v>1342</v>
      </c>
      <c r="X319" s="12" t="str">
        <f>VLOOKUP($D319,global_toc!$C:$K,7,FALSE)</f>
        <v>80APR11XQ</v>
      </c>
      <c r="Y319" s="12" t="str">
        <f>VLOOKUP($D319,global_toc!$C:$K,8,FALSE)</f>
        <v>95OCT10XE</v>
      </c>
      <c r="Z319" s="12">
        <f>VLOOKUP($D319,global_toc!$C:$K,9,FALSE)</f>
        <v>1471</v>
      </c>
      <c r="AA319" s="19" t="str">
        <f t="shared" si="13"/>
        <v>List of baseline dependent clocks</v>
      </c>
    </row>
    <row r="320" spans="1:28" x14ac:dyDescent="0.2">
      <c r="A320" s="12">
        <v>233</v>
      </c>
      <c r="B320" s="12">
        <v>1</v>
      </c>
      <c r="C320" s="12" t="str">
        <f t="shared" si="14"/>
        <v>CalcUt1Module</v>
      </c>
      <c r="D320" s="14" t="s">
        <v>653</v>
      </c>
      <c r="E320" s="12">
        <v>40</v>
      </c>
      <c r="F320" s="12">
        <v>1</v>
      </c>
      <c r="G320" s="12">
        <v>1</v>
      </c>
      <c r="H320" s="12" t="s">
        <v>589</v>
      </c>
      <c r="I320" s="12">
        <v>5</v>
      </c>
      <c r="J320" s="12" t="s">
        <v>654</v>
      </c>
      <c r="K320" s="12" t="s">
        <v>1340</v>
      </c>
      <c r="L320" s="23" t="s">
        <v>1342</v>
      </c>
      <c r="M320" s="13" t="s">
        <v>1464</v>
      </c>
      <c r="N320" s="13" t="s">
        <v>1490</v>
      </c>
      <c r="O320" s="12" t="s">
        <v>1490</v>
      </c>
      <c r="P320" s="12" t="s">
        <v>2480</v>
      </c>
      <c r="Q320" s="12" t="s">
        <v>1342</v>
      </c>
      <c r="R320" s="13" t="s">
        <v>1879</v>
      </c>
      <c r="S320" s="13" t="s">
        <v>1342</v>
      </c>
      <c r="T320" s="23" t="s">
        <v>1342</v>
      </c>
      <c r="U320" s="13" t="s">
        <v>1342</v>
      </c>
      <c r="V320" s="13" t="s">
        <v>1342</v>
      </c>
      <c r="W320" s="13" t="s">
        <v>1342</v>
      </c>
      <c r="X320" s="12" t="str">
        <f>VLOOKUP($D320,global_toc!$C:$K,7,FALSE)</f>
        <v>79AUG03XX</v>
      </c>
      <c r="Y320" s="12" t="str">
        <f>VLOOKUP($D320,global_toc!$C:$K,8,FALSE)</f>
        <v>11OCT17XA</v>
      </c>
      <c r="Z320" s="12">
        <f>VLOOKUP($D320,global_toc!$C:$K,9,FALSE)</f>
        <v>5029</v>
      </c>
      <c r="AA320" s="19" t="str">
        <f t="shared" si="13"/>
        <v>UT1 Module message definition</v>
      </c>
    </row>
    <row r="321" spans="1:27" x14ac:dyDescent="0.2">
      <c r="A321" s="12">
        <v>235</v>
      </c>
      <c r="B321" s="12">
        <v>1</v>
      </c>
      <c r="C321" s="12" t="str">
        <f t="shared" si="14"/>
        <v>CalcWobModule</v>
      </c>
      <c r="D321" s="14" t="s">
        <v>663</v>
      </c>
      <c r="E321" s="12">
        <v>40</v>
      </c>
      <c r="F321" s="12">
        <v>1</v>
      </c>
      <c r="G321" s="12">
        <v>1</v>
      </c>
      <c r="H321" s="12" t="s">
        <v>589</v>
      </c>
      <c r="I321" s="12">
        <v>5</v>
      </c>
      <c r="J321" s="12" t="s">
        <v>664</v>
      </c>
      <c r="K321" s="12" t="s">
        <v>1340</v>
      </c>
      <c r="L321" s="23" t="s">
        <v>1342</v>
      </c>
      <c r="M321" s="13" t="s">
        <v>1464</v>
      </c>
      <c r="N321" s="13" t="s">
        <v>1490</v>
      </c>
      <c r="O321" s="12" t="s">
        <v>1490</v>
      </c>
      <c r="P321" s="12" t="s">
        <v>2480</v>
      </c>
      <c r="Q321" s="12" t="s">
        <v>1342</v>
      </c>
      <c r="R321" s="13" t="s">
        <v>1878</v>
      </c>
      <c r="S321" s="13" t="s">
        <v>1342</v>
      </c>
      <c r="T321" s="23" t="s">
        <v>1342</v>
      </c>
      <c r="U321" s="13" t="s">
        <v>1342</v>
      </c>
      <c r="V321" s="13" t="s">
        <v>1342</v>
      </c>
      <c r="W321" s="13" t="s">
        <v>1342</v>
      </c>
      <c r="X321" s="12" t="str">
        <f>VLOOKUP($D321,global_toc!$C:$K,7,FALSE)</f>
        <v>79AUG03XX</v>
      </c>
      <c r="Y321" s="12" t="str">
        <f>VLOOKUP($D321,global_toc!$C:$K,8,FALSE)</f>
        <v>11OCT17XA</v>
      </c>
      <c r="Z321" s="12">
        <f>VLOOKUP($D321,global_toc!$C:$K,9,FALSE)</f>
        <v>5029</v>
      </c>
      <c r="AA321" s="19" t="str">
        <f t="shared" si="13"/>
        <v>Wobble message definition.</v>
      </c>
    </row>
    <row r="322" spans="1:27" ht="25.5" x14ac:dyDescent="0.2">
      <c r="A322" s="12">
        <v>227</v>
      </c>
      <c r="B322" s="12">
        <v>1</v>
      </c>
      <c r="C322" s="12" t="str">
        <f t="shared" si="14"/>
        <v>UT1ArrayInfo</v>
      </c>
      <c r="D322" s="14" t="s">
        <v>499</v>
      </c>
      <c r="E322" s="12">
        <v>4</v>
      </c>
      <c r="F322" s="12">
        <v>1</v>
      </c>
      <c r="G322" s="12">
        <v>1</v>
      </c>
      <c r="H322" s="12" t="s">
        <v>447</v>
      </c>
      <c r="I322" s="12">
        <v>5</v>
      </c>
      <c r="J322" s="12" t="s">
        <v>500</v>
      </c>
      <c r="K322" s="12" t="s">
        <v>1340</v>
      </c>
      <c r="L322" s="23" t="s">
        <v>1342</v>
      </c>
      <c r="M322" s="13" t="s">
        <v>1464</v>
      </c>
      <c r="N322" s="13" t="s">
        <v>1490</v>
      </c>
      <c r="O322" s="12" t="s">
        <v>1490</v>
      </c>
      <c r="P322" s="12" t="s">
        <v>2480</v>
      </c>
      <c r="Q322" s="12" t="s">
        <v>1342</v>
      </c>
      <c r="R322" s="13" t="s">
        <v>1873</v>
      </c>
      <c r="S322" s="13" t="s">
        <v>1342</v>
      </c>
      <c r="T322" s="23" t="s">
        <v>1874</v>
      </c>
      <c r="U322" s="13" t="s">
        <v>1342</v>
      </c>
      <c r="V322" s="13" t="s">
        <v>1342</v>
      </c>
      <c r="W322" s="13" t="s">
        <v>1342</v>
      </c>
      <c r="X322" s="12" t="str">
        <f>VLOOKUP($D322,global_toc!$C:$K,7,FALSE)</f>
        <v>79AUG03XX</v>
      </c>
      <c r="Y322" s="12" t="str">
        <f>VLOOKUP($D322,global_toc!$C:$K,8,FALSE)</f>
        <v>11OCT17XA</v>
      </c>
      <c r="Z322" s="12">
        <f>VLOOKUP($D322,global_toc!$C:$K,9,FALSE)</f>
        <v>5029</v>
      </c>
      <c r="AA322" s="19" t="str">
        <f t="shared" si="13"/>
        <v>Array: (FJD of start, spacing in days, number points, Scaling (should be 1))</v>
      </c>
    </row>
    <row r="323" spans="1:27" x14ac:dyDescent="0.2">
      <c r="A323" s="12">
        <v>234</v>
      </c>
      <c r="B323" s="12">
        <v>1</v>
      </c>
      <c r="C323" s="12" t="str">
        <f t="shared" si="14"/>
        <v>UT1IntrpMode</v>
      </c>
      <c r="D323" s="14" t="s">
        <v>657</v>
      </c>
      <c r="E323" s="12">
        <v>30</v>
      </c>
      <c r="F323" s="12">
        <v>1</v>
      </c>
      <c r="G323" s="12">
        <v>1</v>
      </c>
      <c r="H323" s="12" t="s">
        <v>589</v>
      </c>
      <c r="I323" s="12">
        <v>5</v>
      </c>
      <c r="J323" s="12" t="s">
        <v>658</v>
      </c>
      <c r="K323" s="12" t="s">
        <v>1340</v>
      </c>
      <c r="L323" s="23" t="s">
        <v>1342</v>
      </c>
      <c r="M323" s="13" t="s">
        <v>1464</v>
      </c>
      <c r="N323" s="13" t="s">
        <v>1490</v>
      </c>
      <c r="O323" s="12" t="s">
        <v>1490</v>
      </c>
      <c r="P323" s="12" t="s">
        <v>2480</v>
      </c>
      <c r="Q323" s="12" t="s">
        <v>1342</v>
      </c>
      <c r="R323" s="13" t="s">
        <v>1876</v>
      </c>
      <c r="S323" s="13" t="s">
        <v>1342</v>
      </c>
      <c r="T323" s="23" t="s">
        <v>1342</v>
      </c>
      <c r="U323" s="13" t="s">
        <v>1342</v>
      </c>
      <c r="V323" s="13" t="s">
        <v>1342</v>
      </c>
      <c r="W323" s="13" t="s">
        <v>1342</v>
      </c>
      <c r="X323" s="12" t="str">
        <f>VLOOKUP($D323,global_toc!$C:$K,7,FALSE)</f>
        <v>79AUG03XX</v>
      </c>
      <c r="Y323" s="12" t="str">
        <f>VLOOKUP($D323,global_toc!$C:$K,8,FALSE)</f>
        <v>11OCT17XA</v>
      </c>
      <c r="Z323" s="12">
        <f>VLOOKUP($D323,global_toc!$C:$K,9,FALSE)</f>
        <v>5029</v>
      </c>
      <c r="AA323" s="19" t="str">
        <f t="shared" si="13"/>
        <v>Message for UT1 interp. scheme</v>
      </c>
    </row>
    <row r="324" spans="1:27" x14ac:dyDescent="0.2">
      <c r="A324" s="12">
        <v>229</v>
      </c>
      <c r="B324" s="12">
        <v>1</v>
      </c>
      <c r="C324" s="12" t="str">
        <f t="shared" si="14"/>
        <v>UT1Origin</v>
      </c>
      <c r="D324" s="14" t="s">
        <v>659</v>
      </c>
      <c r="E324" s="12">
        <v>40</v>
      </c>
      <c r="F324" s="12">
        <v>1</v>
      </c>
      <c r="G324" s="12">
        <v>1</v>
      </c>
      <c r="H324" s="12" t="s">
        <v>589</v>
      </c>
      <c r="I324" s="12">
        <v>5</v>
      </c>
      <c r="J324" s="12" t="s">
        <v>660</v>
      </c>
      <c r="K324" s="12" t="s">
        <v>1340</v>
      </c>
      <c r="L324" s="23" t="s">
        <v>1342</v>
      </c>
      <c r="M324" s="13" t="s">
        <v>1464</v>
      </c>
      <c r="N324" s="13" t="s">
        <v>1490</v>
      </c>
      <c r="O324" s="12" t="s">
        <v>1490</v>
      </c>
      <c r="P324" s="12" t="s">
        <v>2480</v>
      </c>
      <c r="Q324" s="12" t="s">
        <v>1342</v>
      </c>
      <c r="R324" s="13" t="s">
        <v>1868</v>
      </c>
      <c r="S324" s="13" t="s">
        <v>1342</v>
      </c>
      <c r="T324" s="23" t="s">
        <v>1342</v>
      </c>
      <c r="U324" s="13" t="s">
        <v>1342</v>
      </c>
      <c r="V324" s="13" t="s">
        <v>1342</v>
      </c>
      <c r="W324" s="13" t="s">
        <v>1342</v>
      </c>
      <c r="X324" s="12" t="str">
        <f>VLOOKUP($D324,global_toc!$C:$K,7,FALSE)</f>
        <v>79AUG03XX</v>
      </c>
      <c r="Y324" s="12" t="str">
        <f>VLOOKUP($D324,global_toc!$C:$K,8,FALSE)</f>
        <v>11OCT17XA</v>
      </c>
      <c r="Z324" s="12">
        <f>VLOOKUP($D324,global_toc!$C:$K,9,FALSE)</f>
        <v>5029</v>
      </c>
      <c r="AA324" s="19" t="str">
        <f t="shared" si="13"/>
        <v>Final Value TAI-UT1 origin text.</v>
      </c>
    </row>
    <row r="325" spans="1:27" x14ac:dyDescent="0.2">
      <c r="A325" s="12">
        <v>228</v>
      </c>
      <c r="B325" s="12">
        <v>1</v>
      </c>
      <c r="C325" s="12" t="str">
        <f t="shared" si="14"/>
        <v>UT1Values</v>
      </c>
      <c r="D325" s="14" t="s">
        <v>501</v>
      </c>
      <c r="E325" s="12">
        <v>15</v>
      </c>
      <c r="F325" s="12">
        <v>1</v>
      </c>
      <c r="G325" s="12">
        <v>1</v>
      </c>
      <c r="H325" s="12" t="s">
        <v>447</v>
      </c>
      <c r="I325" s="12">
        <v>5</v>
      </c>
      <c r="J325" s="12" t="s">
        <v>502</v>
      </c>
      <c r="K325" s="12" t="s">
        <v>1340</v>
      </c>
      <c r="L325" s="23" t="s">
        <v>1342</v>
      </c>
      <c r="M325" s="13" t="s">
        <v>1464</v>
      </c>
      <c r="N325" s="13" t="s">
        <v>1490</v>
      </c>
      <c r="O325" s="12" t="s">
        <v>1490</v>
      </c>
      <c r="P325" s="12" t="s">
        <v>2480</v>
      </c>
      <c r="Q325" s="12" t="s">
        <v>1342</v>
      </c>
      <c r="R325" s="13" t="s">
        <v>1872</v>
      </c>
      <c r="S325" s="13" t="s">
        <v>1342</v>
      </c>
      <c r="T325" s="23" t="s">
        <v>1342</v>
      </c>
      <c r="U325" s="13" t="s">
        <v>1342</v>
      </c>
      <c r="V325" s="13" t="s">
        <v>1342</v>
      </c>
      <c r="W325" s="13" t="s">
        <v>1342</v>
      </c>
      <c r="X325" s="12" t="str">
        <f>VLOOKUP($D325,global_toc!$C:$K,7,FALSE)</f>
        <v>79AUG03XX</v>
      </c>
      <c r="Y325" s="12" t="str">
        <f>VLOOKUP($D325,global_toc!$C:$K,8,FALSE)</f>
        <v>11OCT17XA</v>
      </c>
      <c r="Z325" s="12">
        <f>VLOOKUP($D325,global_toc!$C:$K,9,FALSE)</f>
        <v>5029</v>
      </c>
      <c r="AA325" s="19" t="str">
        <f t="shared" si="13"/>
        <v>Final Value TAI-UT1 data points.</v>
      </c>
    </row>
    <row r="326" spans="1:27" ht="25.5" x14ac:dyDescent="0.2">
      <c r="A326" s="12">
        <v>230</v>
      </c>
      <c r="B326" s="12">
        <v>1</v>
      </c>
      <c r="C326" s="12" t="str">
        <f t="shared" si="14"/>
        <v>WobArrayInfo</v>
      </c>
      <c r="D326" s="14" t="s">
        <v>515</v>
      </c>
      <c r="E326" s="12">
        <v>3</v>
      </c>
      <c r="F326" s="12">
        <v>1</v>
      </c>
      <c r="G326" s="12">
        <v>1</v>
      </c>
      <c r="H326" s="12" t="s">
        <v>447</v>
      </c>
      <c r="I326" s="12">
        <v>5</v>
      </c>
      <c r="J326" s="12" t="s">
        <v>516</v>
      </c>
      <c r="K326" s="12" t="s">
        <v>1340</v>
      </c>
      <c r="L326" s="23" t="s">
        <v>1342</v>
      </c>
      <c r="M326" s="13" t="s">
        <v>1464</v>
      </c>
      <c r="N326" s="13" t="s">
        <v>1490</v>
      </c>
      <c r="O326" s="12" t="s">
        <v>1490</v>
      </c>
      <c r="P326" s="12" t="s">
        <v>2480</v>
      </c>
      <c r="Q326" s="12" t="s">
        <v>1342</v>
      </c>
      <c r="R326" s="13" t="s">
        <v>1871</v>
      </c>
      <c r="S326" s="13" t="s">
        <v>1342</v>
      </c>
      <c r="T326" s="23" t="s">
        <v>1875</v>
      </c>
      <c r="U326" s="13" t="s">
        <v>1342</v>
      </c>
      <c r="V326" s="13" t="s">
        <v>1342</v>
      </c>
      <c r="W326" s="13" t="s">
        <v>1342</v>
      </c>
      <c r="X326" s="12" t="str">
        <f>VLOOKUP($D326,global_toc!$C:$K,7,FALSE)</f>
        <v>79AUG03XX</v>
      </c>
      <c r="Y326" s="12" t="str">
        <f>VLOOKUP($D326,global_toc!$C:$K,8,FALSE)</f>
        <v>11OCT17XA</v>
      </c>
      <c r="Z326" s="12">
        <f>VLOOKUP($D326,global_toc!$C:$K,9,FALSE)</f>
        <v>5029</v>
      </c>
      <c r="AA326" s="19" t="str">
        <f t="shared" ref="AA326:AA389" si="17">IF(T326="-",J326,T326)</f>
        <v xml:space="preserve">Array: (FJD of start, spacing in days, number points) </v>
      </c>
    </row>
    <row r="327" spans="1:27" x14ac:dyDescent="0.2">
      <c r="A327" s="12">
        <v>231</v>
      </c>
      <c r="B327" s="12">
        <v>1</v>
      </c>
      <c r="C327" s="12" t="str">
        <f t="shared" si="14"/>
        <v>WobbleOrigin</v>
      </c>
      <c r="D327" s="14" t="s">
        <v>669</v>
      </c>
      <c r="E327" s="12">
        <v>40</v>
      </c>
      <c r="F327" s="12">
        <v>1</v>
      </c>
      <c r="G327" s="12">
        <v>1</v>
      </c>
      <c r="H327" s="12" t="s">
        <v>589</v>
      </c>
      <c r="I327" s="12">
        <v>5</v>
      </c>
      <c r="J327" s="12" t="s">
        <v>670</v>
      </c>
      <c r="K327" s="12" t="s">
        <v>1340</v>
      </c>
      <c r="L327" s="23" t="s">
        <v>1342</v>
      </c>
      <c r="M327" s="13" t="s">
        <v>1464</v>
      </c>
      <c r="N327" s="13" t="s">
        <v>1490</v>
      </c>
      <c r="O327" s="12" t="s">
        <v>1490</v>
      </c>
      <c r="P327" s="12" t="s">
        <v>2480</v>
      </c>
      <c r="Q327" s="12" t="s">
        <v>1342</v>
      </c>
      <c r="R327" s="13" t="s">
        <v>1869</v>
      </c>
      <c r="S327" s="13" t="s">
        <v>1342</v>
      </c>
      <c r="T327" s="23" t="s">
        <v>1342</v>
      </c>
      <c r="U327" s="13" t="s">
        <v>1342</v>
      </c>
      <c r="V327" s="13" t="s">
        <v>1342</v>
      </c>
      <c r="W327" s="13" t="s">
        <v>1342</v>
      </c>
      <c r="X327" s="12" t="str">
        <f>VLOOKUP($D327,global_toc!$C:$K,7,FALSE)</f>
        <v>79AUG03XX</v>
      </c>
      <c r="Y327" s="12" t="str">
        <f>VLOOKUP($D327,global_toc!$C:$K,8,FALSE)</f>
        <v>11OCT17XA</v>
      </c>
      <c r="Z327" s="12">
        <f>VLOOKUP($D327,global_toc!$C:$K,9,FALSE)</f>
        <v>5029</v>
      </c>
      <c r="AA327" s="19" t="str">
        <f t="shared" si="17"/>
        <v>Final Value wobble origin text.</v>
      </c>
    </row>
    <row r="328" spans="1:27" x14ac:dyDescent="0.2">
      <c r="A328" s="12">
        <v>236</v>
      </c>
      <c r="B328" s="12">
        <v>1</v>
      </c>
      <c r="C328" s="12" t="str">
        <f t="shared" si="14"/>
        <v>WobIntrpMode</v>
      </c>
      <c r="D328" s="14" t="s">
        <v>665</v>
      </c>
      <c r="E328" s="12">
        <v>30</v>
      </c>
      <c r="F328" s="12">
        <v>1</v>
      </c>
      <c r="G328" s="12">
        <v>1</v>
      </c>
      <c r="H328" s="12" t="s">
        <v>589</v>
      </c>
      <c r="I328" s="12">
        <v>5</v>
      </c>
      <c r="J328" s="12" t="s">
        <v>666</v>
      </c>
      <c r="K328" s="12" t="s">
        <v>1340</v>
      </c>
      <c r="L328" s="23" t="s">
        <v>1342</v>
      </c>
      <c r="M328" s="13" t="s">
        <v>1464</v>
      </c>
      <c r="N328" s="13" t="s">
        <v>1490</v>
      </c>
      <c r="O328" s="12" t="s">
        <v>1490</v>
      </c>
      <c r="P328" s="12" t="s">
        <v>2480</v>
      </c>
      <c r="Q328" s="12" t="s">
        <v>1342</v>
      </c>
      <c r="R328" s="13" t="s">
        <v>1877</v>
      </c>
      <c r="S328" s="13" t="s">
        <v>1342</v>
      </c>
      <c r="T328" s="23" t="s">
        <v>1342</v>
      </c>
      <c r="U328" s="13" t="s">
        <v>1342</v>
      </c>
      <c r="V328" s="13" t="s">
        <v>1342</v>
      </c>
      <c r="W328" s="13" t="s">
        <v>1342</v>
      </c>
      <c r="X328" s="12" t="str">
        <f>VLOOKUP($D328,global_toc!$C:$K,7,FALSE)</f>
        <v>79AUG03XX</v>
      </c>
      <c r="Y328" s="12" t="str">
        <f>VLOOKUP($D328,global_toc!$C:$K,8,FALSE)</f>
        <v>11OCT17XA</v>
      </c>
      <c r="Z328" s="12">
        <f>VLOOKUP($D328,global_toc!$C:$K,9,FALSE)</f>
        <v>5029</v>
      </c>
      <c r="AA328" s="19" t="str">
        <f t="shared" si="17"/>
        <v>Interp. scheme for polar motion.</v>
      </c>
    </row>
    <row r="329" spans="1:27" x14ac:dyDescent="0.2">
      <c r="A329" s="12">
        <v>232</v>
      </c>
      <c r="B329" s="12">
        <v>1</v>
      </c>
      <c r="C329" s="12" t="str">
        <f t="shared" si="14"/>
        <v>WobValues</v>
      </c>
      <c r="D329" s="14" t="s">
        <v>517</v>
      </c>
      <c r="E329" s="12">
        <v>2</v>
      </c>
      <c r="F329" s="12">
        <v>15</v>
      </c>
      <c r="G329" s="12">
        <v>1</v>
      </c>
      <c r="H329" s="12" t="s">
        <v>447</v>
      </c>
      <c r="I329" s="12">
        <v>5</v>
      </c>
      <c r="J329" s="12" t="s">
        <v>1675</v>
      </c>
      <c r="K329" s="12" t="s">
        <v>1340</v>
      </c>
      <c r="L329" s="23" t="s">
        <v>1342</v>
      </c>
      <c r="M329" s="13" t="s">
        <v>1464</v>
      </c>
      <c r="N329" s="13" t="s">
        <v>1490</v>
      </c>
      <c r="O329" s="12" t="s">
        <v>1490</v>
      </c>
      <c r="P329" s="12" t="s">
        <v>2480</v>
      </c>
      <c r="Q329" s="12" t="s">
        <v>1342</v>
      </c>
      <c r="R329" s="13" t="s">
        <v>1870</v>
      </c>
      <c r="S329" s="13" t="s">
        <v>1342</v>
      </c>
      <c r="T329" s="23" t="s">
        <v>1342</v>
      </c>
      <c r="U329" s="13" t="s">
        <v>1342</v>
      </c>
      <c r="V329" s="13" t="s">
        <v>1342</v>
      </c>
      <c r="W329" s="13" t="s">
        <v>1342</v>
      </c>
      <c r="X329" s="12" t="str">
        <f>VLOOKUP($D329,global_toc!$C:$K,7,FALSE)</f>
        <v>79AUG03XX</v>
      </c>
      <c r="Y329" s="12" t="str">
        <f>VLOOKUP($D329,global_toc!$C:$K,8,FALSE)</f>
        <v>11OCT17XA</v>
      </c>
      <c r="Z329" s="12">
        <f>VLOOKUP($D329,global_toc!$C:$K,9,FALSE)</f>
        <v>5029</v>
      </c>
      <c r="AA329" s="19" t="str">
        <f t="shared" si="17"/>
        <v>Final wobble X Y component value</v>
      </c>
    </row>
    <row r="330" spans="1:27" x14ac:dyDescent="0.2">
      <c r="A330" s="12">
        <v>160</v>
      </c>
      <c r="B330" s="12">
        <v>1</v>
      </c>
      <c r="C330" s="12" t="str">
        <f t="shared" si="14"/>
        <v>ATIControl</v>
      </c>
      <c r="D330" s="14" t="s">
        <v>673</v>
      </c>
      <c r="E330" s="12">
        <v>40</v>
      </c>
      <c r="F330" s="12">
        <v>1</v>
      </c>
      <c r="G330" s="12">
        <v>1</v>
      </c>
      <c r="H330" s="12" t="s">
        <v>589</v>
      </c>
      <c r="I330" s="12">
        <v>5</v>
      </c>
      <c r="J330" s="12" t="s">
        <v>674</v>
      </c>
      <c r="K330" s="12" t="s">
        <v>1340</v>
      </c>
      <c r="L330" s="23" t="s">
        <v>1342</v>
      </c>
      <c r="M330" s="13" t="s">
        <v>1464</v>
      </c>
      <c r="N330" s="13" t="s">
        <v>1490</v>
      </c>
      <c r="O330" s="12" t="s">
        <v>1490</v>
      </c>
      <c r="P330" s="12" t="s">
        <v>1963</v>
      </c>
      <c r="Q330" s="12" t="s">
        <v>1247</v>
      </c>
      <c r="R330" s="13" t="s">
        <v>2572</v>
      </c>
      <c r="S330" s="13" t="s">
        <v>1342</v>
      </c>
      <c r="T330" s="23" t="s">
        <v>1342</v>
      </c>
      <c r="U330" s="13" t="s">
        <v>1342</v>
      </c>
      <c r="V330" s="13" t="s">
        <v>1342</v>
      </c>
      <c r="W330" s="13" t="s">
        <v>1342</v>
      </c>
      <c r="X330" s="12" t="str">
        <f>VLOOKUP($D330,global_toc!$C:$K,7,FALSE)</f>
        <v>79AUG03XX</v>
      </c>
      <c r="Y330" s="12" t="str">
        <f>VLOOKUP($D330,global_toc!$C:$K,8,FALSE)</f>
        <v>11OCT17XA</v>
      </c>
      <c r="Z330" s="12">
        <f>VLOOKUP($D330,global_toc!$C:$K,9,FALSE)</f>
        <v>5029</v>
      </c>
      <c r="AA330" s="19" t="str">
        <f t="shared" si="17"/>
        <v>ATIME Flow Control Message Def.</v>
      </c>
    </row>
    <row r="331" spans="1:27" x14ac:dyDescent="0.2">
      <c r="A331" s="12">
        <v>161</v>
      </c>
      <c r="B331" s="12">
        <v>1</v>
      </c>
      <c r="C331" s="12" t="str">
        <f t="shared" si="14"/>
        <v>ATIMessage</v>
      </c>
      <c r="D331" s="14" t="s">
        <v>671</v>
      </c>
      <c r="E331" s="12">
        <v>40</v>
      </c>
      <c r="F331" s="12">
        <v>1</v>
      </c>
      <c r="G331" s="12">
        <v>1</v>
      </c>
      <c r="H331" s="12" t="s">
        <v>589</v>
      </c>
      <c r="I331" s="12">
        <v>5</v>
      </c>
      <c r="J331" s="12" t="s">
        <v>672</v>
      </c>
      <c r="K331" s="12" t="s">
        <v>1340</v>
      </c>
      <c r="L331" s="23" t="s">
        <v>1342</v>
      </c>
      <c r="M331" s="13" t="s">
        <v>1464</v>
      </c>
      <c r="N331" s="13" t="s">
        <v>1490</v>
      </c>
      <c r="O331" s="12" t="s">
        <v>1490</v>
      </c>
      <c r="P331" s="12" t="s">
        <v>1963</v>
      </c>
      <c r="Q331" s="12" t="s">
        <v>1247</v>
      </c>
      <c r="R331" s="13" t="s">
        <v>1970</v>
      </c>
      <c r="S331" s="13" t="s">
        <v>1342</v>
      </c>
      <c r="T331" s="23" t="s">
        <v>1342</v>
      </c>
      <c r="U331" s="13" t="s">
        <v>1342</v>
      </c>
      <c r="V331" s="13" t="s">
        <v>1342</v>
      </c>
      <c r="W331" s="13" t="s">
        <v>1342</v>
      </c>
      <c r="X331" s="12" t="str">
        <f>VLOOKUP($D331,global_toc!$C:$K,7,FALSE)</f>
        <v>79AUG03XX</v>
      </c>
      <c r="Y331" s="12" t="str">
        <f>VLOOKUP($D331,global_toc!$C:$K,8,FALSE)</f>
        <v>11OCT17XA</v>
      </c>
      <c r="Z331" s="12">
        <f>VLOOKUP($D331,global_toc!$C:$K,9,FALSE)</f>
        <v>5029</v>
      </c>
      <c r="AA331" s="19" t="str">
        <f t="shared" si="17"/>
        <v>ATIME Message Definition</v>
      </c>
    </row>
    <row r="332" spans="1:27" x14ac:dyDescent="0.2">
      <c r="A332" s="12">
        <v>162</v>
      </c>
      <c r="B332" s="12">
        <v>1</v>
      </c>
      <c r="C332" s="12" t="str">
        <f t="shared" si="14"/>
        <v>ATMControl</v>
      </c>
      <c r="D332" s="14" t="s">
        <v>613</v>
      </c>
      <c r="E332" s="12">
        <v>40</v>
      </c>
      <c r="F332" s="12">
        <v>1</v>
      </c>
      <c r="G332" s="12">
        <v>1</v>
      </c>
      <c r="H332" s="12" t="s">
        <v>589</v>
      </c>
      <c r="I332" s="12">
        <v>5</v>
      </c>
      <c r="J332" s="12" t="s">
        <v>614</v>
      </c>
      <c r="K332" s="12" t="s">
        <v>1340</v>
      </c>
      <c r="L332" s="23" t="s">
        <v>1342</v>
      </c>
      <c r="M332" s="13" t="s">
        <v>1464</v>
      </c>
      <c r="N332" s="13" t="s">
        <v>1490</v>
      </c>
      <c r="O332" s="12" t="s">
        <v>1490</v>
      </c>
      <c r="P332" s="12" t="s">
        <v>1963</v>
      </c>
      <c r="Q332" s="12" t="s">
        <v>1247</v>
      </c>
      <c r="R332" s="13" t="s">
        <v>2573</v>
      </c>
      <c r="S332" s="13" t="s">
        <v>1342</v>
      </c>
      <c r="T332" s="23" t="s">
        <v>1342</v>
      </c>
      <c r="U332" s="13" t="s">
        <v>1342</v>
      </c>
      <c r="V332" s="13" t="s">
        <v>1342</v>
      </c>
      <c r="W332" s="13" t="s">
        <v>1342</v>
      </c>
      <c r="X332" s="12" t="str">
        <f>VLOOKUP($D332,global_toc!$C:$K,7,FALSE)</f>
        <v>79AUG03XX</v>
      </c>
      <c r="Y332" s="12" t="str">
        <f>VLOOKUP($D332,global_toc!$C:$K,8,FALSE)</f>
        <v>11OCT17XA</v>
      </c>
      <c r="Z332" s="12">
        <f>VLOOKUP($D332,global_toc!$C:$K,9,FALSE)</f>
        <v>5029</v>
      </c>
      <c r="AA332" s="19" t="str">
        <f t="shared" si="17"/>
        <v>Atmosphere control flag mess def</v>
      </c>
    </row>
    <row r="333" spans="1:27" x14ac:dyDescent="0.2">
      <c r="A333" s="12">
        <v>163</v>
      </c>
      <c r="B333" s="12">
        <v>1</v>
      </c>
      <c r="C333" s="12" t="str">
        <f t="shared" si="14"/>
        <v>ATMMessage</v>
      </c>
      <c r="D333" s="14" t="s">
        <v>611</v>
      </c>
      <c r="E333" s="12">
        <v>40</v>
      </c>
      <c r="F333" s="12">
        <v>1</v>
      </c>
      <c r="G333" s="12">
        <v>1</v>
      </c>
      <c r="H333" s="12" t="s">
        <v>589</v>
      </c>
      <c r="I333" s="12">
        <v>5</v>
      </c>
      <c r="J333" s="12" t="s">
        <v>612</v>
      </c>
      <c r="K333" s="12" t="s">
        <v>1340</v>
      </c>
      <c r="L333" s="23" t="s">
        <v>1342</v>
      </c>
      <c r="M333" s="13" t="s">
        <v>1464</v>
      </c>
      <c r="N333" s="13" t="s">
        <v>1490</v>
      </c>
      <c r="O333" s="12" t="s">
        <v>1490</v>
      </c>
      <c r="P333" s="12" t="s">
        <v>1963</v>
      </c>
      <c r="Q333" s="12" t="s">
        <v>1247</v>
      </c>
      <c r="R333" s="13" t="s">
        <v>1971</v>
      </c>
      <c r="S333" s="13" t="s">
        <v>1342</v>
      </c>
      <c r="T333" s="23" t="s">
        <v>1342</v>
      </c>
      <c r="U333" s="13" t="s">
        <v>1342</v>
      </c>
      <c r="V333" s="13" t="s">
        <v>1342</v>
      </c>
      <c r="W333" s="13" t="s">
        <v>1342</v>
      </c>
      <c r="X333" s="12" t="str">
        <f>VLOOKUP($D333,global_toc!$C:$K,7,FALSE)</f>
        <v>79AUG03XX</v>
      </c>
      <c r="Y333" s="12" t="str">
        <f>VLOOKUP($D333,global_toc!$C:$K,8,FALSE)</f>
        <v>11OCT17XA</v>
      </c>
      <c r="Z333" s="12">
        <f>VLOOKUP($D333,global_toc!$C:$K,9,FALSE)</f>
        <v>5029</v>
      </c>
      <c r="AA333" s="19" t="str">
        <f t="shared" si="17"/>
        <v>Atmosphere message definition</v>
      </c>
    </row>
    <row r="334" spans="1:27" x14ac:dyDescent="0.2">
      <c r="A334" s="12">
        <v>164</v>
      </c>
      <c r="B334" s="12">
        <v>1</v>
      </c>
      <c r="C334" s="12" t="str">
        <f t="shared" si="14"/>
        <v>AxisOffsetControl</v>
      </c>
      <c r="D334" s="14" t="s">
        <v>617</v>
      </c>
      <c r="E334" s="12">
        <v>40</v>
      </c>
      <c r="F334" s="12">
        <v>1</v>
      </c>
      <c r="G334" s="12">
        <v>1</v>
      </c>
      <c r="H334" s="12" t="s">
        <v>589</v>
      </c>
      <c r="I334" s="12">
        <v>5</v>
      </c>
      <c r="J334" s="12" t="s">
        <v>618</v>
      </c>
      <c r="K334" s="12" t="s">
        <v>1340</v>
      </c>
      <c r="L334" s="23" t="s">
        <v>1342</v>
      </c>
      <c r="M334" s="13" t="s">
        <v>1464</v>
      </c>
      <c r="N334" s="13" t="s">
        <v>1490</v>
      </c>
      <c r="O334" s="12" t="s">
        <v>1490</v>
      </c>
      <c r="P334" s="12" t="s">
        <v>1963</v>
      </c>
      <c r="Q334" s="12" t="s">
        <v>1247</v>
      </c>
      <c r="R334" s="13" t="s">
        <v>2574</v>
      </c>
      <c r="S334" s="13" t="s">
        <v>1342</v>
      </c>
      <c r="T334" s="23" t="s">
        <v>1342</v>
      </c>
      <c r="U334" s="13" t="s">
        <v>1342</v>
      </c>
      <c r="V334" s="13" t="s">
        <v>1342</v>
      </c>
      <c r="W334" s="13" t="s">
        <v>1342</v>
      </c>
      <c r="X334" s="12" t="str">
        <f>VLOOKUP($D334,global_toc!$C:$K,7,FALSE)</f>
        <v>79AUG03XX</v>
      </c>
      <c r="Y334" s="12" t="str">
        <f>VLOOKUP($D334,global_toc!$C:$K,8,FALSE)</f>
        <v>11OCT17XA</v>
      </c>
      <c r="Z334" s="12">
        <f>VLOOKUP($D334,global_toc!$C:$K,9,FALSE)</f>
        <v>5029</v>
      </c>
      <c r="AA334" s="19" t="str">
        <f t="shared" si="17"/>
        <v>Axis Offset Control flag mes def</v>
      </c>
    </row>
    <row r="335" spans="1:27" x14ac:dyDescent="0.2">
      <c r="A335" s="12">
        <v>165</v>
      </c>
      <c r="B335" s="12">
        <v>1</v>
      </c>
      <c r="C335" s="12" t="str">
        <f t="shared" si="14"/>
        <v>AxisOffsetMessage</v>
      </c>
      <c r="D335" s="14" t="s">
        <v>615</v>
      </c>
      <c r="E335" s="12">
        <v>40</v>
      </c>
      <c r="F335" s="12">
        <v>1</v>
      </c>
      <c r="G335" s="12">
        <v>1</v>
      </c>
      <c r="H335" s="12" t="s">
        <v>589</v>
      </c>
      <c r="I335" s="12">
        <v>5</v>
      </c>
      <c r="J335" s="12" t="s">
        <v>616</v>
      </c>
      <c r="K335" s="12" t="s">
        <v>1340</v>
      </c>
      <c r="L335" s="23" t="s">
        <v>1342</v>
      </c>
      <c r="M335" s="13" t="s">
        <v>1464</v>
      </c>
      <c r="N335" s="13" t="s">
        <v>1490</v>
      </c>
      <c r="O335" s="12" t="s">
        <v>1490</v>
      </c>
      <c r="P335" s="12" t="s">
        <v>1963</v>
      </c>
      <c r="Q335" s="12" t="s">
        <v>1247</v>
      </c>
      <c r="R335" s="13" t="s">
        <v>1972</v>
      </c>
      <c r="S335" s="13" t="s">
        <v>1342</v>
      </c>
      <c r="T335" s="23" t="s">
        <v>1342</v>
      </c>
      <c r="U335" s="13" t="s">
        <v>1342</v>
      </c>
      <c r="V335" s="13" t="s">
        <v>1342</v>
      </c>
      <c r="W335" s="13" t="s">
        <v>1342</v>
      </c>
      <c r="X335" s="12" t="str">
        <f>VLOOKUP($D335,global_toc!$C:$K,7,FALSE)</f>
        <v>79AUG03XX</v>
      </c>
      <c r="Y335" s="12" t="str">
        <f>VLOOKUP($D335,global_toc!$C:$K,8,FALSE)</f>
        <v>11OCT17XA</v>
      </c>
      <c r="Z335" s="12">
        <f>VLOOKUP($D335,global_toc!$C:$K,9,FALSE)</f>
        <v>5029</v>
      </c>
      <c r="AA335" s="19" t="str">
        <f t="shared" si="17"/>
        <v>Axis Offset Message Definition</v>
      </c>
    </row>
    <row r="336" spans="1:27" x14ac:dyDescent="0.2">
      <c r="A336" s="12">
        <v>167</v>
      </c>
      <c r="B336" s="12">
        <v>1</v>
      </c>
      <c r="C336" s="12" t="str">
        <f t="shared" si="14"/>
        <v>CalcControlNames</v>
      </c>
      <c r="D336" s="14" t="s">
        <v>685</v>
      </c>
      <c r="E336" s="12">
        <v>2</v>
      </c>
      <c r="F336" s="12">
        <v>31</v>
      </c>
      <c r="G336" s="12">
        <v>1</v>
      </c>
      <c r="H336" s="12" t="s">
        <v>589</v>
      </c>
      <c r="I336" s="12">
        <v>5</v>
      </c>
      <c r="J336" s="12" t="s">
        <v>686</v>
      </c>
      <c r="K336" s="12" t="s">
        <v>1340</v>
      </c>
      <c r="L336" s="23" t="s">
        <v>1342</v>
      </c>
      <c r="M336" s="13" t="s">
        <v>1464</v>
      </c>
      <c r="N336" s="13" t="s">
        <v>1490</v>
      </c>
      <c r="O336" s="12" t="s">
        <v>1490</v>
      </c>
      <c r="P336" s="12" t="s">
        <v>1963</v>
      </c>
      <c r="Q336" s="12" t="s">
        <v>1247</v>
      </c>
      <c r="R336" s="13" t="s">
        <v>2575</v>
      </c>
      <c r="S336" s="13" t="s">
        <v>1342</v>
      </c>
      <c r="T336" s="23" t="s">
        <v>1342</v>
      </c>
      <c r="U336" s="13" t="s">
        <v>1342</v>
      </c>
      <c r="V336" s="13" t="s">
        <v>1342</v>
      </c>
      <c r="W336" s="13" t="s">
        <v>1342</v>
      </c>
      <c r="X336" s="12" t="str">
        <f>VLOOKUP($D336,global_toc!$C:$K,7,FALSE)</f>
        <v>79AUG03XX</v>
      </c>
      <c r="Y336" s="12" t="str">
        <f>VLOOKUP($D336,global_toc!$C:$K,8,FALSE)</f>
        <v>11OCT17XA</v>
      </c>
      <c r="Z336" s="12">
        <f>VLOOKUP($D336,global_toc!$C:$K,9,FALSE)</f>
        <v>5029</v>
      </c>
      <c r="AA336" s="19" t="str">
        <f t="shared" si="17"/>
        <v>CALC flow control flags name def</v>
      </c>
    </row>
    <row r="337" spans="1:27" x14ac:dyDescent="0.2">
      <c r="A337" s="12">
        <v>168</v>
      </c>
      <c r="B337" s="12">
        <v>1</v>
      </c>
      <c r="C337" s="12" t="str">
        <f t="shared" si="14"/>
        <v>CalcControlValues</v>
      </c>
      <c r="D337" s="14" t="s">
        <v>562</v>
      </c>
      <c r="E337" s="12">
        <v>31</v>
      </c>
      <c r="F337" s="12">
        <v>1</v>
      </c>
      <c r="G337" s="12">
        <v>1</v>
      </c>
      <c r="H337" s="12" t="s">
        <v>544</v>
      </c>
      <c r="I337" s="12">
        <v>5</v>
      </c>
      <c r="J337" s="12" t="s">
        <v>563</v>
      </c>
      <c r="K337" s="12" t="s">
        <v>1340</v>
      </c>
      <c r="L337" s="23" t="s">
        <v>1342</v>
      </c>
      <c r="M337" s="13" t="s">
        <v>1464</v>
      </c>
      <c r="N337" s="13" t="s">
        <v>1490</v>
      </c>
      <c r="O337" s="12" t="s">
        <v>1490</v>
      </c>
      <c r="P337" s="12" t="s">
        <v>1963</v>
      </c>
      <c r="Q337" s="12" t="s">
        <v>1247</v>
      </c>
      <c r="R337" s="13" t="s">
        <v>2576</v>
      </c>
      <c r="S337" s="13" t="s">
        <v>1342</v>
      </c>
      <c r="T337" s="23" t="s">
        <v>1342</v>
      </c>
      <c r="U337" s="13" t="s">
        <v>1342</v>
      </c>
      <c r="V337" s="13" t="s">
        <v>1342</v>
      </c>
      <c r="W337" s="13" t="s">
        <v>1342</v>
      </c>
      <c r="X337" s="12" t="str">
        <f>VLOOKUP($D337,global_toc!$C:$K,7,FALSE)</f>
        <v>79AUG03XX</v>
      </c>
      <c r="Y337" s="12" t="str">
        <f>VLOOKUP($D337,global_toc!$C:$K,8,FALSE)</f>
        <v>11OCT17XA</v>
      </c>
      <c r="Z337" s="12">
        <f>VLOOKUP($D337,global_toc!$C:$K,9,FALSE)</f>
        <v>5029</v>
      </c>
      <c r="AA337" s="19" t="str">
        <f t="shared" si="17"/>
        <v>CALC flow control flags valu def</v>
      </c>
    </row>
    <row r="338" spans="1:27" x14ac:dyDescent="0.2">
      <c r="A338" s="12">
        <v>166</v>
      </c>
      <c r="B338" s="12">
        <v>1</v>
      </c>
      <c r="C338" s="12" t="str">
        <f t="shared" si="14"/>
        <v>CalcVersion</v>
      </c>
      <c r="D338" s="14" t="s">
        <v>519</v>
      </c>
      <c r="E338" s="12">
        <v>1</v>
      </c>
      <c r="F338" s="12">
        <v>1</v>
      </c>
      <c r="G338" s="12">
        <v>1</v>
      </c>
      <c r="H338" s="12" t="s">
        <v>447</v>
      </c>
      <c r="I338" s="12">
        <v>5</v>
      </c>
      <c r="J338" s="12" t="s">
        <v>520</v>
      </c>
      <c r="K338" s="12" t="s">
        <v>1340</v>
      </c>
      <c r="L338" s="23" t="s">
        <v>1342</v>
      </c>
      <c r="M338" s="13" t="s">
        <v>1464</v>
      </c>
      <c r="N338" s="13" t="s">
        <v>1490</v>
      </c>
      <c r="O338" s="12" t="s">
        <v>1490</v>
      </c>
      <c r="P338" s="12" t="s">
        <v>1963</v>
      </c>
      <c r="Q338" s="12" t="s">
        <v>1247</v>
      </c>
      <c r="R338" s="13" t="s">
        <v>1973</v>
      </c>
      <c r="S338" s="13" t="s">
        <v>1342</v>
      </c>
      <c r="T338" s="23" t="s">
        <v>1342</v>
      </c>
      <c r="U338" s="13" t="s">
        <v>1342</v>
      </c>
      <c r="V338" s="13" t="s">
        <v>1342</v>
      </c>
      <c r="W338" s="13" t="s">
        <v>1342</v>
      </c>
      <c r="X338" s="12" t="str">
        <f>VLOOKUP($D338,global_toc!$C:$K,7,FALSE)</f>
        <v>79AUG03XX</v>
      </c>
      <c r="Y338" s="12" t="str">
        <f>VLOOKUP($D338,global_toc!$C:$K,8,FALSE)</f>
        <v>11OCT17XA</v>
      </c>
      <c r="Z338" s="12">
        <f>VLOOKUP($D338,global_toc!$C:$K,9,FALSE)</f>
        <v>5029</v>
      </c>
      <c r="AA338" s="19" t="str">
        <f t="shared" si="17"/>
        <v>CALC version number</v>
      </c>
    </row>
    <row r="339" spans="1:27" x14ac:dyDescent="0.2">
      <c r="A339" s="12">
        <v>169</v>
      </c>
      <c r="B339" s="12">
        <v>1</v>
      </c>
      <c r="C339" s="12" t="str">
        <f t="shared" si="14"/>
        <v>CoronaData</v>
      </c>
      <c r="D339" s="12" t="s">
        <v>167</v>
      </c>
      <c r="E339" s="12">
        <v>2</v>
      </c>
      <c r="F339" s="12">
        <v>1</v>
      </c>
      <c r="G339" s="12">
        <v>1</v>
      </c>
      <c r="H339" s="12" t="s">
        <v>447</v>
      </c>
      <c r="I339" s="12">
        <v>1</v>
      </c>
      <c r="J339" s="12" t="s">
        <v>168</v>
      </c>
      <c r="K339" s="12" t="s">
        <v>1340</v>
      </c>
      <c r="L339" s="23" t="s">
        <v>1342</v>
      </c>
      <c r="M339" s="13" t="s">
        <v>1464</v>
      </c>
      <c r="N339" s="13" t="s">
        <v>1490</v>
      </c>
      <c r="O339" s="12" t="s">
        <v>1490</v>
      </c>
      <c r="P339" s="12" t="s">
        <v>1963</v>
      </c>
      <c r="Q339" s="12" t="s">
        <v>1247</v>
      </c>
      <c r="R339" s="13" t="s">
        <v>1976</v>
      </c>
      <c r="S339" s="13" t="s">
        <v>1342</v>
      </c>
      <c r="T339" s="23" t="s">
        <v>1342</v>
      </c>
      <c r="U339" s="13" t="s">
        <v>1342</v>
      </c>
      <c r="V339" s="13" t="s">
        <v>1342</v>
      </c>
      <c r="W339" s="13" t="s">
        <v>1342</v>
      </c>
      <c r="X339" s="12" t="str">
        <f>VLOOKUP($D339,global_toc!$C:$K,7,FALSE)</f>
        <v>89FEB22DX</v>
      </c>
      <c r="Y339" s="12" t="str">
        <f>VLOOKUP($D339,global_toc!$C:$K,8,FALSE)</f>
        <v>08MAY15XF</v>
      </c>
      <c r="Z339" s="12">
        <f>VLOOKUP($D339,global_toc!$C:$K,9,FALSE)</f>
        <v>136</v>
      </c>
      <c r="AA339" s="19" t="str">
        <f t="shared" si="17"/>
        <v>Corona model parameters.</v>
      </c>
    </row>
    <row r="340" spans="1:27" x14ac:dyDescent="0.2">
      <c r="A340" s="12">
        <v>170</v>
      </c>
      <c r="B340" s="12">
        <v>1</v>
      </c>
      <c r="C340" s="12" t="str">
        <f t="shared" ref="C340:C403" si="18">IF(R340="-",D340,R340)</f>
        <v>CTIControl</v>
      </c>
      <c r="D340" s="14" t="s">
        <v>677</v>
      </c>
      <c r="E340" s="12">
        <v>40</v>
      </c>
      <c r="F340" s="12">
        <v>1</v>
      </c>
      <c r="G340" s="12">
        <v>1</v>
      </c>
      <c r="H340" s="12" t="s">
        <v>589</v>
      </c>
      <c r="I340" s="12">
        <v>5</v>
      </c>
      <c r="J340" s="12" t="s">
        <v>678</v>
      </c>
      <c r="K340" s="12" t="s">
        <v>1340</v>
      </c>
      <c r="L340" s="23" t="s">
        <v>1342</v>
      </c>
      <c r="M340" s="13" t="s">
        <v>1464</v>
      </c>
      <c r="N340" s="13" t="s">
        <v>1490</v>
      </c>
      <c r="O340" s="12" t="s">
        <v>1490</v>
      </c>
      <c r="P340" s="12" t="s">
        <v>1963</v>
      </c>
      <c r="Q340" s="12" t="s">
        <v>1247</v>
      </c>
      <c r="R340" s="13" t="s">
        <v>2577</v>
      </c>
      <c r="S340" s="13" t="s">
        <v>1342</v>
      </c>
      <c r="T340" s="23" t="s">
        <v>1342</v>
      </c>
      <c r="U340" s="13" t="s">
        <v>1342</v>
      </c>
      <c r="V340" s="13" t="s">
        <v>1342</v>
      </c>
      <c r="W340" s="13" t="s">
        <v>1342</v>
      </c>
      <c r="X340" s="12" t="str">
        <f>VLOOKUP($D340,global_toc!$C:$K,7,FALSE)</f>
        <v>79AUG03XX</v>
      </c>
      <c r="Y340" s="12" t="str">
        <f>VLOOKUP($D340,global_toc!$C:$K,8,FALSE)</f>
        <v>11OCT17XA</v>
      </c>
      <c r="Z340" s="12">
        <f>VLOOKUP($D340,global_toc!$C:$K,9,FALSE)</f>
        <v>5029</v>
      </c>
      <c r="AA340" s="19" t="str">
        <f t="shared" si="17"/>
        <v>CTIMG Flow Control Message Der</v>
      </c>
    </row>
    <row r="341" spans="1:27" x14ac:dyDescent="0.2">
      <c r="A341" s="12">
        <v>171</v>
      </c>
      <c r="B341" s="12">
        <v>1</v>
      </c>
      <c r="C341" s="12" t="str">
        <f t="shared" si="18"/>
        <v>CTIMessage</v>
      </c>
      <c r="D341" s="14" t="s">
        <v>675</v>
      </c>
      <c r="E341" s="12">
        <v>40</v>
      </c>
      <c r="F341" s="12">
        <v>1</v>
      </c>
      <c r="G341" s="12">
        <v>1</v>
      </c>
      <c r="H341" s="12" t="s">
        <v>589</v>
      </c>
      <c r="I341" s="12">
        <v>5</v>
      </c>
      <c r="J341" s="12" t="s">
        <v>676</v>
      </c>
      <c r="K341" s="12" t="s">
        <v>1340</v>
      </c>
      <c r="L341" s="23" t="s">
        <v>1342</v>
      </c>
      <c r="M341" s="13" t="s">
        <v>1464</v>
      </c>
      <c r="N341" s="13" t="s">
        <v>1490</v>
      </c>
      <c r="O341" s="12" t="s">
        <v>1490</v>
      </c>
      <c r="P341" s="12" t="s">
        <v>1963</v>
      </c>
      <c r="Q341" s="12" t="s">
        <v>1247</v>
      </c>
      <c r="R341" s="13" t="s">
        <v>1977</v>
      </c>
      <c r="S341" s="13" t="s">
        <v>1342</v>
      </c>
      <c r="T341" s="23" t="s">
        <v>1342</v>
      </c>
      <c r="U341" s="13" t="s">
        <v>1342</v>
      </c>
      <c r="V341" s="13" t="s">
        <v>1342</v>
      </c>
      <c r="W341" s="13" t="s">
        <v>1342</v>
      </c>
      <c r="X341" s="12" t="str">
        <f>VLOOKUP($D341,global_toc!$C:$K,7,FALSE)</f>
        <v>79AUG03XX</v>
      </c>
      <c r="Y341" s="12" t="str">
        <f>VLOOKUP($D341,global_toc!$C:$K,8,FALSE)</f>
        <v>11OCT17XA</v>
      </c>
      <c r="Z341" s="12">
        <f>VLOOKUP($D341,global_toc!$C:$K,9,FALSE)</f>
        <v>5029</v>
      </c>
      <c r="AA341" s="19" t="str">
        <f t="shared" si="17"/>
        <v>CTIMG Message Definition</v>
      </c>
    </row>
    <row r="342" spans="1:27" x14ac:dyDescent="0.2">
      <c r="A342" s="12">
        <v>173</v>
      </c>
      <c r="B342" s="12">
        <v>1</v>
      </c>
      <c r="C342" s="12" t="str">
        <f t="shared" si="18"/>
        <v>EarthTideData</v>
      </c>
      <c r="D342" s="14" t="s">
        <v>449</v>
      </c>
      <c r="E342" s="12">
        <v>3</v>
      </c>
      <c r="F342" s="12">
        <v>1</v>
      </c>
      <c r="G342" s="12">
        <v>1</v>
      </c>
      <c r="H342" s="12" t="s">
        <v>447</v>
      </c>
      <c r="I342" s="12">
        <v>1</v>
      </c>
      <c r="J342" s="12" t="s">
        <v>1673</v>
      </c>
      <c r="K342" s="12" t="s">
        <v>1340</v>
      </c>
      <c r="L342" s="23" t="s">
        <v>1342</v>
      </c>
      <c r="M342" s="13" t="s">
        <v>1464</v>
      </c>
      <c r="N342" s="13" t="s">
        <v>1490</v>
      </c>
      <c r="O342" s="12" t="s">
        <v>1490</v>
      </c>
      <c r="P342" s="12" t="s">
        <v>1963</v>
      </c>
      <c r="Q342" s="12" t="s">
        <v>1247</v>
      </c>
      <c r="R342" s="13" t="s">
        <v>1980</v>
      </c>
      <c r="S342" s="13" t="s">
        <v>1342</v>
      </c>
      <c r="T342" s="23" t="s">
        <v>1342</v>
      </c>
      <c r="U342" s="13" t="s">
        <v>1342</v>
      </c>
      <c r="V342" s="13" t="s">
        <v>1342</v>
      </c>
      <c r="W342" s="13" t="s">
        <v>1342</v>
      </c>
      <c r="X342" s="12" t="str">
        <f>VLOOKUP($D342,global_toc!$C:$K,7,FALSE)</f>
        <v>79AUG03XX</v>
      </c>
      <c r="Y342" s="12" t="str">
        <f>VLOOKUP($D342,global_toc!$C:$K,8,FALSE)</f>
        <v>11OCT17XA</v>
      </c>
      <c r="Z342" s="12">
        <f>VLOOKUP($D342,global_toc!$C:$K,9,FALSE)</f>
        <v>5029</v>
      </c>
      <c r="AA342" s="19" t="str">
        <f t="shared" si="17"/>
        <v>Earth tide module data (la. h l)</v>
      </c>
    </row>
    <row r="343" spans="1:27" x14ac:dyDescent="0.2">
      <c r="A343" s="12">
        <v>172</v>
      </c>
      <c r="B343" s="12">
        <v>1</v>
      </c>
      <c r="C343" s="12" t="str">
        <f t="shared" si="18"/>
        <v>EarthTideControl</v>
      </c>
      <c r="D343" s="14" t="s">
        <v>623</v>
      </c>
      <c r="E343" s="12">
        <v>40</v>
      </c>
      <c r="F343" s="12">
        <v>1</v>
      </c>
      <c r="G343" s="12">
        <v>1</v>
      </c>
      <c r="H343" s="12" t="s">
        <v>589</v>
      </c>
      <c r="I343" s="12">
        <v>5</v>
      </c>
      <c r="J343" s="12" t="s">
        <v>624</v>
      </c>
      <c r="K343" s="12" t="s">
        <v>1340</v>
      </c>
      <c r="L343" s="23" t="s">
        <v>1342</v>
      </c>
      <c r="M343" s="13" t="s">
        <v>1464</v>
      </c>
      <c r="N343" s="13" t="s">
        <v>1490</v>
      </c>
      <c r="O343" s="12" t="s">
        <v>1490</v>
      </c>
      <c r="P343" s="12" t="s">
        <v>1963</v>
      </c>
      <c r="Q343" s="12" t="s">
        <v>1247</v>
      </c>
      <c r="R343" s="13" t="s">
        <v>2578</v>
      </c>
      <c r="S343" s="13" t="s">
        <v>1342</v>
      </c>
      <c r="T343" s="23" t="s">
        <v>1342</v>
      </c>
      <c r="U343" s="13" t="s">
        <v>1342</v>
      </c>
      <c r="V343" s="13" t="s">
        <v>1342</v>
      </c>
      <c r="W343" s="13" t="s">
        <v>1342</v>
      </c>
      <c r="X343" s="12" t="str">
        <f>VLOOKUP($D343,global_toc!$C:$K,7,FALSE)</f>
        <v>79AUG03XX</v>
      </c>
      <c r="Y343" s="12" t="str">
        <f>VLOOKUP($D343,global_toc!$C:$K,8,FALSE)</f>
        <v>11OCT17XA</v>
      </c>
      <c r="Z343" s="12">
        <f>VLOOKUP($D343,global_toc!$C:$K,9,FALSE)</f>
        <v>5029</v>
      </c>
      <c r="AA343" s="19" t="str">
        <f t="shared" si="17"/>
        <v>Earth Tide flow control mess def</v>
      </c>
    </row>
    <row r="344" spans="1:27" x14ac:dyDescent="0.2">
      <c r="A344" s="12">
        <v>174</v>
      </c>
      <c r="B344" s="12">
        <v>1</v>
      </c>
      <c r="C344" s="12" t="str">
        <f t="shared" si="18"/>
        <v>EarthTideMessage</v>
      </c>
      <c r="D344" s="14" t="s">
        <v>621</v>
      </c>
      <c r="E344" s="12">
        <v>40</v>
      </c>
      <c r="F344" s="12">
        <v>1</v>
      </c>
      <c r="G344" s="12">
        <v>1</v>
      </c>
      <c r="H344" s="12" t="s">
        <v>589</v>
      </c>
      <c r="I344" s="12">
        <v>5</v>
      </c>
      <c r="J344" s="12" t="s">
        <v>622</v>
      </c>
      <c r="K344" s="12" t="s">
        <v>1340</v>
      </c>
      <c r="L344" s="23" t="s">
        <v>1342</v>
      </c>
      <c r="M344" s="13" t="s">
        <v>1464</v>
      </c>
      <c r="N344" s="13" t="s">
        <v>1490</v>
      </c>
      <c r="O344" s="12" t="s">
        <v>1490</v>
      </c>
      <c r="P344" s="12" t="s">
        <v>1963</v>
      </c>
      <c r="Q344" s="12" t="s">
        <v>1247</v>
      </c>
      <c r="R344" s="13" t="s">
        <v>1979</v>
      </c>
      <c r="S344" s="13" t="s">
        <v>1342</v>
      </c>
      <c r="T344" s="23" t="s">
        <v>1342</v>
      </c>
      <c r="U344" s="13" t="s">
        <v>1342</v>
      </c>
      <c r="V344" s="13" t="s">
        <v>1342</v>
      </c>
      <c r="W344" s="13" t="s">
        <v>1342</v>
      </c>
      <c r="X344" s="12" t="str">
        <f>VLOOKUP($D344,global_toc!$C:$K,7,FALSE)</f>
        <v>79AUG03XX</v>
      </c>
      <c r="Y344" s="12" t="str">
        <f>VLOOKUP($D344,global_toc!$C:$K,8,FALSE)</f>
        <v>11OCT17XA</v>
      </c>
      <c r="Z344" s="12">
        <f>VLOOKUP($D344,global_toc!$C:$K,9,FALSE)</f>
        <v>5029</v>
      </c>
      <c r="AA344" s="19" t="str">
        <f t="shared" si="17"/>
        <v>Earth Tide message definition</v>
      </c>
    </row>
    <row r="345" spans="1:27" x14ac:dyDescent="0.2">
      <c r="A345" s="12">
        <v>186</v>
      </c>
      <c r="B345" s="12">
        <v>1</v>
      </c>
      <c r="C345" s="12" t="str">
        <f t="shared" si="18"/>
        <v>FeedhornMessage</v>
      </c>
      <c r="D345" s="14" t="s">
        <v>619</v>
      </c>
      <c r="E345" s="12">
        <v>40</v>
      </c>
      <c r="F345" s="12">
        <v>1</v>
      </c>
      <c r="G345" s="12">
        <v>1</v>
      </c>
      <c r="H345" s="12" t="s">
        <v>589</v>
      </c>
      <c r="I345" s="12">
        <v>5</v>
      </c>
      <c r="J345" s="12" t="s">
        <v>620</v>
      </c>
      <c r="K345" s="12" t="s">
        <v>1340</v>
      </c>
      <c r="L345" s="23" t="s">
        <v>1342</v>
      </c>
      <c r="M345" s="13" t="s">
        <v>1464</v>
      </c>
      <c r="N345" s="13" t="s">
        <v>1490</v>
      </c>
      <c r="O345" s="12" t="s">
        <v>1490</v>
      </c>
      <c r="P345" s="12" t="s">
        <v>1963</v>
      </c>
      <c r="Q345" s="12" t="s">
        <v>1247</v>
      </c>
      <c r="R345" s="13" t="s">
        <v>1992</v>
      </c>
      <c r="S345" s="13" t="s">
        <v>1342</v>
      </c>
      <c r="T345" s="23" t="s">
        <v>1342</v>
      </c>
      <c r="U345" s="13" t="s">
        <v>1342</v>
      </c>
      <c r="V345" s="13" t="s">
        <v>1342</v>
      </c>
      <c r="W345" s="13" t="s">
        <v>1342</v>
      </c>
      <c r="X345" s="12" t="str">
        <f>VLOOKUP($D345,global_toc!$C:$K,7,FALSE)</f>
        <v>79AUG03XX</v>
      </c>
      <c r="Y345" s="12" t="str">
        <f>VLOOKUP($D345,global_toc!$C:$K,8,FALSE)</f>
        <v>11OCT17XA</v>
      </c>
      <c r="Z345" s="12">
        <f>VLOOKUP($D345,global_toc!$C:$K,9,FALSE)</f>
        <v>5029</v>
      </c>
      <c r="AA345" s="19" t="str">
        <f t="shared" si="17"/>
        <v>Feedhorn rot. angle mod. ident.</v>
      </c>
    </row>
    <row r="346" spans="1:27" x14ac:dyDescent="0.2">
      <c r="A346" s="12">
        <v>175</v>
      </c>
      <c r="B346" s="12">
        <v>1</v>
      </c>
      <c r="C346" s="12" t="str">
        <f t="shared" si="18"/>
        <v>NutationControl</v>
      </c>
      <c r="D346" s="14" t="s">
        <v>631</v>
      </c>
      <c r="E346" s="12">
        <v>40</v>
      </c>
      <c r="F346" s="12">
        <v>1</v>
      </c>
      <c r="G346" s="12">
        <v>1</v>
      </c>
      <c r="H346" s="12" t="s">
        <v>589</v>
      </c>
      <c r="I346" s="12">
        <v>5</v>
      </c>
      <c r="J346" s="12" t="s">
        <v>632</v>
      </c>
      <c r="K346" s="12" t="s">
        <v>1340</v>
      </c>
      <c r="L346" s="23" t="s">
        <v>1342</v>
      </c>
      <c r="M346" s="13" t="s">
        <v>1464</v>
      </c>
      <c r="N346" s="13" t="s">
        <v>1490</v>
      </c>
      <c r="O346" s="12" t="s">
        <v>1490</v>
      </c>
      <c r="P346" s="12" t="s">
        <v>1963</v>
      </c>
      <c r="Q346" s="12" t="s">
        <v>1247</v>
      </c>
      <c r="R346" s="13" t="s">
        <v>2579</v>
      </c>
      <c r="S346" s="13" t="s">
        <v>1342</v>
      </c>
      <c r="T346" s="23" t="s">
        <v>1342</v>
      </c>
      <c r="U346" s="13" t="s">
        <v>1342</v>
      </c>
      <c r="V346" s="13" t="s">
        <v>1342</v>
      </c>
      <c r="W346" s="13" t="s">
        <v>1342</v>
      </c>
      <c r="X346" s="12" t="str">
        <f>VLOOKUP($D346,global_toc!$C:$K,7,FALSE)</f>
        <v>79AUG03XX</v>
      </c>
      <c r="Y346" s="12" t="str">
        <f>VLOOKUP($D346,global_toc!$C:$K,8,FALSE)</f>
        <v>11OCT17XA</v>
      </c>
      <c r="Z346" s="12">
        <f>VLOOKUP($D346,global_toc!$C:$K,9,FALSE)</f>
        <v>5029</v>
      </c>
      <c r="AA346" s="19" t="str">
        <f t="shared" si="17"/>
        <v>Nutation flow control mess def.</v>
      </c>
    </row>
    <row r="347" spans="1:27" x14ac:dyDescent="0.2">
      <c r="A347" s="12">
        <v>176</v>
      </c>
      <c r="B347" s="12">
        <v>1</v>
      </c>
      <c r="C347" s="12" t="str">
        <f t="shared" si="18"/>
        <v>NutationMessage</v>
      </c>
      <c r="D347" s="14" t="s">
        <v>629</v>
      </c>
      <c r="E347" s="12">
        <v>40</v>
      </c>
      <c r="F347" s="12">
        <v>1</v>
      </c>
      <c r="G347" s="12">
        <v>1</v>
      </c>
      <c r="H347" s="12" t="s">
        <v>589</v>
      </c>
      <c r="I347" s="12">
        <v>5</v>
      </c>
      <c r="J347" s="12" t="s">
        <v>630</v>
      </c>
      <c r="K347" s="12" t="s">
        <v>1340</v>
      </c>
      <c r="L347" s="23" t="s">
        <v>1342</v>
      </c>
      <c r="M347" s="13" t="s">
        <v>1464</v>
      </c>
      <c r="N347" s="13" t="s">
        <v>1490</v>
      </c>
      <c r="O347" s="12" t="s">
        <v>1490</v>
      </c>
      <c r="P347" s="12" t="s">
        <v>1963</v>
      </c>
      <c r="Q347" s="12" t="s">
        <v>1247</v>
      </c>
      <c r="R347" s="13" t="s">
        <v>2013</v>
      </c>
      <c r="S347" s="13" t="s">
        <v>1342</v>
      </c>
      <c r="T347" s="23" t="s">
        <v>1342</v>
      </c>
      <c r="U347" s="13" t="s">
        <v>1342</v>
      </c>
      <c r="V347" s="13" t="s">
        <v>1342</v>
      </c>
      <c r="W347" s="13" t="s">
        <v>1342</v>
      </c>
      <c r="X347" s="12" t="str">
        <f>VLOOKUP($D347,global_toc!$C:$K,7,FALSE)</f>
        <v>79AUG03XX</v>
      </c>
      <c r="Y347" s="12" t="str">
        <f>VLOOKUP($D347,global_toc!$C:$K,8,FALSE)</f>
        <v>11OCT17XA</v>
      </c>
      <c r="Z347" s="12">
        <f>VLOOKUP($D347,global_toc!$C:$K,9,FALSE)</f>
        <v>5029</v>
      </c>
      <c r="AA347" s="19" t="str">
        <f t="shared" si="17"/>
        <v>Nutation message definition</v>
      </c>
    </row>
    <row r="348" spans="1:27" x14ac:dyDescent="0.2">
      <c r="A348" s="12">
        <v>179</v>
      </c>
      <c r="B348" s="12">
        <v>1</v>
      </c>
      <c r="C348" s="12" t="str">
        <f t="shared" si="18"/>
        <v>OceanAmpEW</v>
      </c>
      <c r="D348" s="12" t="s">
        <v>244</v>
      </c>
      <c r="E348" s="12">
        <v>11</v>
      </c>
      <c r="F348" s="12">
        <v>2</v>
      </c>
      <c r="G348" s="12">
        <v>1</v>
      </c>
      <c r="H348" s="12" t="s">
        <v>447</v>
      </c>
      <c r="I348" s="12">
        <v>1</v>
      </c>
      <c r="J348" s="12" t="s">
        <v>245</v>
      </c>
      <c r="K348" s="12" t="s">
        <v>1340</v>
      </c>
      <c r="L348" s="23" t="s">
        <v>1342</v>
      </c>
      <c r="M348" s="13" t="s">
        <v>1464</v>
      </c>
      <c r="N348" s="13" t="s">
        <v>1490</v>
      </c>
      <c r="O348" s="12" t="s">
        <v>1490</v>
      </c>
      <c r="P348" s="12" t="s">
        <v>1963</v>
      </c>
      <c r="Q348" s="12" t="s">
        <v>1247</v>
      </c>
      <c r="R348" s="13" t="s">
        <v>1968</v>
      </c>
      <c r="S348" s="13" t="s">
        <v>1342</v>
      </c>
      <c r="T348" s="23" t="s">
        <v>1342</v>
      </c>
      <c r="U348" s="13" t="s">
        <v>1342</v>
      </c>
      <c r="V348" s="13" t="s">
        <v>1473</v>
      </c>
      <c r="W348" s="13" t="s">
        <v>1342</v>
      </c>
      <c r="X348" s="12" t="str">
        <f>VLOOKUP($D348,global_toc!$C:$K,7,FALSE)</f>
        <v>84JUL18DX</v>
      </c>
      <c r="Y348" s="12" t="str">
        <f>VLOOKUP($D348,global_toc!$C:$K,8,FALSE)</f>
        <v>91MAR25DX</v>
      </c>
      <c r="Z348" s="12">
        <f>VLOOKUP($D348,global_toc!$C:$K,9,FALSE)</f>
        <v>25</v>
      </c>
      <c r="AA348" s="19" t="str">
        <f t="shared" si="17"/>
        <v>Ocean amp. E-W component(meters)</v>
      </c>
    </row>
    <row r="349" spans="1:27" x14ac:dyDescent="0.2">
      <c r="A349" s="12">
        <v>180</v>
      </c>
      <c r="B349" s="12">
        <v>1</v>
      </c>
      <c r="C349" s="12" t="str">
        <f t="shared" si="18"/>
        <v>OceanAmpNS</v>
      </c>
      <c r="D349" s="12" t="s">
        <v>246</v>
      </c>
      <c r="E349" s="12">
        <v>11</v>
      </c>
      <c r="F349" s="12">
        <v>2</v>
      </c>
      <c r="G349" s="12">
        <v>1</v>
      </c>
      <c r="H349" s="12" t="s">
        <v>447</v>
      </c>
      <c r="I349" s="12">
        <v>1</v>
      </c>
      <c r="J349" s="12" t="s">
        <v>247</v>
      </c>
      <c r="K349" s="12" t="s">
        <v>1340</v>
      </c>
      <c r="L349" s="23" t="s">
        <v>1342</v>
      </c>
      <c r="M349" s="13" t="s">
        <v>1464</v>
      </c>
      <c r="N349" s="13" t="s">
        <v>1490</v>
      </c>
      <c r="O349" s="12" t="s">
        <v>1490</v>
      </c>
      <c r="P349" s="12" t="s">
        <v>1963</v>
      </c>
      <c r="Q349" s="12" t="s">
        <v>1247</v>
      </c>
      <c r="R349" s="13" t="s">
        <v>1969</v>
      </c>
      <c r="S349" s="13" t="s">
        <v>1342</v>
      </c>
      <c r="T349" s="23" t="s">
        <v>1342</v>
      </c>
      <c r="U349" s="13" t="s">
        <v>1342</v>
      </c>
      <c r="V349" s="13" t="s">
        <v>1473</v>
      </c>
      <c r="W349" s="13" t="s">
        <v>1342</v>
      </c>
      <c r="X349" s="12" t="str">
        <f>VLOOKUP($D349,global_toc!$C:$K,7,FALSE)</f>
        <v>84JUL18DX</v>
      </c>
      <c r="Y349" s="12" t="str">
        <f>VLOOKUP($D349,global_toc!$C:$K,8,FALSE)</f>
        <v>91MAR25DX</v>
      </c>
      <c r="Z349" s="12">
        <f>VLOOKUP($D349,global_toc!$C:$K,9,FALSE)</f>
        <v>25</v>
      </c>
      <c r="AA349" s="19" t="str">
        <f t="shared" si="17"/>
        <v>Ocean amp. N-S component(meters)</v>
      </c>
    </row>
    <row r="350" spans="1:27" x14ac:dyDescent="0.2">
      <c r="A350" s="12">
        <v>181</v>
      </c>
      <c r="B350" s="12">
        <v>1</v>
      </c>
      <c r="C350" s="12" t="str">
        <f t="shared" si="18"/>
        <v>OceanAmpUp</v>
      </c>
      <c r="D350" s="12" t="s">
        <v>242</v>
      </c>
      <c r="E350" s="12">
        <v>11</v>
      </c>
      <c r="F350" s="12">
        <v>2</v>
      </c>
      <c r="G350" s="12">
        <v>1</v>
      </c>
      <c r="H350" s="12" t="s">
        <v>447</v>
      </c>
      <c r="I350" s="12">
        <v>1</v>
      </c>
      <c r="J350" s="12" t="s">
        <v>2384</v>
      </c>
      <c r="K350" s="12" t="s">
        <v>1340</v>
      </c>
      <c r="L350" s="23" t="s">
        <v>1342</v>
      </c>
      <c r="M350" s="13" t="s">
        <v>1464</v>
      </c>
      <c r="N350" s="13" t="s">
        <v>1490</v>
      </c>
      <c r="O350" s="12" t="s">
        <v>1490</v>
      </c>
      <c r="P350" s="12" t="s">
        <v>1963</v>
      </c>
      <c r="Q350" s="12" t="s">
        <v>1247</v>
      </c>
      <c r="R350" s="13" t="s">
        <v>1987</v>
      </c>
      <c r="S350" s="13" t="s">
        <v>1342</v>
      </c>
      <c r="T350" s="23" t="s">
        <v>1342</v>
      </c>
      <c r="U350" s="13" t="s">
        <v>1342</v>
      </c>
      <c r="V350" s="13" t="s">
        <v>1473</v>
      </c>
      <c r="W350" s="13" t="s">
        <v>1342</v>
      </c>
      <c r="X350" s="12" t="str">
        <f>VLOOKUP($D350,global_toc!$C:$K,7,FALSE)</f>
        <v>84JUL18DX</v>
      </c>
      <c r="Y350" s="12" t="str">
        <f>VLOOKUP($D350,global_toc!$C:$K,8,FALSE)</f>
        <v>91MAR25DX</v>
      </c>
      <c r="Z350" s="12">
        <f>VLOOKUP($D350,global_toc!$C:$K,9,FALSE)</f>
        <v>25</v>
      </c>
      <c r="AA350" s="19" t="str">
        <f t="shared" si="17"/>
        <v>Ocean amp. radial comp.-meters.</v>
      </c>
    </row>
    <row r="351" spans="1:27" x14ac:dyDescent="0.2">
      <c r="A351" s="12">
        <v>177</v>
      </c>
      <c r="B351" s="12">
        <v>1</v>
      </c>
      <c r="C351" s="12" t="str">
        <f t="shared" si="18"/>
        <v>OceanControl</v>
      </c>
      <c r="D351" s="14" t="s">
        <v>635</v>
      </c>
      <c r="E351" s="12">
        <v>40</v>
      </c>
      <c r="F351" s="12">
        <v>1</v>
      </c>
      <c r="G351" s="12">
        <v>1</v>
      </c>
      <c r="H351" s="12" t="s">
        <v>589</v>
      </c>
      <c r="I351" s="12">
        <v>5</v>
      </c>
      <c r="J351" s="12" t="s">
        <v>636</v>
      </c>
      <c r="K351" s="12" t="s">
        <v>1340</v>
      </c>
      <c r="L351" s="23" t="s">
        <v>1342</v>
      </c>
      <c r="M351" s="13" t="s">
        <v>1464</v>
      </c>
      <c r="N351" s="13" t="s">
        <v>1490</v>
      </c>
      <c r="O351" s="12" t="s">
        <v>1490</v>
      </c>
      <c r="P351" s="12" t="s">
        <v>1963</v>
      </c>
      <c r="Q351" s="12" t="s">
        <v>1247</v>
      </c>
      <c r="R351" s="13" t="s">
        <v>2580</v>
      </c>
      <c r="S351" s="13" t="s">
        <v>1342</v>
      </c>
      <c r="T351" s="23" t="s">
        <v>1342</v>
      </c>
      <c r="U351" s="13" t="s">
        <v>1342</v>
      </c>
      <c r="V351" s="13" t="s">
        <v>1342</v>
      </c>
      <c r="W351" s="13" t="s">
        <v>1342</v>
      </c>
      <c r="X351" s="12" t="str">
        <f>VLOOKUP($D351,global_toc!$C:$K,7,FALSE)</f>
        <v>79AUG03XX</v>
      </c>
      <c r="Y351" s="12" t="str">
        <f>VLOOKUP($D351,global_toc!$C:$K,8,FALSE)</f>
        <v>11OCT17XA</v>
      </c>
      <c r="Z351" s="12">
        <f>VLOOKUP($D351,global_toc!$C:$K,9,FALSE)</f>
        <v>5029</v>
      </c>
      <c r="AA351" s="19" t="str">
        <f t="shared" si="17"/>
        <v>Ocean load flow control mess def</v>
      </c>
    </row>
    <row r="352" spans="1:27" x14ac:dyDescent="0.2">
      <c r="A352" s="12">
        <v>199</v>
      </c>
      <c r="B352" s="12">
        <v>1</v>
      </c>
      <c r="C352" s="12" t="str">
        <f t="shared" si="18"/>
        <v>OceanHorizontalAmp</v>
      </c>
      <c r="D352" s="14" t="s">
        <v>493</v>
      </c>
      <c r="E352" s="12">
        <v>11</v>
      </c>
      <c r="F352" s="12">
        <v>2</v>
      </c>
      <c r="G352" s="12">
        <v>11</v>
      </c>
      <c r="H352" s="12" t="s">
        <v>447</v>
      </c>
      <c r="I352" s="12">
        <v>5</v>
      </c>
      <c r="J352" s="12" t="s">
        <v>494</v>
      </c>
      <c r="K352" s="12" t="s">
        <v>1340</v>
      </c>
      <c r="L352" s="23" t="s">
        <v>1342</v>
      </c>
      <c r="M352" s="13" t="s">
        <v>1464</v>
      </c>
      <c r="N352" s="13" t="s">
        <v>1490</v>
      </c>
      <c r="O352" s="12" t="s">
        <v>1490</v>
      </c>
      <c r="P352" s="12" t="s">
        <v>1963</v>
      </c>
      <c r="Q352" s="12" t="s">
        <v>1247</v>
      </c>
      <c r="R352" s="13" t="s">
        <v>2006</v>
      </c>
      <c r="S352" s="13" t="s">
        <v>1342</v>
      </c>
      <c r="T352" s="23" t="s">
        <v>1342</v>
      </c>
      <c r="U352" s="13" t="s">
        <v>1342</v>
      </c>
      <c r="V352" s="13" t="s">
        <v>1473</v>
      </c>
      <c r="W352" s="13" t="s">
        <v>1342</v>
      </c>
      <c r="X352" s="12" t="str">
        <f>VLOOKUP($D352,global_toc!$C:$K,7,FALSE)</f>
        <v>79AUG03XX</v>
      </c>
      <c r="Y352" s="12" t="str">
        <f>VLOOKUP($D352,global_toc!$C:$K,8,FALSE)</f>
        <v>11OCT17XA</v>
      </c>
      <c r="Z352" s="12">
        <f>VLOOKUP($D352,global_toc!$C:$K,9,FALSE)</f>
        <v>5029</v>
      </c>
      <c r="AA352" s="19" t="str">
        <f t="shared" si="17"/>
        <v>Horz ocean loading ampltudes (m)</v>
      </c>
    </row>
    <row r="353" spans="1:27" x14ac:dyDescent="0.2">
      <c r="A353" s="12">
        <v>200</v>
      </c>
      <c r="B353" s="12">
        <v>1</v>
      </c>
      <c r="C353" s="12" t="str">
        <f t="shared" si="18"/>
        <v>OceanHorizontalPhase</v>
      </c>
      <c r="D353" s="14" t="s">
        <v>495</v>
      </c>
      <c r="E353" s="12">
        <v>11</v>
      </c>
      <c r="F353" s="12">
        <v>2</v>
      </c>
      <c r="G353" s="12">
        <v>11</v>
      </c>
      <c r="H353" s="12" t="s">
        <v>447</v>
      </c>
      <c r="I353" s="12">
        <v>5</v>
      </c>
      <c r="J353" s="12" t="s">
        <v>496</v>
      </c>
      <c r="K353" s="12" t="s">
        <v>1340</v>
      </c>
      <c r="L353" s="23" t="s">
        <v>1342</v>
      </c>
      <c r="M353" s="13" t="s">
        <v>1464</v>
      </c>
      <c r="N353" s="13" t="s">
        <v>1490</v>
      </c>
      <c r="O353" s="12" t="s">
        <v>1490</v>
      </c>
      <c r="P353" s="12" t="s">
        <v>1963</v>
      </c>
      <c r="Q353" s="12" t="s">
        <v>1247</v>
      </c>
      <c r="R353" s="13" t="s">
        <v>2005</v>
      </c>
      <c r="S353" s="13" t="s">
        <v>1342</v>
      </c>
      <c r="T353" s="23" t="s">
        <v>1342</v>
      </c>
      <c r="U353" s="13" t="s">
        <v>1342</v>
      </c>
      <c r="V353" s="13" t="s">
        <v>1474</v>
      </c>
      <c r="W353" s="13" t="s">
        <v>1342</v>
      </c>
      <c r="X353" s="12" t="str">
        <f>VLOOKUP($D353,global_toc!$C:$K,7,FALSE)</f>
        <v>79AUG03XX</v>
      </c>
      <c r="Y353" s="12" t="str">
        <f>VLOOKUP($D353,global_toc!$C:$K,8,FALSE)</f>
        <v>11OCT17XA</v>
      </c>
      <c r="Z353" s="12">
        <f>VLOOKUP($D353,global_toc!$C:$K,9,FALSE)</f>
        <v>5029</v>
      </c>
      <c r="AA353" s="19" t="str">
        <f t="shared" si="17"/>
        <v>Horz ocean loading phases (rad).</v>
      </c>
    </row>
    <row r="354" spans="1:27" x14ac:dyDescent="0.2">
      <c r="A354" s="12">
        <v>182</v>
      </c>
      <c r="B354" s="12">
        <v>1</v>
      </c>
      <c r="C354" s="12" t="str">
        <f t="shared" si="18"/>
        <v>OceanMessage</v>
      </c>
      <c r="D354" s="14" t="s">
        <v>633</v>
      </c>
      <c r="E354" s="12">
        <v>40</v>
      </c>
      <c r="F354" s="12">
        <v>1</v>
      </c>
      <c r="G354" s="12">
        <v>1</v>
      </c>
      <c r="H354" s="12" t="s">
        <v>589</v>
      </c>
      <c r="I354" s="12">
        <v>5</v>
      </c>
      <c r="J354" s="12" t="s">
        <v>634</v>
      </c>
      <c r="K354" s="12" t="s">
        <v>1340</v>
      </c>
      <c r="L354" s="23" t="s">
        <v>1342</v>
      </c>
      <c r="M354" s="13" t="s">
        <v>1464</v>
      </c>
      <c r="N354" s="13" t="s">
        <v>1490</v>
      </c>
      <c r="O354" s="12" t="s">
        <v>1490</v>
      </c>
      <c r="P354" s="12" t="s">
        <v>1963</v>
      </c>
      <c r="Q354" s="12" t="s">
        <v>1247</v>
      </c>
      <c r="R354" s="13" t="s">
        <v>1988</v>
      </c>
      <c r="S354" s="13" t="s">
        <v>1342</v>
      </c>
      <c r="T354" s="23" t="s">
        <v>1342</v>
      </c>
      <c r="U354" s="13" t="s">
        <v>1342</v>
      </c>
      <c r="V354" s="13" t="s">
        <v>1342</v>
      </c>
      <c r="W354" s="13" t="s">
        <v>1342</v>
      </c>
      <c r="X354" s="12" t="str">
        <f>VLOOKUP($D354,global_toc!$C:$K,7,FALSE)</f>
        <v>79AUG03XX</v>
      </c>
      <c r="Y354" s="12" t="str">
        <f>VLOOKUP($D354,global_toc!$C:$K,8,FALSE)</f>
        <v>11OCT17XA</v>
      </c>
      <c r="Z354" s="12">
        <f>VLOOKUP($D354,global_toc!$C:$K,9,FALSE)</f>
        <v>5029</v>
      </c>
      <c r="AA354" s="19" t="str">
        <f t="shared" si="17"/>
        <v>Ocean loading message definition</v>
      </c>
    </row>
    <row r="355" spans="1:27" x14ac:dyDescent="0.2">
      <c r="A355" s="12">
        <v>183</v>
      </c>
      <c r="B355" s="12">
        <v>1</v>
      </c>
      <c r="C355" s="12" t="str">
        <f t="shared" si="18"/>
        <v>OceanPhaseEW</v>
      </c>
      <c r="D355" s="12" t="s">
        <v>250</v>
      </c>
      <c r="E355" s="12">
        <v>11</v>
      </c>
      <c r="F355" s="12">
        <v>2</v>
      </c>
      <c r="G355" s="12">
        <v>1</v>
      </c>
      <c r="H355" s="12" t="s">
        <v>447</v>
      </c>
      <c r="I355" s="12">
        <v>1</v>
      </c>
      <c r="J355" s="12" t="s">
        <v>251</v>
      </c>
      <c r="K355" s="12" t="s">
        <v>1340</v>
      </c>
      <c r="L355" s="23" t="s">
        <v>1342</v>
      </c>
      <c r="M355" s="13" t="s">
        <v>1464</v>
      </c>
      <c r="N355" s="13" t="s">
        <v>1490</v>
      </c>
      <c r="O355" s="12" t="s">
        <v>1490</v>
      </c>
      <c r="P355" s="12" t="s">
        <v>1963</v>
      </c>
      <c r="Q355" s="12" t="s">
        <v>1247</v>
      </c>
      <c r="R355" s="13" t="s">
        <v>1989</v>
      </c>
      <c r="S355" s="13" t="s">
        <v>1342</v>
      </c>
      <c r="T355" s="23" t="s">
        <v>1342</v>
      </c>
      <c r="U355" s="13" t="s">
        <v>1342</v>
      </c>
      <c r="V355" s="13" t="s">
        <v>1474</v>
      </c>
      <c r="W355" s="13" t="s">
        <v>1342</v>
      </c>
      <c r="X355" s="12" t="str">
        <f>VLOOKUP($D355,global_toc!$C:$K,7,FALSE)</f>
        <v>84JUL18DX</v>
      </c>
      <c r="Y355" s="12" t="str">
        <f>VLOOKUP($D355,global_toc!$C:$K,8,FALSE)</f>
        <v>91MAR25DX</v>
      </c>
      <c r="Z355" s="12">
        <f>VLOOKUP($D355,global_toc!$C:$K,9,FALSE)</f>
        <v>25</v>
      </c>
      <c r="AA355" s="19" t="str">
        <f t="shared" si="17"/>
        <v>Ocean phase E-W component (rad)</v>
      </c>
    </row>
    <row r="356" spans="1:27" x14ac:dyDescent="0.2">
      <c r="A356" s="12">
        <v>184</v>
      </c>
      <c r="B356" s="12">
        <v>1</v>
      </c>
      <c r="C356" s="12" t="str">
        <f t="shared" si="18"/>
        <v>OceanPhaseNS</v>
      </c>
      <c r="D356" s="12" t="s">
        <v>252</v>
      </c>
      <c r="E356" s="12">
        <v>11</v>
      </c>
      <c r="F356" s="12">
        <v>2</v>
      </c>
      <c r="G356" s="12">
        <v>1</v>
      </c>
      <c r="H356" s="12" t="s">
        <v>447</v>
      </c>
      <c r="I356" s="12">
        <v>1</v>
      </c>
      <c r="J356" s="12" t="s">
        <v>253</v>
      </c>
      <c r="K356" s="12" t="s">
        <v>1340</v>
      </c>
      <c r="L356" s="23" t="s">
        <v>1342</v>
      </c>
      <c r="M356" s="13" t="s">
        <v>1464</v>
      </c>
      <c r="N356" s="13" t="s">
        <v>1490</v>
      </c>
      <c r="O356" s="12" t="s">
        <v>1490</v>
      </c>
      <c r="P356" s="12" t="s">
        <v>1963</v>
      </c>
      <c r="Q356" s="12" t="s">
        <v>1247</v>
      </c>
      <c r="R356" s="13" t="s">
        <v>1990</v>
      </c>
      <c r="S356" s="13" t="s">
        <v>1342</v>
      </c>
      <c r="T356" s="23" t="s">
        <v>1342</v>
      </c>
      <c r="U356" s="13" t="s">
        <v>1342</v>
      </c>
      <c r="V356" s="13" t="s">
        <v>1474</v>
      </c>
      <c r="W356" s="13" t="s">
        <v>1342</v>
      </c>
      <c r="X356" s="12" t="str">
        <f>VLOOKUP($D356,global_toc!$C:$K,7,FALSE)</f>
        <v>84JUL18DX</v>
      </c>
      <c r="Y356" s="12" t="str">
        <f>VLOOKUP($D356,global_toc!$C:$K,8,FALSE)</f>
        <v>91MAR25DX</v>
      </c>
      <c r="Z356" s="12">
        <f>VLOOKUP($D356,global_toc!$C:$K,9,FALSE)</f>
        <v>25</v>
      </c>
      <c r="AA356" s="19" t="str">
        <f t="shared" si="17"/>
        <v>Ocean phase N-S component (rad)</v>
      </c>
    </row>
    <row r="357" spans="1:27" x14ac:dyDescent="0.2">
      <c r="A357" s="12">
        <v>185</v>
      </c>
      <c r="B357" s="12">
        <v>1</v>
      </c>
      <c r="C357" s="12" t="str">
        <f t="shared" si="18"/>
        <v>OceanPhaseUp</v>
      </c>
      <c r="D357" s="12" t="s">
        <v>248</v>
      </c>
      <c r="E357" s="12">
        <v>11</v>
      </c>
      <c r="F357" s="12">
        <v>2</v>
      </c>
      <c r="G357" s="12">
        <v>1</v>
      </c>
      <c r="H357" s="12" t="s">
        <v>447</v>
      </c>
      <c r="I357" s="12">
        <v>1</v>
      </c>
      <c r="J357" s="12" t="s">
        <v>249</v>
      </c>
      <c r="K357" s="12" t="s">
        <v>1340</v>
      </c>
      <c r="L357" s="23" t="s">
        <v>1342</v>
      </c>
      <c r="M357" s="13" t="s">
        <v>1464</v>
      </c>
      <c r="N357" s="13" t="s">
        <v>1490</v>
      </c>
      <c r="O357" s="12" t="s">
        <v>1490</v>
      </c>
      <c r="P357" s="12" t="s">
        <v>1963</v>
      </c>
      <c r="Q357" s="12" t="s">
        <v>1247</v>
      </c>
      <c r="R357" s="13" t="s">
        <v>1991</v>
      </c>
      <c r="S357" s="13" t="s">
        <v>1342</v>
      </c>
      <c r="T357" s="23" t="s">
        <v>1342</v>
      </c>
      <c r="U357" s="13" t="s">
        <v>1342</v>
      </c>
      <c r="V357" s="13" t="s">
        <v>1474</v>
      </c>
      <c r="W357" s="13" t="s">
        <v>1342</v>
      </c>
      <c r="X357" s="12" t="str">
        <f>VLOOKUP($D357,global_toc!$C:$K,7,FALSE)</f>
        <v>84JUL18DX</v>
      </c>
      <c r="Y357" s="12" t="str">
        <f>VLOOKUP($D357,global_toc!$C:$K,8,FALSE)</f>
        <v>91MAR25DX</v>
      </c>
      <c r="Z357" s="12">
        <f>VLOOKUP($D357,global_toc!$C:$K,9,FALSE)</f>
        <v>25</v>
      </c>
      <c r="AA357" s="19" t="str">
        <f t="shared" si="17"/>
        <v>Ocean phase radial comp.-radians</v>
      </c>
    </row>
    <row r="358" spans="1:27" x14ac:dyDescent="0.2">
      <c r="A358" s="12">
        <v>202</v>
      </c>
      <c r="B358" s="12">
        <v>1</v>
      </c>
      <c r="C358" s="12" t="str">
        <f t="shared" si="18"/>
        <v>OceanPoleTideCoef</v>
      </c>
      <c r="D358" s="12" t="s">
        <v>2470</v>
      </c>
      <c r="E358" s="12">
        <v>6</v>
      </c>
      <c r="F358" s="12">
        <v>2</v>
      </c>
      <c r="G358" s="12">
        <v>1</v>
      </c>
      <c r="H358" s="12" t="s">
        <v>447</v>
      </c>
      <c r="I358" s="12">
        <v>5</v>
      </c>
      <c r="J358" s="12" t="s">
        <v>2471</v>
      </c>
      <c r="K358" s="12" t="s">
        <v>1340</v>
      </c>
      <c r="L358" s="23" t="s">
        <v>1342</v>
      </c>
      <c r="M358" s="13" t="s">
        <v>1464</v>
      </c>
      <c r="N358" s="13" t="s">
        <v>1490</v>
      </c>
      <c r="O358" s="12" t="s">
        <v>1490</v>
      </c>
      <c r="P358" s="12" t="s">
        <v>1963</v>
      </c>
      <c r="Q358" s="12" t="s">
        <v>1247</v>
      </c>
      <c r="R358" s="13" t="s">
        <v>2469</v>
      </c>
      <c r="S358" s="13" t="s">
        <v>1342</v>
      </c>
      <c r="T358" s="23" t="s">
        <v>1342</v>
      </c>
      <c r="U358" s="13" t="s">
        <v>1342</v>
      </c>
      <c r="V358" s="13" t="s">
        <v>1474</v>
      </c>
      <c r="W358" s="13" t="s">
        <v>1342</v>
      </c>
      <c r="X358" s="12" t="e">
        <f>VLOOKUP($D358,global_toc!$C:$K,7,FALSE)</f>
        <v>#N/A</v>
      </c>
      <c r="Y358" s="12" t="e">
        <f>VLOOKUP($D358,global_toc!$C:$K,8,FALSE)</f>
        <v>#N/A</v>
      </c>
      <c r="Z358" s="12" t="e">
        <f>VLOOKUP($D358,global_toc!$C:$K,9,FALSE)</f>
        <v>#N/A</v>
      </c>
      <c r="AA358" s="19" t="str">
        <f t="shared" si="17"/>
        <v>Ocean Pole Tide loading Coefficients</v>
      </c>
    </row>
    <row r="359" spans="1:27" x14ac:dyDescent="0.2">
      <c r="A359" s="12">
        <v>178</v>
      </c>
      <c r="B359" s="12">
        <v>1</v>
      </c>
      <c r="C359" s="12" t="str">
        <f t="shared" si="18"/>
        <v>OceanStationsFlag</v>
      </c>
      <c r="D359" s="14" t="s">
        <v>645</v>
      </c>
      <c r="E359" s="12">
        <v>2</v>
      </c>
      <c r="F359" s="12">
        <v>11</v>
      </c>
      <c r="G359" s="12">
        <v>1</v>
      </c>
      <c r="H359" s="12" t="s">
        <v>589</v>
      </c>
      <c r="I359" s="12">
        <v>5</v>
      </c>
      <c r="J359" s="12" t="s">
        <v>646</v>
      </c>
      <c r="K359" s="12" t="s">
        <v>1340</v>
      </c>
      <c r="L359" s="23" t="s">
        <v>1342</v>
      </c>
      <c r="M359" s="13" t="s">
        <v>1464</v>
      </c>
      <c r="N359" s="13" t="s">
        <v>1490</v>
      </c>
      <c r="O359" s="12" t="s">
        <v>1490</v>
      </c>
      <c r="P359" s="12" t="s">
        <v>1963</v>
      </c>
      <c r="Q359" s="12" t="s">
        <v>1247</v>
      </c>
      <c r="R359" s="13" t="s">
        <v>2589</v>
      </c>
      <c r="S359" s="13" t="s">
        <v>1342</v>
      </c>
      <c r="T359" s="23" t="s">
        <v>1342</v>
      </c>
      <c r="U359" s="13" t="s">
        <v>1342</v>
      </c>
      <c r="V359" s="13" t="s">
        <v>1342</v>
      </c>
      <c r="W359" s="13" t="s">
        <v>1342</v>
      </c>
      <c r="X359" s="12" t="str">
        <f>VLOOKUP($D359,global_toc!$C:$K,7,FALSE)</f>
        <v>79AUG03XX</v>
      </c>
      <c r="Y359" s="12" t="str">
        <f>VLOOKUP($D359,global_toc!$C:$K,8,FALSE)</f>
        <v>11OCT17XA</v>
      </c>
      <c r="Z359" s="12">
        <f>VLOOKUP($D359,global_toc!$C:$K,9,FALSE)</f>
        <v>5029</v>
      </c>
      <c r="AA359" s="19" t="str">
        <f t="shared" si="17"/>
        <v>Ocean loading station status.</v>
      </c>
    </row>
    <row r="360" spans="1:27" x14ac:dyDescent="0.2">
      <c r="A360" s="12">
        <v>201</v>
      </c>
      <c r="B360" s="12">
        <v>1</v>
      </c>
      <c r="C360" s="12" t="str">
        <f t="shared" si="18"/>
        <v>OceanUpAmp</v>
      </c>
      <c r="D360" s="14" t="s">
        <v>489</v>
      </c>
      <c r="E360" s="12">
        <v>11</v>
      </c>
      <c r="F360" s="12">
        <v>11</v>
      </c>
      <c r="G360" s="12">
        <v>1</v>
      </c>
      <c r="H360" s="12" t="s">
        <v>447</v>
      </c>
      <c r="I360" s="12">
        <v>5</v>
      </c>
      <c r="J360" s="12" t="s">
        <v>490</v>
      </c>
      <c r="K360" s="12" t="s">
        <v>1340</v>
      </c>
      <c r="L360" s="23" t="s">
        <v>1342</v>
      </c>
      <c r="M360" s="13" t="s">
        <v>1464</v>
      </c>
      <c r="N360" s="13" t="s">
        <v>1490</v>
      </c>
      <c r="O360" s="12" t="s">
        <v>1490</v>
      </c>
      <c r="P360" s="12" t="s">
        <v>1963</v>
      </c>
      <c r="Q360" s="12" t="s">
        <v>1247</v>
      </c>
      <c r="R360" s="13" t="s">
        <v>2007</v>
      </c>
      <c r="S360" s="13" t="s">
        <v>1342</v>
      </c>
      <c r="T360" s="23" t="s">
        <v>1342</v>
      </c>
      <c r="U360" s="13" t="s">
        <v>1342</v>
      </c>
      <c r="V360" s="13" t="s">
        <v>1473</v>
      </c>
      <c r="W360" s="13" t="s">
        <v>1342</v>
      </c>
      <c r="X360" s="12" t="str">
        <f>VLOOKUP($D360,global_toc!$C:$K,7,FALSE)</f>
        <v>79AUG03XX</v>
      </c>
      <c r="Y360" s="12" t="str">
        <f>VLOOKUP($D360,global_toc!$C:$K,8,FALSE)</f>
        <v>11OCT17XA</v>
      </c>
      <c r="Z360" s="12">
        <f>VLOOKUP($D360,global_toc!$C:$K,9,FALSE)</f>
        <v>5029</v>
      </c>
      <c r="AA360" s="19" t="str">
        <f t="shared" si="17"/>
        <v>Vert ocean loading ampltudes (m)</v>
      </c>
    </row>
    <row r="361" spans="1:27" x14ac:dyDescent="0.2">
      <c r="A361" s="12">
        <v>202</v>
      </c>
      <c r="B361" s="12">
        <v>1</v>
      </c>
      <c r="C361" s="12" t="str">
        <f t="shared" si="18"/>
        <v>OceanUpPhase</v>
      </c>
      <c r="D361" s="14" t="s">
        <v>491</v>
      </c>
      <c r="E361" s="12">
        <v>11</v>
      </c>
      <c r="F361" s="12">
        <v>11</v>
      </c>
      <c r="G361" s="12">
        <v>1</v>
      </c>
      <c r="H361" s="12" t="s">
        <v>447</v>
      </c>
      <c r="I361" s="12">
        <v>5</v>
      </c>
      <c r="J361" s="12" t="s">
        <v>492</v>
      </c>
      <c r="K361" s="12" t="s">
        <v>1340</v>
      </c>
      <c r="L361" s="23" t="s">
        <v>1342</v>
      </c>
      <c r="M361" s="13" t="s">
        <v>1464</v>
      </c>
      <c r="N361" s="13" t="s">
        <v>1490</v>
      </c>
      <c r="O361" s="12" t="s">
        <v>1490</v>
      </c>
      <c r="P361" s="12" t="s">
        <v>1963</v>
      </c>
      <c r="Q361" s="12" t="s">
        <v>1247</v>
      </c>
      <c r="R361" s="13" t="s">
        <v>2008</v>
      </c>
      <c r="S361" s="13" t="s">
        <v>1342</v>
      </c>
      <c r="T361" s="23" t="s">
        <v>1342</v>
      </c>
      <c r="U361" s="13" t="s">
        <v>1342</v>
      </c>
      <c r="V361" s="13" t="s">
        <v>1474</v>
      </c>
      <c r="W361" s="13" t="s">
        <v>1342</v>
      </c>
      <c r="X361" s="12" t="str">
        <f>VLOOKUP($D361,global_toc!$C:$K,7,FALSE)</f>
        <v>79AUG03XX</v>
      </c>
      <c r="Y361" s="12" t="str">
        <f>VLOOKUP($D361,global_toc!$C:$K,8,FALSE)</f>
        <v>11OCT17XA</v>
      </c>
      <c r="Z361" s="12">
        <f>VLOOKUP($D361,global_toc!$C:$K,9,FALSE)</f>
        <v>5029</v>
      </c>
      <c r="AA361" s="19" t="str">
        <f t="shared" si="17"/>
        <v>Vert ocean loading phases (rad).</v>
      </c>
    </row>
    <row r="362" spans="1:27" x14ac:dyDescent="0.2">
      <c r="A362" s="12">
        <v>188</v>
      </c>
      <c r="B362" s="12">
        <v>1</v>
      </c>
      <c r="C362" s="12" t="str">
        <f t="shared" si="18"/>
        <v>ParallaxControl</v>
      </c>
      <c r="D362" s="14" t="s">
        <v>689</v>
      </c>
      <c r="E362" s="12">
        <v>40</v>
      </c>
      <c r="F362" s="12">
        <v>1</v>
      </c>
      <c r="G362" s="12">
        <v>1</v>
      </c>
      <c r="H362" s="12" t="s">
        <v>589</v>
      </c>
      <c r="I362" s="12">
        <v>5</v>
      </c>
      <c r="J362" s="12" t="s">
        <v>650</v>
      </c>
      <c r="K362" s="12" t="s">
        <v>1340</v>
      </c>
      <c r="L362" s="23" t="s">
        <v>1342</v>
      </c>
      <c r="M362" s="13" t="s">
        <v>1464</v>
      </c>
      <c r="N362" s="13" t="s">
        <v>1490</v>
      </c>
      <c r="O362" s="12" t="s">
        <v>1490</v>
      </c>
      <c r="P362" s="12" t="s">
        <v>1963</v>
      </c>
      <c r="Q362" s="12" t="s">
        <v>1247</v>
      </c>
      <c r="R362" s="13" t="s">
        <v>2581</v>
      </c>
      <c r="S362" s="13" t="s">
        <v>1342</v>
      </c>
      <c r="T362" s="23" t="s">
        <v>1342</v>
      </c>
      <c r="U362" s="13" t="s">
        <v>1342</v>
      </c>
      <c r="V362" s="13" t="s">
        <v>1342</v>
      </c>
      <c r="W362" s="13" t="s">
        <v>1342</v>
      </c>
      <c r="X362" s="12" t="str">
        <f>VLOOKUP($D362,global_toc!$C:$K,7,FALSE)</f>
        <v>79AUG03XX</v>
      </c>
      <c r="Y362" s="12" t="str">
        <f>VLOOKUP($D362,global_toc!$C:$K,8,FALSE)</f>
        <v>11OCT17XA</v>
      </c>
      <c r="Z362" s="12">
        <f>VLOOKUP($D362,global_toc!$C:$K,9,FALSE)</f>
        <v>5029</v>
      </c>
      <c r="AA362" s="19" t="str">
        <f t="shared" si="17"/>
        <v>Parallax flow control mess def</v>
      </c>
    </row>
    <row r="363" spans="1:27" x14ac:dyDescent="0.2">
      <c r="A363" s="12">
        <v>189</v>
      </c>
      <c r="B363" s="12">
        <v>1</v>
      </c>
      <c r="C363" s="12" t="str">
        <f t="shared" si="18"/>
        <v>ParallaxMessage</v>
      </c>
      <c r="D363" s="14" t="s">
        <v>687</v>
      </c>
      <c r="E363" s="12">
        <v>40</v>
      </c>
      <c r="F363" s="12">
        <v>1</v>
      </c>
      <c r="G363" s="12">
        <v>1</v>
      </c>
      <c r="H363" s="12" t="s">
        <v>589</v>
      </c>
      <c r="I363" s="12">
        <v>5</v>
      </c>
      <c r="J363" s="12" t="s">
        <v>688</v>
      </c>
      <c r="K363" s="12" t="s">
        <v>1340</v>
      </c>
      <c r="L363" s="23" t="s">
        <v>1342</v>
      </c>
      <c r="M363" s="13" t="s">
        <v>1464</v>
      </c>
      <c r="N363" s="13" t="s">
        <v>1490</v>
      </c>
      <c r="O363" s="12" t="s">
        <v>1490</v>
      </c>
      <c r="P363" s="12" t="s">
        <v>1963</v>
      </c>
      <c r="Q363" s="12" t="s">
        <v>1247</v>
      </c>
      <c r="R363" s="13" t="s">
        <v>1995</v>
      </c>
      <c r="S363" s="13" t="s">
        <v>1342</v>
      </c>
      <c r="T363" s="23" t="s">
        <v>1342</v>
      </c>
      <c r="U363" s="13" t="s">
        <v>1342</v>
      </c>
      <c r="V363" s="13" t="s">
        <v>1342</v>
      </c>
      <c r="W363" s="13" t="s">
        <v>1342</v>
      </c>
      <c r="X363" s="12" t="str">
        <f>VLOOKUP($D363,global_toc!$C:$K,7,FALSE)</f>
        <v>79AUG03XX</v>
      </c>
      <c r="Y363" s="12" t="str">
        <f>VLOOKUP($D363,global_toc!$C:$K,8,FALSE)</f>
        <v>11OCT17XA</v>
      </c>
      <c r="Z363" s="12">
        <f>VLOOKUP($D363,global_toc!$C:$K,9,FALSE)</f>
        <v>5029</v>
      </c>
      <c r="AA363" s="19" t="str">
        <f t="shared" si="17"/>
        <v>Parallax message definition</v>
      </c>
    </row>
    <row r="364" spans="1:27" x14ac:dyDescent="0.2">
      <c r="A364" s="12">
        <v>187</v>
      </c>
      <c r="B364" s="12">
        <v>1</v>
      </c>
      <c r="C364" s="12" t="str">
        <f t="shared" si="18"/>
        <v>PepMessage</v>
      </c>
      <c r="D364" s="14" t="s">
        <v>679</v>
      </c>
      <c r="E364" s="12">
        <v>40</v>
      </c>
      <c r="F364" s="12">
        <v>1</v>
      </c>
      <c r="G364" s="12">
        <v>1</v>
      </c>
      <c r="H364" s="12" t="s">
        <v>589</v>
      </c>
      <c r="I364" s="12">
        <v>5</v>
      </c>
      <c r="J364" s="12" t="s">
        <v>680</v>
      </c>
      <c r="K364" s="12" t="s">
        <v>1340</v>
      </c>
      <c r="L364" s="23" t="s">
        <v>1342</v>
      </c>
      <c r="M364" s="13" t="s">
        <v>1464</v>
      </c>
      <c r="N364" s="13" t="s">
        <v>1490</v>
      </c>
      <c r="O364" s="12" t="s">
        <v>1490</v>
      </c>
      <c r="P364" s="12" t="s">
        <v>1963</v>
      </c>
      <c r="Q364" s="12" t="s">
        <v>1247</v>
      </c>
      <c r="R364" s="13" t="s">
        <v>1993</v>
      </c>
      <c r="S364" s="13" t="s">
        <v>1342</v>
      </c>
      <c r="T364" s="23" t="s">
        <v>1342</v>
      </c>
      <c r="U364" s="13" t="s">
        <v>1342</v>
      </c>
      <c r="V364" s="13" t="s">
        <v>1342</v>
      </c>
      <c r="W364" s="13" t="s">
        <v>1342</v>
      </c>
      <c r="X364" s="12" t="str">
        <f>VLOOKUP($D364,global_toc!$C:$K,7,FALSE)</f>
        <v>79AUG03XX</v>
      </c>
      <c r="Y364" s="12" t="str">
        <f>VLOOKUP($D364,global_toc!$C:$K,8,FALSE)</f>
        <v>11OCT17XA</v>
      </c>
      <c r="Z364" s="12">
        <f>VLOOKUP($D364,global_toc!$C:$K,9,FALSE)</f>
        <v>5029</v>
      </c>
      <c r="AA364" s="19" t="str">
        <f t="shared" si="17"/>
        <v>PEP Utility Message Definition</v>
      </c>
    </row>
    <row r="365" spans="1:27" x14ac:dyDescent="0.2">
      <c r="A365" s="12">
        <v>193</v>
      </c>
      <c r="B365" s="12">
        <v>1</v>
      </c>
      <c r="C365" s="12" t="str">
        <f t="shared" si="18"/>
        <v>PoleTideControl</v>
      </c>
      <c r="D365" s="14" t="s">
        <v>627</v>
      </c>
      <c r="E365" s="12">
        <v>40</v>
      </c>
      <c r="F365" s="12">
        <v>1</v>
      </c>
      <c r="G365" s="12">
        <v>1</v>
      </c>
      <c r="H365" s="12" t="s">
        <v>589</v>
      </c>
      <c r="I365" s="12">
        <v>5</v>
      </c>
      <c r="J365" s="12" t="s">
        <v>628</v>
      </c>
      <c r="K365" s="12" t="s">
        <v>1340</v>
      </c>
      <c r="L365" s="23" t="s">
        <v>1342</v>
      </c>
      <c r="M365" s="13" t="s">
        <v>1464</v>
      </c>
      <c r="N365" s="13" t="s">
        <v>1490</v>
      </c>
      <c r="O365" s="12" t="s">
        <v>1490</v>
      </c>
      <c r="P365" s="12" t="s">
        <v>1963</v>
      </c>
      <c r="Q365" s="12" t="s">
        <v>1247</v>
      </c>
      <c r="R365" s="13" t="s">
        <v>2582</v>
      </c>
      <c r="S365" s="13" t="s">
        <v>1342</v>
      </c>
      <c r="T365" s="23" t="s">
        <v>1342</v>
      </c>
      <c r="U365" s="13" t="s">
        <v>1342</v>
      </c>
      <c r="V365" s="13" t="s">
        <v>1342</v>
      </c>
      <c r="W365" s="13" t="s">
        <v>1342</v>
      </c>
      <c r="X365" s="12" t="str">
        <f>VLOOKUP($D365,global_toc!$C:$K,7,FALSE)</f>
        <v>79AUG03XX</v>
      </c>
      <c r="Y365" s="12" t="str">
        <f>VLOOKUP($D365,global_toc!$C:$K,8,FALSE)</f>
        <v>11OCT17XA</v>
      </c>
      <c r="Z365" s="12">
        <f>VLOOKUP($D365,global_toc!$C:$K,9,FALSE)</f>
        <v>5029</v>
      </c>
      <c r="AA365" s="19" t="str">
        <f t="shared" si="17"/>
        <v>Pole tide flow control mess def</v>
      </c>
    </row>
    <row r="366" spans="1:27" x14ac:dyDescent="0.2">
      <c r="A366" s="12">
        <v>194</v>
      </c>
      <c r="B366" s="12">
        <v>1</v>
      </c>
      <c r="C366" s="12" t="str">
        <f t="shared" si="18"/>
        <v>PoleTideMessage</v>
      </c>
      <c r="D366" s="14" t="s">
        <v>625</v>
      </c>
      <c r="E366" s="12">
        <v>40</v>
      </c>
      <c r="F366" s="12">
        <v>1</v>
      </c>
      <c r="G366" s="12">
        <v>1</v>
      </c>
      <c r="H366" s="12" t="s">
        <v>589</v>
      </c>
      <c r="I366" s="12">
        <v>5</v>
      </c>
      <c r="J366" s="12" t="s">
        <v>626</v>
      </c>
      <c r="K366" s="12" t="s">
        <v>1340</v>
      </c>
      <c r="L366" s="23" t="s">
        <v>1342</v>
      </c>
      <c r="M366" s="13" t="s">
        <v>1464</v>
      </c>
      <c r="N366" s="13" t="s">
        <v>1490</v>
      </c>
      <c r="O366" s="12" t="s">
        <v>1490</v>
      </c>
      <c r="P366" s="12" t="s">
        <v>1963</v>
      </c>
      <c r="Q366" s="12" t="s">
        <v>1247</v>
      </c>
      <c r="R366" s="13" t="s">
        <v>2000</v>
      </c>
      <c r="S366" s="13" t="s">
        <v>1342</v>
      </c>
      <c r="T366" s="23" t="s">
        <v>1342</v>
      </c>
      <c r="U366" s="13" t="s">
        <v>1342</v>
      </c>
      <c r="V366" s="13" t="s">
        <v>1342</v>
      </c>
      <c r="W366" s="13" t="s">
        <v>1342</v>
      </c>
      <c r="X366" s="12" t="str">
        <f>VLOOKUP($D366,global_toc!$C:$K,7,FALSE)</f>
        <v>79AUG03XX</v>
      </c>
      <c r="Y366" s="12" t="str">
        <f>VLOOKUP($D366,global_toc!$C:$K,8,FALSE)</f>
        <v>11OCT17XA</v>
      </c>
      <c r="Z366" s="12">
        <f>VLOOKUP($D366,global_toc!$C:$K,9,FALSE)</f>
        <v>5029</v>
      </c>
      <c r="AA366" s="19" t="str">
        <f t="shared" si="17"/>
        <v>Pole tide message definition</v>
      </c>
    </row>
    <row r="367" spans="1:27" x14ac:dyDescent="0.2">
      <c r="A367" s="12">
        <v>191</v>
      </c>
      <c r="B367" s="12">
        <v>1</v>
      </c>
      <c r="C367" s="12" t="str">
        <f t="shared" si="18"/>
        <v>PrecessionData</v>
      </c>
      <c r="D367" s="14" t="s">
        <v>451</v>
      </c>
      <c r="E367" s="12">
        <v>1</v>
      </c>
      <c r="F367" s="12">
        <v>1</v>
      </c>
      <c r="G367" s="12">
        <v>1</v>
      </c>
      <c r="H367" s="12" t="s">
        <v>447</v>
      </c>
      <c r="I367" s="12">
        <v>1</v>
      </c>
      <c r="J367" s="12" t="s">
        <v>452</v>
      </c>
      <c r="K367" s="12" t="s">
        <v>1340</v>
      </c>
      <c r="L367" s="23" t="s">
        <v>1342</v>
      </c>
      <c r="M367" s="13" t="s">
        <v>1464</v>
      </c>
      <c r="N367" s="13" t="s">
        <v>1490</v>
      </c>
      <c r="O367" s="12" t="s">
        <v>1490</v>
      </c>
      <c r="P367" s="12" t="s">
        <v>1963</v>
      </c>
      <c r="Q367" s="12" t="s">
        <v>1247</v>
      </c>
      <c r="R367" s="13" t="s">
        <v>1997</v>
      </c>
      <c r="S367" s="13" t="s">
        <v>1342</v>
      </c>
      <c r="T367" s="23" t="s">
        <v>1342</v>
      </c>
      <c r="U367" s="13" t="s">
        <v>1342</v>
      </c>
      <c r="V367" s="13" t="s">
        <v>1342</v>
      </c>
      <c r="W367" s="13" t="s">
        <v>1342</v>
      </c>
      <c r="X367" s="12" t="str">
        <f>VLOOKUP($D367,global_toc!$C:$K,7,FALSE)</f>
        <v>79AUG03XX</v>
      </c>
      <c r="Y367" s="12" t="str">
        <f>VLOOKUP($D367,global_toc!$C:$K,8,FALSE)</f>
        <v>11OCT17XA</v>
      </c>
      <c r="Z367" s="12">
        <f>VLOOKUP($D367,global_toc!$C:$K,9,FALSE)</f>
        <v>5029</v>
      </c>
      <c r="AA367" s="19" t="str">
        <f t="shared" si="17"/>
        <v>Precession constant (asec/cent).</v>
      </c>
    </row>
    <row r="368" spans="1:27" x14ac:dyDescent="0.2">
      <c r="A368" s="12">
        <v>190</v>
      </c>
      <c r="B368" s="12">
        <v>1</v>
      </c>
      <c r="C368" s="12" t="str">
        <f t="shared" si="18"/>
        <v>PrecessionControl</v>
      </c>
      <c r="D368" s="14" t="s">
        <v>639</v>
      </c>
      <c r="E368" s="12">
        <v>40</v>
      </c>
      <c r="F368" s="12">
        <v>1</v>
      </c>
      <c r="G368" s="12">
        <v>1</v>
      </c>
      <c r="H368" s="12" t="s">
        <v>589</v>
      </c>
      <c r="I368" s="12">
        <v>5</v>
      </c>
      <c r="J368" s="12" t="s">
        <v>640</v>
      </c>
      <c r="K368" s="12" t="s">
        <v>1340</v>
      </c>
      <c r="L368" s="23" t="s">
        <v>1342</v>
      </c>
      <c r="M368" s="13" t="s">
        <v>1464</v>
      </c>
      <c r="N368" s="13" t="s">
        <v>1490</v>
      </c>
      <c r="O368" s="12" t="s">
        <v>1490</v>
      </c>
      <c r="P368" s="12" t="s">
        <v>1963</v>
      </c>
      <c r="Q368" s="12" t="s">
        <v>1247</v>
      </c>
      <c r="R368" s="13" t="s">
        <v>2583</v>
      </c>
      <c r="S368" s="13" t="s">
        <v>1342</v>
      </c>
      <c r="T368" s="23" t="s">
        <v>1342</v>
      </c>
      <c r="U368" s="13" t="s">
        <v>1342</v>
      </c>
      <c r="V368" s="13" t="s">
        <v>1342</v>
      </c>
      <c r="W368" s="13" t="s">
        <v>1342</v>
      </c>
      <c r="X368" s="12" t="str">
        <f>VLOOKUP($D368,global_toc!$C:$K,7,FALSE)</f>
        <v>79AUG03XX</v>
      </c>
      <c r="Y368" s="12" t="str">
        <f>VLOOKUP($D368,global_toc!$C:$K,8,FALSE)</f>
        <v>11OCT17XA</v>
      </c>
      <c r="Z368" s="12">
        <f>VLOOKUP($D368,global_toc!$C:$K,9,FALSE)</f>
        <v>5029</v>
      </c>
      <c r="AA368" s="19" t="str">
        <f t="shared" si="17"/>
        <v>Precession flow contril mess def</v>
      </c>
    </row>
    <row r="369" spans="1:27" x14ac:dyDescent="0.2">
      <c r="A369" s="12">
        <v>192</v>
      </c>
      <c r="B369" s="12">
        <v>1</v>
      </c>
      <c r="C369" s="12" t="str">
        <f t="shared" si="18"/>
        <v>PrecessionMessage</v>
      </c>
      <c r="D369" s="14" t="s">
        <v>637</v>
      </c>
      <c r="E369" s="12">
        <v>40</v>
      </c>
      <c r="F369" s="12">
        <v>1</v>
      </c>
      <c r="G369" s="12">
        <v>1</v>
      </c>
      <c r="H369" s="12" t="s">
        <v>589</v>
      </c>
      <c r="I369" s="12">
        <v>5</v>
      </c>
      <c r="J369" s="12" t="s">
        <v>638</v>
      </c>
      <c r="K369" s="12" t="s">
        <v>1340</v>
      </c>
      <c r="L369" s="23" t="s">
        <v>1342</v>
      </c>
      <c r="M369" s="13" t="s">
        <v>1464</v>
      </c>
      <c r="N369" s="13" t="s">
        <v>1490</v>
      </c>
      <c r="O369" s="12" t="s">
        <v>1490</v>
      </c>
      <c r="P369" s="12" t="s">
        <v>1963</v>
      </c>
      <c r="Q369" s="12" t="s">
        <v>1247</v>
      </c>
      <c r="R369" s="13" t="s">
        <v>1998</v>
      </c>
      <c r="S369" s="13" t="s">
        <v>1342</v>
      </c>
      <c r="T369" s="23" t="s">
        <v>1342</v>
      </c>
      <c r="U369" s="13" t="s">
        <v>1342</v>
      </c>
      <c r="V369" s="13" t="s">
        <v>1342</v>
      </c>
      <c r="W369" s="13" t="s">
        <v>1342</v>
      </c>
      <c r="X369" s="12" t="str">
        <f>VLOOKUP($D369,global_toc!$C:$K,7,FALSE)</f>
        <v>79AUG03XX</v>
      </c>
      <c r="Y369" s="12" t="str">
        <f>VLOOKUP($D369,global_toc!$C:$K,8,FALSE)</f>
        <v>11OCT17XA</v>
      </c>
      <c r="Z369" s="12">
        <f>VLOOKUP($D369,global_toc!$C:$K,9,FALSE)</f>
        <v>5029</v>
      </c>
      <c r="AA369" s="19" t="str">
        <f t="shared" si="17"/>
        <v>Precession message definition</v>
      </c>
    </row>
    <row r="370" spans="1:27" x14ac:dyDescent="0.2">
      <c r="A370" s="12">
        <v>195</v>
      </c>
      <c r="B370" s="12">
        <v>1</v>
      </c>
      <c r="C370" s="12" t="str">
        <f t="shared" si="18"/>
        <v>RelativityControl</v>
      </c>
      <c r="D370" s="14" t="s">
        <v>683</v>
      </c>
      <c r="E370" s="12">
        <v>30</v>
      </c>
      <c r="F370" s="12">
        <v>1</v>
      </c>
      <c r="G370" s="12">
        <v>1</v>
      </c>
      <c r="H370" s="12" t="s">
        <v>589</v>
      </c>
      <c r="I370" s="12">
        <v>5</v>
      </c>
      <c r="J370" s="12" t="s">
        <v>684</v>
      </c>
      <c r="K370" s="12" t="s">
        <v>1340</v>
      </c>
      <c r="L370" s="23" t="s">
        <v>1342</v>
      </c>
      <c r="M370" s="13" t="s">
        <v>1464</v>
      </c>
      <c r="N370" s="13" t="s">
        <v>1490</v>
      </c>
      <c r="O370" s="12" t="s">
        <v>1490</v>
      </c>
      <c r="P370" s="12" t="s">
        <v>1963</v>
      </c>
      <c r="Q370" s="12" t="s">
        <v>1247</v>
      </c>
      <c r="R370" s="13" t="s">
        <v>2584</v>
      </c>
      <c r="S370" s="13" t="s">
        <v>1342</v>
      </c>
      <c r="T370" s="23" t="s">
        <v>1342</v>
      </c>
      <c r="U370" s="13" t="s">
        <v>1342</v>
      </c>
      <c r="V370" s="13" t="s">
        <v>1342</v>
      </c>
      <c r="W370" s="13" t="s">
        <v>1342</v>
      </c>
      <c r="X370" s="12" t="str">
        <f>VLOOKUP($D370,global_toc!$C:$K,7,FALSE)</f>
        <v>79AUG03XX</v>
      </c>
      <c r="Y370" s="12" t="str">
        <f>VLOOKUP($D370,global_toc!$C:$K,8,FALSE)</f>
        <v>11OCT17XA</v>
      </c>
      <c r="Z370" s="12">
        <f>VLOOKUP($D370,global_toc!$C:$K,9,FALSE)</f>
        <v>5029</v>
      </c>
      <c r="AA370" s="19" t="str">
        <f t="shared" si="17"/>
        <v>Relativisitc bending use status</v>
      </c>
    </row>
    <row r="371" spans="1:27" x14ac:dyDescent="0.2">
      <c r="A371" s="12">
        <v>196</v>
      </c>
      <c r="B371" s="12">
        <v>1</v>
      </c>
      <c r="C371" s="12" t="str">
        <f t="shared" si="18"/>
        <v>RelativityMessage</v>
      </c>
      <c r="D371" s="14" t="s">
        <v>453</v>
      </c>
      <c r="E371" s="12">
        <v>1</v>
      </c>
      <c r="F371" s="12">
        <v>1</v>
      </c>
      <c r="G371" s="12">
        <v>1</v>
      </c>
      <c r="H371" s="12" t="s">
        <v>447</v>
      </c>
      <c r="I371" s="12">
        <v>1</v>
      </c>
      <c r="J371" s="12" t="s">
        <v>454</v>
      </c>
      <c r="K371" s="12" t="s">
        <v>1340</v>
      </c>
      <c r="L371" s="23" t="s">
        <v>1342</v>
      </c>
      <c r="M371" s="13" t="s">
        <v>1464</v>
      </c>
      <c r="N371" s="13" t="s">
        <v>1490</v>
      </c>
      <c r="O371" s="12" t="s">
        <v>1490</v>
      </c>
      <c r="P371" s="12" t="s">
        <v>1963</v>
      </c>
      <c r="Q371" s="12" t="s">
        <v>1247</v>
      </c>
      <c r="R371" s="13" t="s">
        <v>2002</v>
      </c>
      <c r="S371" s="13" t="s">
        <v>1342</v>
      </c>
      <c r="T371" s="23" t="s">
        <v>1342</v>
      </c>
      <c r="U371" s="13" t="s">
        <v>1342</v>
      </c>
      <c r="V371" s="13" t="s">
        <v>1342</v>
      </c>
      <c r="W371" s="13" t="s">
        <v>1342</v>
      </c>
      <c r="X371" s="12" t="str">
        <f>VLOOKUP($D371,global_toc!$C:$K,7,FALSE)</f>
        <v>79AUG03XX</v>
      </c>
      <c r="Y371" s="12" t="str">
        <f>VLOOKUP($D371,global_toc!$C:$K,8,FALSE)</f>
        <v>11OCT17XA</v>
      </c>
      <c r="Z371" s="12">
        <f>VLOOKUP($D371,global_toc!$C:$K,9,FALSE)</f>
        <v>5029</v>
      </c>
      <c r="AA371" s="19" t="str">
        <f t="shared" si="17"/>
        <v>Relativity mod data (gamma).</v>
      </c>
    </row>
    <row r="372" spans="1:27" x14ac:dyDescent="0.2">
      <c r="A372" s="12">
        <v>197</v>
      </c>
      <c r="B372" s="12">
        <v>1</v>
      </c>
      <c r="C372" s="12" t="str">
        <f t="shared" si="18"/>
        <v>SiteMessage</v>
      </c>
      <c r="D372" s="14" t="s">
        <v>641</v>
      </c>
      <c r="E372" s="12">
        <v>40</v>
      </c>
      <c r="F372" s="12">
        <v>1</v>
      </c>
      <c r="G372" s="12">
        <v>1</v>
      </c>
      <c r="H372" s="12" t="s">
        <v>589</v>
      </c>
      <c r="I372" s="12">
        <v>5</v>
      </c>
      <c r="J372" s="12" t="s">
        <v>642</v>
      </c>
      <c r="K372" s="12" t="s">
        <v>1340</v>
      </c>
      <c r="L372" s="23" t="s">
        <v>1342</v>
      </c>
      <c r="M372" s="13" t="s">
        <v>1464</v>
      </c>
      <c r="N372" s="13" t="s">
        <v>1490</v>
      </c>
      <c r="O372" s="12" t="s">
        <v>1490</v>
      </c>
      <c r="P372" s="12" t="s">
        <v>1963</v>
      </c>
      <c r="Q372" s="12" t="s">
        <v>1247</v>
      </c>
      <c r="R372" s="13" t="s">
        <v>2003</v>
      </c>
      <c r="S372" s="13" t="s">
        <v>1342</v>
      </c>
      <c r="T372" s="23" t="s">
        <v>1342</v>
      </c>
      <c r="U372" s="13" t="s">
        <v>1342</v>
      </c>
      <c r="V372" s="13" t="s">
        <v>1342</v>
      </c>
      <c r="W372" s="13" t="s">
        <v>1342</v>
      </c>
      <c r="X372" s="12" t="str">
        <f>VLOOKUP($D372,global_toc!$C:$K,7,FALSE)</f>
        <v>79AUG03XX</v>
      </c>
      <c r="Y372" s="12" t="str">
        <f>VLOOKUP($D372,global_toc!$C:$K,8,FALSE)</f>
        <v>11OCT17XA</v>
      </c>
      <c r="Z372" s="12">
        <f>VLOOKUP($D372,global_toc!$C:$K,9,FALSE)</f>
        <v>5029</v>
      </c>
      <c r="AA372" s="19" t="str">
        <f t="shared" si="17"/>
        <v>Site Module Message Definition</v>
      </c>
    </row>
    <row r="373" spans="1:27" x14ac:dyDescent="0.2">
      <c r="A373" s="12">
        <v>198</v>
      </c>
      <c r="B373" s="12">
        <v>1</v>
      </c>
      <c r="C373" s="12" t="str">
        <f t="shared" si="18"/>
        <v>SiteZenithDelay</v>
      </c>
      <c r="D373" s="14" t="s">
        <v>485</v>
      </c>
      <c r="E373" s="12">
        <v>11</v>
      </c>
      <c r="F373" s="12">
        <v>1</v>
      </c>
      <c r="G373" s="12">
        <v>1</v>
      </c>
      <c r="H373" s="12" t="s">
        <v>447</v>
      </c>
      <c r="I373" s="12">
        <v>5</v>
      </c>
      <c r="J373" s="12" t="s">
        <v>486</v>
      </c>
      <c r="K373" s="12" t="s">
        <v>1340</v>
      </c>
      <c r="L373" s="23" t="s">
        <v>1342</v>
      </c>
      <c r="M373" s="13" t="s">
        <v>1464</v>
      </c>
      <c r="N373" s="13" t="s">
        <v>1490</v>
      </c>
      <c r="O373" s="12" t="s">
        <v>1490</v>
      </c>
      <c r="P373" s="12" t="s">
        <v>1963</v>
      </c>
      <c r="Q373" s="12" t="s">
        <v>1247</v>
      </c>
      <c r="R373" s="13" t="s">
        <v>2004</v>
      </c>
      <c r="S373" s="13" t="s">
        <v>1342</v>
      </c>
      <c r="T373" s="23" t="s">
        <v>1342</v>
      </c>
      <c r="U373" s="13" t="s">
        <v>1342</v>
      </c>
      <c r="V373" s="13" t="s">
        <v>1342</v>
      </c>
      <c r="W373" s="13" t="s">
        <v>1342</v>
      </c>
      <c r="X373" s="12" t="str">
        <f>VLOOKUP($D373,global_toc!$C:$K,7,FALSE)</f>
        <v>79AUG03XX</v>
      </c>
      <c r="Y373" s="12" t="str">
        <f>VLOOKUP($D373,global_toc!$C:$K,8,FALSE)</f>
        <v>11OCT17XA</v>
      </c>
      <c r="Z373" s="12">
        <f>VLOOKUP($D373,global_toc!$C:$K,9,FALSE)</f>
        <v>5029</v>
      </c>
      <c r="AA373" s="19" t="str">
        <f t="shared" si="17"/>
        <v>Site zenith path delays (nsec).</v>
      </c>
    </row>
    <row r="374" spans="1:27" x14ac:dyDescent="0.2">
      <c r="A374" s="12">
        <v>204</v>
      </c>
      <c r="B374" s="12">
        <v>1</v>
      </c>
      <c r="C374" s="12" t="str">
        <f t="shared" si="18"/>
        <v>StarMessage</v>
      </c>
      <c r="D374" s="14" t="s">
        <v>647</v>
      </c>
      <c r="E374" s="12">
        <v>40</v>
      </c>
      <c r="F374" s="12">
        <v>1</v>
      </c>
      <c r="G374" s="12">
        <v>1</v>
      </c>
      <c r="H374" s="12" t="s">
        <v>589</v>
      </c>
      <c r="I374" s="12">
        <v>5</v>
      </c>
      <c r="J374" s="12" t="s">
        <v>648</v>
      </c>
      <c r="K374" s="12" t="s">
        <v>1340</v>
      </c>
      <c r="L374" s="23" t="s">
        <v>1342</v>
      </c>
      <c r="M374" s="13" t="s">
        <v>1464</v>
      </c>
      <c r="N374" s="13" t="s">
        <v>1490</v>
      </c>
      <c r="O374" s="12" t="s">
        <v>1490</v>
      </c>
      <c r="P374" s="12" t="s">
        <v>1963</v>
      </c>
      <c r="Q374" s="12" t="s">
        <v>1247</v>
      </c>
      <c r="R374" s="13" t="s">
        <v>2010</v>
      </c>
      <c r="S374" s="13" t="s">
        <v>1342</v>
      </c>
      <c r="T374" s="23" t="s">
        <v>1342</v>
      </c>
      <c r="U374" s="13" t="s">
        <v>1342</v>
      </c>
      <c r="V374" s="13" t="s">
        <v>1342</v>
      </c>
      <c r="W374" s="13" t="s">
        <v>1342</v>
      </c>
      <c r="X374" s="12" t="str">
        <f>VLOOKUP($D374,global_toc!$C:$K,7,FALSE)</f>
        <v>79AUG03XX</v>
      </c>
      <c r="Y374" s="12" t="str">
        <f>VLOOKUP($D374,global_toc!$C:$K,8,FALSE)</f>
        <v>11OCT17XA</v>
      </c>
      <c r="Z374" s="12">
        <f>VLOOKUP($D374,global_toc!$C:$K,9,FALSE)</f>
        <v>5029</v>
      </c>
      <c r="AA374" s="19" t="str">
        <f t="shared" si="17"/>
        <v>Star module message definition</v>
      </c>
    </row>
    <row r="375" spans="1:27" x14ac:dyDescent="0.2">
      <c r="A375" s="12">
        <v>203</v>
      </c>
      <c r="B375" s="12">
        <v>1</v>
      </c>
      <c r="C375" s="12" t="str">
        <f t="shared" si="18"/>
        <v>StarParallaxControl</v>
      </c>
      <c r="D375" s="14" t="s">
        <v>649</v>
      </c>
      <c r="E375" s="12">
        <v>40</v>
      </c>
      <c r="F375" s="12">
        <v>1</v>
      </c>
      <c r="G375" s="12">
        <v>1</v>
      </c>
      <c r="H375" s="12" t="s">
        <v>589</v>
      </c>
      <c r="I375" s="12">
        <v>5</v>
      </c>
      <c r="J375" s="12" t="s">
        <v>650</v>
      </c>
      <c r="K375" s="12" t="s">
        <v>1340</v>
      </c>
      <c r="L375" s="23" t="s">
        <v>1342</v>
      </c>
      <c r="M375" s="13" t="s">
        <v>1464</v>
      </c>
      <c r="N375" s="13" t="s">
        <v>1490</v>
      </c>
      <c r="O375" s="12" t="s">
        <v>1490</v>
      </c>
      <c r="P375" s="12" t="s">
        <v>1963</v>
      </c>
      <c r="Q375" s="12" t="s">
        <v>1247</v>
      </c>
      <c r="R375" s="13" t="s">
        <v>2585</v>
      </c>
      <c r="S375" s="13" t="s">
        <v>1342</v>
      </c>
      <c r="T375" s="23" t="s">
        <v>1342</v>
      </c>
      <c r="U375" s="13" t="s">
        <v>1342</v>
      </c>
      <c r="V375" s="13" t="s">
        <v>1342</v>
      </c>
      <c r="W375" s="13" t="s">
        <v>1342</v>
      </c>
      <c r="X375" s="12" t="str">
        <f>VLOOKUP($D375,global_toc!$C:$K,7,FALSE)</f>
        <v>79AUG03XX</v>
      </c>
      <c r="Y375" s="12" t="str">
        <f>VLOOKUP($D375,global_toc!$C:$K,8,FALSE)</f>
        <v>11OCT17XA</v>
      </c>
      <c r="Z375" s="12">
        <f>VLOOKUP($D375,global_toc!$C:$K,9,FALSE)</f>
        <v>5029</v>
      </c>
      <c r="AA375" s="19" t="str">
        <f t="shared" si="17"/>
        <v>Parallax flow control mess def</v>
      </c>
    </row>
    <row r="376" spans="1:27" x14ac:dyDescent="0.2">
      <c r="A376" s="12">
        <v>205</v>
      </c>
      <c r="B376" s="12">
        <v>1</v>
      </c>
      <c r="C376" s="12" t="str">
        <f t="shared" si="18"/>
        <v>TheoryMessage</v>
      </c>
      <c r="D376" s="14" t="s">
        <v>681</v>
      </c>
      <c r="E376" s="12">
        <v>40</v>
      </c>
      <c r="F376" s="12">
        <v>1</v>
      </c>
      <c r="G376" s="12">
        <v>1</v>
      </c>
      <c r="H376" s="12" t="s">
        <v>589</v>
      </c>
      <c r="I376" s="12">
        <v>5</v>
      </c>
      <c r="J376" s="12" t="s">
        <v>682</v>
      </c>
      <c r="K376" s="12" t="s">
        <v>1340</v>
      </c>
      <c r="L376" s="23" t="s">
        <v>1342</v>
      </c>
      <c r="M376" s="13" t="s">
        <v>1464</v>
      </c>
      <c r="N376" s="13" t="s">
        <v>1490</v>
      </c>
      <c r="O376" s="12" t="s">
        <v>1490</v>
      </c>
      <c r="P376" s="12" t="s">
        <v>1963</v>
      </c>
      <c r="Q376" s="12" t="s">
        <v>1247</v>
      </c>
      <c r="R376" s="13" t="s">
        <v>2011</v>
      </c>
      <c r="S376" s="13" t="s">
        <v>1342</v>
      </c>
      <c r="T376" s="23" t="s">
        <v>1342</v>
      </c>
      <c r="U376" s="13" t="s">
        <v>1342</v>
      </c>
      <c r="V376" s="13" t="s">
        <v>1342</v>
      </c>
      <c r="W376" s="13" t="s">
        <v>1342</v>
      </c>
      <c r="X376" s="12" t="str">
        <f>VLOOKUP($D376,global_toc!$C:$K,7,FALSE)</f>
        <v>79AUG03XX</v>
      </c>
      <c r="Y376" s="12" t="str">
        <f>VLOOKUP($D376,global_toc!$C:$K,8,FALSE)</f>
        <v>11OCT17XA</v>
      </c>
      <c r="Z376" s="12">
        <f>VLOOKUP($D376,global_toc!$C:$K,9,FALSE)</f>
        <v>5029</v>
      </c>
      <c r="AA376" s="19" t="str">
        <f t="shared" si="17"/>
        <v>Theory module identification</v>
      </c>
    </row>
    <row r="377" spans="1:27" x14ac:dyDescent="0.2">
      <c r="A377" s="12">
        <v>206</v>
      </c>
      <c r="B377" s="12">
        <v>1</v>
      </c>
      <c r="C377" s="12" t="str">
        <f t="shared" si="18"/>
        <v>TidalUT1Control</v>
      </c>
      <c r="D377" s="14" t="s">
        <v>560</v>
      </c>
      <c r="E377" s="12">
        <v>1</v>
      </c>
      <c r="F377" s="12">
        <v>1</v>
      </c>
      <c r="G377" s="12">
        <v>1</v>
      </c>
      <c r="H377" s="12" t="s">
        <v>544</v>
      </c>
      <c r="I377" s="12">
        <v>5</v>
      </c>
      <c r="J377" s="12" t="s">
        <v>561</v>
      </c>
      <c r="K377" s="12" t="s">
        <v>1340</v>
      </c>
      <c r="L377" s="23" t="s">
        <v>1342</v>
      </c>
      <c r="M377" s="13" t="s">
        <v>1464</v>
      </c>
      <c r="N377" s="13" t="s">
        <v>1490</v>
      </c>
      <c r="O377" s="12" t="s">
        <v>1490</v>
      </c>
      <c r="P377" s="12" t="s">
        <v>1963</v>
      </c>
      <c r="Q377" s="12" t="s">
        <v>1247</v>
      </c>
      <c r="R377" s="13" t="s">
        <v>2586</v>
      </c>
      <c r="S377" s="13" t="s">
        <v>1342</v>
      </c>
      <c r="T377" s="23" t="s">
        <v>1342</v>
      </c>
      <c r="U377" s="13" t="s">
        <v>1342</v>
      </c>
      <c r="V377" s="13" t="s">
        <v>1342</v>
      </c>
      <c r="W377" s="13" t="s">
        <v>1342</v>
      </c>
      <c r="X377" s="12" t="str">
        <f>VLOOKUP($D377,global_toc!$C:$K,7,FALSE)</f>
        <v>79AUG03XX</v>
      </c>
      <c r="Y377" s="12" t="str">
        <f>VLOOKUP($D377,global_toc!$C:$K,8,FALSE)</f>
        <v>11OCT17XA</v>
      </c>
      <c r="Z377" s="12">
        <f>VLOOKUP($D377,global_toc!$C:$K,9,FALSE)</f>
        <v>5029</v>
      </c>
      <c r="AA377" s="19" t="str">
        <f t="shared" si="17"/>
        <v>Flag for tidal terms in UT1 sers</v>
      </c>
    </row>
    <row r="378" spans="1:27" x14ac:dyDescent="0.2">
      <c r="A378" s="12">
        <v>208</v>
      </c>
      <c r="B378" s="12">
        <v>1</v>
      </c>
      <c r="C378" s="12" t="str">
        <f t="shared" si="18"/>
        <v>UT1EPOCH</v>
      </c>
      <c r="D378" s="14" t="s">
        <v>511</v>
      </c>
      <c r="E378" s="12">
        <v>2</v>
      </c>
      <c r="F378" s="12">
        <v>2</v>
      </c>
      <c r="G378" s="12">
        <v>1</v>
      </c>
      <c r="H378" s="12" t="s">
        <v>447</v>
      </c>
      <c r="I378" s="12">
        <v>5</v>
      </c>
      <c r="J378" s="12" t="s">
        <v>512</v>
      </c>
      <c r="K378" s="12" t="s">
        <v>1340</v>
      </c>
      <c r="L378" s="23" t="s">
        <v>1342</v>
      </c>
      <c r="M378" s="13" t="s">
        <v>1464</v>
      </c>
      <c r="N378" s="13" t="s">
        <v>1490</v>
      </c>
      <c r="O378" s="12" t="s">
        <v>1490</v>
      </c>
      <c r="P378" s="12" t="s">
        <v>1963</v>
      </c>
      <c r="Q378" s="12" t="s">
        <v>1247</v>
      </c>
      <c r="R378" s="13" t="s">
        <v>1342</v>
      </c>
      <c r="S378" s="13" t="s">
        <v>1342</v>
      </c>
      <c r="T378" s="23" t="s">
        <v>1342</v>
      </c>
      <c r="U378" s="13" t="s">
        <v>1342</v>
      </c>
      <c r="V378" s="13" t="s">
        <v>1342</v>
      </c>
      <c r="W378" s="13" t="s">
        <v>1342</v>
      </c>
      <c r="X378" s="12" t="str">
        <f>VLOOKUP($D378,global_toc!$C:$K,7,FALSE)</f>
        <v>79AUG03XX</v>
      </c>
      <c r="Y378" s="12" t="str">
        <f>VLOOKUP($D378,global_toc!$C:$K,8,FALSE)</f>
        <v>11OCT17XA</v>
      </c>
      <c r="Z378" s="12">
        <f>VLOOKUP($D378,global_toc!$C:$K,9,FALSE)</f>
        <v>5029</v>
      </c>
      <c r="AA378" s="19" t="str">
        <f t="shared" si="17"/>
        <v>TAI - UT1 epoch value definition</v>
      </c>
    </row>
    <row r="379" spans="1:27" x14ac:dyDescent="0.2">
      <c r="A379" s="12">
        <v>207</v>
      </c>
      <c r="B379" s="12">
        <v>1</v>
      </c>
      <c r="C379" s="12" t="str">
        <f t="shared" si="18"/>
        <v>UT1Control</v>
      </c>
      <c r="D379" s="14" t="s">
        <v>655</v>
      </c>
      <c r="E379" s="12">
        <v>40</v>
      </c>
      <c r="F379" s="12">
        <v>1</v>
      </c>
      <c r="G379" s="12">
        <v>1</v>
      </c>
      <c r="H379" s="12" t="s">
        <v>589</v>
      </c>
      <c r="I379" s="12">
        <v>5</v>
      </c>
      <c r="J379" s="12" t="s">
        <v>656</v>
      </c>
      <c r="K379" s="12" t="s">
        <v>1340</v>
      </c>
      <c r="L379" s="23" t="s">
        <v>1342</v>
      </c>
      <c r="M379" s="13" t="s">
        <v>1464</v>
      </c>
      <c r="N379" s="13" t="s">
        <v>1490</v>
      </c>
      <c r="O379" s="12" t="s">
        <v>1490</v>
      </c>
      <c r="P379" s="12" t="s">
        <v>1963</v>
      </c>
      <c r="Q379" s="12" t="s">
        <v>1247</v>
      </c>
      <c r="R379" s="13" t="s">
        <v>2587</v>
      </c>
      <c r="S379" s="13" t="s">
        <v>1342</v>
      </c>
      <c r="T379" s="23" t="s">
        <v>1342</v>
      </c>
      <c r="U379" s="13" t="s">
        <v>1342</v>
      </c>
      <c r="V379" s="13" t="s">
        <v>1342</v>
      </c>
      <c r="W379" s="13" t="s">
        <v>1342</v>
      </c>
      <c r="X379" s="12" t="str">
        <f>VLOOKUP($D379,global_toc!$C:$K,7,FALSE)</f>
        <v>79AUG03XX</v>
      </c>
      <c r="Y379" s="12" t="str">
        <f>VLOOKUP($D379,global_toc!$C:$K,8,FALSE)</f>
        <v>11OCT17XA</v>
      </c>
      <c r="Z379" s="12">
        <f>VLOOKUP($D379,global_toc!$C:$K,9,FALSE)</f>
        <v>5029</v>
      </c>
      <c r="AA379" s="19" t="str">
        <f t="shared" si="17"/>
        <v>UT1 control flag message def.</v>
      </c>
    </row>
    <row r="380" spans="1:27" x14ac:dyDescent="0.2">
      <c r="A380" s="12">
        <v>209</v>
      </c>
      <c r="B380" s="12">
        <v>1</v>
      </c>
      <c r="C380" s="12" t="str">
        <f t="shared" si="18"/>
        <v>WobbleControl</v>
      </c>
      <c r="D380" s="14" t="s">
        <v>667</v>
      </c>
      <c r="E380" s="12">
        <v>40</v>
      </c>
      <c r="F380" s="12">
        <v>1</v>
      </c>
      <c r="G380" s="12">
        <v>1</v>
      </c>
      <c r="H380" s="12" t="s">
        <v>589</v>
      </c>
      <c r="I380" s="12">
        <v>5</v>
      </c>
      <c r="J380" s="12" t="s">
        <v>668</v>
      </c>
      <c r="K380" s="12" t="s">
        <v>1340</v>
      </c>
      <c r="L380" s="23" t="s">
        <v>1342</v>
      </c>
      <c r="M380" s="13" t="s">
        <v>1464</v>
      </c>
      <c r="N380" s="13" t="s">
        <v>1490</v>
      </c>
      <c r="O380" s="12" t="s">
        <v>1490</v>
      </c>
      <c r="P380" s="12" t="s">
        <v>1963</v>
      </c>
      <c r="Q380" s="12" t="s">
        <v>1247</v>
      </c>
      <c r="R380" s="13" t="s">
        <v>2588</v>
      </c>
      <c r="S380" s="13" t="s">
        <v>1342</v>
      </c>
      <c r="T380" s="23" t="s">
        <v>1342</v>
      </c>
      <c r="U380" s="13" t="s">
        <v>1342</v>
      </c>
      <c r="V380" s="13" t="s">
        <v>1342</v>
      </c>
      <c r="W380" s="13" t="s">
        <v>1342</v>
      </c>
      <c r="X380" s="12" t="str">
        <f>VLOOKUP($D380,global_toc!$C:$K,7,FALSE)</f>
        <v>79AUG03XX</v>
      </c>
      <c r="Y380" s="12" t="str">
        <f>VLOOKUP($D380,global_toc!$C:$K,8,FALSE)</f>
        <v>11OCT17XA</v>
      </c>
      <c r="Z380" s="12">
        <f>VLOOKUP($D380,global_toc!$C:$K,9,FALSE)</f>
        <v>5029</v>
      </c>
      <c r="AA380" s="19" t="str">
        <f t="shared" si="17"/>
        <v>Wobble flow control mess def.</v>
      </c>
    </row>
    <row r="381" spans="1:27" x14ac:dyDescent="0.2">
      <c r="A381" s="12">
        <v>210</v>
      </c>
      <c r="B381" s="12">
        <v>1</v>
      </c>
      <c r="C381" s="12" t="str">
        <f t="shared" si="18"/>
        <v>WOBEPOCH</v>
      </c>
      <c r="D381" s="14" t="s">
        <v>513</v>
      </c>
      <c r="E381" s="12">
        <v>2</v>
      </c>
      <c r="F381" s="12">
        <v>2</v>
      </c>
      <c r="G381" s="12">
        <v>1</v>
      </c>
      <c r="H381" s="12" t="s">
        <v>447</v>
      </c>
      <c r="I381" s="12">
        <v>5</v>
      </c>
      <c r="J381" s="12" t="s">
        <v>514</v>
      </c>
      <c r="K381" s="12" t="s">
        <v>1340</v>
      </c>
      <c r="L381" s="23" t="s">
        <v>1342</v>
      </c>
      <c r="M381" s="13" t="s">
        <v>1464</v>
      </c>
      <c r="N381" s="13" t="s">
        <v>1490</v>
      </c>
      <c r="O381" s="12" t="s">
        <v>1490</v>
      </c>
      <c r="P381" s="12" t="s">
        <v>1963</v>
      </c>
      <c r="Q381" s="12" t="s">
        <v>1247</v>
      </c>
      <c r="R381" s="13" t="s">
        <v>1342</v>
      </c>
      <c r="S381" s="13" t="s">
        <v>1342</v>
      </c>
      <c r="T381" s="23" t="s">
        <v>1342</v>
      </c>
      <c r="U381" s="13" t="s">
        <v>1342</v>
      </c>
      <c r="V381" s="13" t="s">
        <v>1342</v>
      </c>
      <c r="W381" s="13" t="s">
        <v>1342</v>
      </c>
      <c r="X381" s="12" t="str">
        <f>VLOOKUP($D381,global_toc!$C:$K,7,FALSE)</f>
        <v>79AUG03XX</v>
      </c>
      <c r="Y381" s="12" t="str">
        <f>VLOOKUP($D381,global_toc!$C:$K,8,FALSE)</f>
        <v>11OCT17XA</v>
      </c>
      <c r="Z381" s="12">
        <f>VLOOKUP($D381,global_toc!$C:$K,9,FALSE)</f>
        <v>5029</v>
      </c>
      <c r="AA381" s="19" t="str">
        <f t="shared" si="17"/>
        <v>Interpolated wobble array def</v>
      </c>
    </row>
    <row r="382" spans="1:27" x14ac:dyDescent="0.2">
      <c r="A382" s="12">
        <v>239</v>
      </c>
      <c r="B382" s="12">
        <v>1</v>
      </c>
      <c r="C382" s="12" t="str">
        <f t="shared" si="18"/>
        <v>StatCalStationList</v>
      </c>
      <c r="D382" s="14" t="s">
        <v>716</v>
      </c>
      <c r="E382" s="12">
        <v>4</v>
      </c>
      <c r="F382" s="12">
        <v>11</v>
      </c>
      <c r="G382" s="12">
        <v>1</v>
      </c>
      <c r="H382" s="12" t="s">
        <v>589</v>
      </c>
      <c r="I382" s="12">
        <v>4</v>
      </c>
      <c r="J382" s="12" t="s">
        <v>717</v>
      </c>
      <c r="K382" s="12" t="s">
        <v>1340</v>
      </c>
      <c r="L382" s="23" t="s">
        <v>1342</v>
      </c>
      <c r="M382" s="13" t="s">
        <v>1464</v>
      </c>
      <c r="N382" s="13" t="s">
        <v>1490</v>
      </c>
      <c r="O382" s="12" t="s">
        <v>1490</v>
      </c>
      <c r="P382" s="12" t="s">
        <v>2134</v>
      </c>
      <c r="Q382" s="12" t="s">
        <v>1342</v>
      </c>
      <c r="R382" s="13" t="s">
        <v>2609</v>
      </c>
      <c r="S382" s="13" t="s">
        <v>1342</v>
      </c>
      <c r="T382" s="23" t="s">
        <v>1342</v>
      </c>
      <c r="U382" s="13" t="s">
        <v>1342</v>
      </c>
      <c r="V382" s="13" t="s">
        <v>1342</v>
      </c>
      <c r="W382" s="13" t="s">
        <v>1342</v>
      </c>
      <c r="X382" s="12" t="str">
        <f>VLOOKUP($D382,global_toc!$C:$K,7,FALSE)</f>
        <v>79AUG03XX</v>
      </c>
      <c r="Y382" s="12" t="str">
        <f>VLOOKUP($D382,global_toc!$C:$K,8,FALSE)</f>
        <v>11OCT17XA</v>
      </c>
      <c r="Z382" s="12">
        <f>VLOOKUP($D382,global_toc!$C:$K,9,FALSE)</f>
        <v>5028</v>
      </c>
      <c r="AA382" s="19" t="str">
        <f t="shared" si="17"/>
        <v>List of sites for standard cal</v>
      </c>
    </row>
    <row r="383" spans="1:27" x14ac:dyDescent="0.2">
      <c r="A383" s="12">
        <v>240</v>
      </c>
      <c r="B383" s="12">
        <v>1</v>
      </c>
      <c r="C383" s="12" t="str">
        <f t="shared" si="18"/>
        <v>FlybyFlag</v>
      </c>
      <c r="D383" s="14" t="s">
        <v>580</v>
      </c>
      <c r="E383" s="12">
        <v>7</v>
      </c>
      <c r="F383" s="12">
        <v>11</v>
      </c>
      <c r="G383" s="12">
        <v>1</v>
      </c>
      <c r="H383" s="12" t="s">
        <v>544</v>
      </c>
      <c r="I383" s="12">
        <v>4</v>
      </c>
      <c r="J383" s="12" t="s">
        <v>581</v>
      </c>
      <c r="K383" s="12" t="s">
        <v>1340</v>
      </c>
      <c r="L383" s="23" t="s">
        <v>1342</v>
      </c>
      <c r="M383" s="13" t="s">
        <v>1464</v>
      </c>
      <c r="N383" s="13" t="s">
        <v>1490</v>
      </c>
      <c r="O383" s="12" t="s">
        <v>1490</v>
      </c>
      <c r="P383" s="12" t="s">
        <v>2134</v>
      </c>
      <c r="Q383" s="12" t="s">
        <v>1342</v>
      </c>
      <c r="R383" s="13" t="s">
        <v>1894</v>
      </c>
      <c r="S383" s="13" t="s">
        <v>1342</v>
      </c>
      <c r="T383" s="23" t="s">
        <v>1342</v>
      </c>
      <c r="U383" s="13" t="s">
        <v>1342</v>
      </c>
      <c r="V383" s="13" t="s">
        <v>1342</v>
      </c>
      <c r="W383" s="13" t="s">
        <v>1342</v>
      </c>
      <c r="X383" s="12" t="str">
        <f>VLOOKUP($D383,global_toc!$C:$K,7,FALSE)</f>
        <v>79AUG03XX</v>
      </c>
      <c r="Y383" s="12" t="str">
        <f>VLOOKUP($D383,global_toc!$C:$K,8,FALSE)</f>
        <v>11OCT17XA</v>
      </c>
      <c r="Z383" s="12">
        <f>VLOOKUP($D383,global_toc!$C:$K,9,FALSE)</f>
        <v>4659</v>
      </c>
      <c r="AA383" s="19" t="str">
        <f t="shared" si="17"/>
        <v>Standard flcal configuration</v>
      </c>
    </row>
    <row r="384" spans="1:27" x14ac:dyDescent="0.2">
      <c r="A384" s="12">
        <v>241</v>
      </c>
      <c r="B384" s="12">
        <v>1</v>
      </c>
      <c r="C384" s="12" t="str">
        <f t="shared" si="18"/>
        <v>FlybyList</v>
      </c>
      <c r="D384" s="14" t="s">
        <v>720</v>
      </c>
      <c r="E384" s="12">
        <v>4</v>
      </c>
      <c r="F384" s="12">
        <v>8</v>
      </c>
      <c r="G384" s="12">
        <v>1</v>
      </c>
      <c r="H384" s="12" t="s">
        <v>589</v>
      </c>
      <c r="I384" s="12">
        <v>4</v>
      </c>
      <c r="J384" s="12" t="s">
        <v>721</v>
      </c>
      <c r="K384" s="12" t="s">
        <v>1340</v>
      </c>
      <c r="L384" s="21" t="s">
        <v>1346</v>
      </c>
      <c r="M384" s="13" t="s">
        <v>1464</v>
      </c>
      <c r="N384" s="13" t="s">
        <v>1490</v>
      </c>
      <c r="O384" s="12" t="s">
        <v>1490</v>
      </c>
      <c r="P384" s="12" t="s">
        <v>2134</v>
      </c>
      <c r="Q384" s="12" t="s">
        <v>1342</v>
      </c>
      <c r="R384" s="13" t="s">
        <v>2607</v>
      </c>
      <c r="S384" s="13" t="s">
        <v>1342</v>
      </c>
      <c r="T384" s="23" t="s">
        <v>1342</v>
      </c>
      <c r="U384" s="13" t="s">
        <v>1342</v>
      </c>
      <c r="V384" s="13" t="s">
        <v>1342</v>
      </c>
      <c r="W384" s="13" t="s">
        <v>1342</v>
      </c>
      <c r="X384" s="12" t="str">
        <f>VLOOKUP($D384,global_toc!$C:$K,7,FALSE)</f>
        <v>79AUG03XX</v>
      </c>
      <c r="Y384" s="12" t="str">
        <f>VLOOKUP($D384,global_toc!$C:$K,8,FALSE)</f>
        <v>11OCT17XA</v>
      </c>
      <c r="Z384" s="12">
        <f>VLOOKUP($D384,global_toc!$C:$K,9,FALSE)</f>
        <v>4659</v>
      </c>
      <c r="AA384" s="19" t="str">
        <f t="shared" si="17"/>
        <v>Key to the standard flcal config</v>
      </c>
    </row>
    <row r="385" spans="1:27" ht="25.5" x14ac:dyDescent="0.2">
      <c r="A385" s="12">
        <v>242</v>
      </c>
      <c r="B385" s="12">
        <v>1</v>
      </c>
      <c r="C385" s="12" t="str">
        <f t="shared" si="18"/>
        <v>ObsCalFlag</v>
      </c>
      <c r="D385" s="14" t="s">
        <v>586</v>
      </c>
      <c r="E385" s="12">
        <v>1</v>
      </c>
      <c r="F385" s="12">
        <v>1</v>
      </c>
      <c r="G385" s="12">
        <v>1</v>
      </c>
      <c r="H385" s="12" t="s">
        <v>544</v>
      </c>
      <c r="I385" s="12">
        <v>4</v>
      </c>
      <c r="J385" s="12" t="s">
        <v>587</v>
      </c>
      <c r="K385" s="12" t="s">
        <v>1340</v>
      </c>
      <c r="L385" s="23" t="s">
        <v>1342</v>
      </c>
      <c r="M385" s="13" t="s">
        <v>1464</v>
      </c>
      <c r="N385" s="13" t="s">
        <v>1490</v>
      </c>
      <c r="O385" s="12" t="s">
        <v>1490</v>
      </c>
      <c r="P385" s="12" t="s">
        <v>2134</v>
      </c>
      <c r="Q385" s="12" t="s">
        <v>1342</v>
      </c>
      <c r="R385" s="13" t="s">
        <v>1887</v>
      </c>
      <c r="S385" s="13" t="s">
        <v>1342</v>
      </c>
      <c r="T385" s="23" t="s">
        <v>1888</v>
      </c>
      <c r="U385" s="13" t="s">
        <v>1342</v>
      </c>
      <c r="V385" s="13" t="s">
        <v>1342</v>
      </c>
      <c r="W385" s="13" t="s">
        <v>1342</v>
      </c>
      <c r="X385" s="12" t="str">
        <f>VLOOKUP($D385,global_toc!$C:$K,7,FALSE)</f>
        <v>79AUG03XX</v>
      </c>
      <c r="Y385" s="12" t="str">
        <f>VLOOKUP($D385,global_toc!$C:$K,8,FALSE)</f>
        <v>11OCT17XA</v>
      </c>
      <c r="Z385" s="12">
        <f>VLOOKUP($D385,global_toc!$C:$K,9,FALSE)</f>
        <v>4965</v>
      </c>
      <c r="AA385" s="19" t="str">
        <f t="shared" si="17"/>
        <v>Bit set indicate that calibration is recommended.</v>
      </c>
    </row>
    <row r="386" spans="1:27" ht="25.5" x14ac:dyDescent="0.2">
      <c r="A386" s="12">
        <v>243</v>
      </c>
      <c r="B386" s="12">
        <v>1</v>
      </c>
      <c r="C386" s="12" t="str">
        <f t="shared" si="18"/>
        <v>ObsCalList</v>
      </c>
      <c r="D386" s="14" t="s">
        <v>724</v>
      </c>
      <c r="E386" s="12">
        <v>4</v>
      </c>
      <c r="F386" s="12">
        <v>14</v>
      </c>
      <c r="G386" s="12">
        <v>1</v>
      </c>
      <c r="H386" s="12" t="s">
        <v>589</v>
      </c>
      <c r="I386" s="12">
        <v>4</v>
      </c>
      <c r="J386" s="12" t="s">
        <v>725</v>
      </c>
      <c r="K386" s="12" t="s">
        <v>1340</v>
      </c>
      <c r="L386" s="21" t="s">
        <v>1346</v>
      </c>
      <c r="M386" s="13" t="s">
        <v>1464</v>
      </c>
      <c r="N386" s="13" t="s">
        <v>1490</v>
      </c>
      <c r="O386" s="12" t="s">
        <v>1490</v>
      </c>
      <c r="P386" s="12" t="s">
        <v>2134</v>
      </c>
      <c r="Q386" s="12" t="s">
        <v>1342</v>
      </c>
      <c r="R386" s="13" t="s">
        <v>2608</v>
      </c>
      <c r="S386" s="13" t="s">
        <v>1342</v>
      </c>
      <c r="T386" s="23" t="s">
        <v>1961</v>
      </c>
      <c r="U386" s="13" t="s">
        <v>1342</v>
      </c>
      <c r="V386" s="13" t="s">
        <v>1342</v>
      </c>
      <c r="W386" s="13" t="s">
        <v>1342</v>
      </c>
      <c r="X386" s="12" t="str">
        <f>VLOOKUP($D386,global_toc!$C:$K,7,FALSE)</f>
        <v>79AUG03XX</v>
      </c>
      <c r="Y386" s="12" t="str">
        <f>VLOOKUP($D386,global_toc!$C:$K,8,FALSE)</f>
        <v>11OCT17XA</v>
      </c>
      <c r="Z386" s="12">
        <f>VLOOKUP($D386,global_toc!$C:$K,9,FALSE)</f>
        <v>5027</v>
      </c>
      <c r="AA386" s="19" t="str">
        <f t="shared" si="17"/>
        <v>Available obs dependent calibrations (poletide, earthdide, …)</v>
      </c>
    </row>
    <row r="387" spans="1:27" ht="25.5" x14ac:dyDescent="0.2">
      <c r="A387" s="12">
        <v>237</v>
      </c>
      <c r="B387" s="12">
        <v>1</v>
      </c>
      <c r="C387" s="12" t="str">
        <f t="shared" si="18"/>
        <v>StatCalFlag</v>
      </c>
      <c r="D387" s="14" t="s">
        <v>578</v>
      </c>
      <c r="E387" s="12">
        <v>11</v>
      </c>
      <c r="F387" s="12">
        <v>1</v>
      </c>
      <c r="G387" s="12">
        <v>1</v>
      </c>
      <c r="H387" s="12" t="s">
        <v>544</v>
      </c>
      <c r="I387" s="12">
        <v>4</v>
      </c>
      <c r="J387" s="12" t="s">
        <v>579</v>
      </c>
      <c r="K387" s="12" t="s">
        <v>1340</v>
      </c>
      <c r="L387" s="23" t="s">
        <v>1342</v>
      </c>
      <c r="M387" s="13" t="s">
        <v>1464</v>
      </c>
      <c r="N387" s="13" t="s">
        <v>1490</v>
      </c>
      <c r="O387" s="12" t="s">
        <v>1490</v>
      </c>
      <c r="P387" s="12" t="s">
        <v>2134</v>
      </c>
      <c r="Q387" s="12" t="s">
        <v>1342</v>
      </c>
      <c r="R387" s="13" t="s">
        <v>1889</v>
      </c>
      <c r="S387" s="13" t="s">
        <v>1342</v>
      </c>
      <c r="T387" s="23" t="s">
        <v>1888</v>
      </c>
      <c r="U387" s="13" t="s">
        <v>1342</v>
      </c>
      <c r="V387" s="13" t="s">
        <v>1342</v>
      </c>
      <c r="W387" s="13" t="s">
        <v>1342</v>
      </c>
      <c r="X387" s="12" t="str">
        <f>VLOOKUP($D387,global_toc!$C:$K,7,FALSE)</f>
        <v>79AUG03XX</v>
      </c>
      <c r="Y387" s="12" t="str">
        <f>VLOOKUP($D387,global_toc!$C:$K,8,FALSE)</f>
        <v>11OCT17XA</v>
      </c>
      <c r="Z387" s="12">
        <f>VLOOKUP($D387,global_toc!$C:$K,9,FALSE)</f>
        <v>5028</v>
      </c>
      <c r="AA387" s="19" t="str">
        <f t="shared" si="17"/>
        <v>Bit set indicate that calibration is recommended.</v>
      </c>
    </row>
    <row r="388" spans="1:27" ht="25.5" x14ac:dyDescent="0.2">
      <c r="A388" s="12">
        <v>238</v>
      </c>
      <c r="B388" s="12">
        <v>1</v>
      </c>
      <c r="C388" s="12" t="str">
        <f t="shared" si="18"/>
        <v>StatCalList</v>
      </c>
      <c r="D388" s="14" t="s">
        <v>718</v>
      </c>
      <c r="E388" s="12">
        <v>4</v>
      </c>
      <c r="F388" s="12">
        <v>6</v>
      </c>
      <c r="G388" s="12">
        <v>1</v>
      </c>
      <c r="H388" s="12" t="s">
        <v>589</v>
      </c>
      <c r="I388" s="12">
        <v>4</v>
      </c>
      <c r="J388" s="12" t="s">
        <v>719</v>
      </c>
      <c r="K388" s="12" t="s">
        <v>1340</v>
      </c>
      <c r="L388" s="21" t="s">
        <v>1346</v>
      </c>
      <c r="M388" s="13" t="s">
        <v>1464</v>
      </c>
      <c r="N388" s="13" t="s">
        <v>1490</v>
      </c>
      <c r="O388" s="12" t="s">
        <v>1490</v>
      </c>
      <c r="P388" s="12" t="s">
        <v>2134</v>
      </c>
      <c r="Q388" s="12" t="s">
        <v>1342</v>
      </c>
      <c r="R388" s="13" t="s">
        <v>2610</v>
      </c>
      <c r="S388" s="13" t="s">
        <v>1342</v>
      </c>
      <c r="T388" s="23" t="s">
        <v>1960</v>
      </c>
      <c r="U388" s="13" t="s">
        <v>1342</v>
      </c>
      <c r="V388" s="13" t="s">
        <v>1342</v>
      </c>
      <c r="W388" s="13" t="s">
        <v>1342</v>
      </c>
      <c r="X388" s="12" t="str">
        <f>VLOOKUP($D388,global_toc!$C:$K,7,FALSE)</f>
        <v>79AUG03XX</v>
      </c>
      <c r="Y388" s="12" t="str">
        <f>VLOOKUP($D388,global_toc!$C:$K,8,FALSE)</f>
        <v>11OCT17XA</v>
      </c>
      <c r="Z388" s="12">
        <f>VLOOKUP($D388,global_toc!$C:$K,9,FALSE)</f>
        <v>5028</v>
      </c>
      <c r="AA388" s="19" t="str">
        <f t="shared" si="17"/>
        <v>Station depedendent calibratipns (Cable, Phase,  etc…)</v>
      </c>
    </row>
    <row r="389" spans="1:27" x14ac:dyDescent="0.2">
      <c r="A389" s="12">
        <v>247</v>
      </c>
      <c r="B389" s="12">
        <v>1</v>
      </c>
      <c r="C389" s="12" t="str">
        <f t="shared" si="18"/>
        <v>ClockInterval</v>
      </c>
      <c r="D389" s="14" t="s">
        <v>531</v>
      </c>
      <c r="E389" s="12">
        <v>1</v>
      </c>
      <c r="F389" s="12">
        <v>1</v>
      </c>
      <c r="G389" s="12">
        <v>1</v>
      </c>
      <c r="H389" s="12" t="s">
        <v>447</v>
      </c>
      <c r="I389" s="12">
        <v>4</v>
      </c>
      <c r="J389" s="12" t="s">
        <v>532</v>
      </c>
      <c r="K389" s="12" t="s">
        <v>1340</v>
      </c>
      <c r="L389" s="23" t="s">
        <v>1342</v>
      </c>
      <c r="M389" s="13" t="s">
        <v>1464</v>
      </c>
      <c r="N389" s="13" t="s">
        <v>1490</v>
      </c>
      <c r="O389" s="12" t="s">
        <v>1490</v>
      </c>
      <c r="P389" s="12" t="s">
        <v>2128</v>
      </c>
      <c r="Q389" s="12" t="s">
        <v>1342</v>
      </c>
      <c r="R389" s="13" t="s">
        <v>1864</v>
      </c>
      <c r="S389" s="13" t="s">
        <v>1342</v>
      </c>
      <c r="T389" s="23" t="s">
        <v>1342</v>
      </c>
      <c r="U389" s="13" t="s">
        <v>1342</v>
      </c>
      <c r="V389" s="13" t="s">
        <v>1342</v>
      </c>
      <c r="W389" s="13" t="s">
        <v>1342</v>
      </c>
      <c r="X389" s="12" t="str">
        <f>VLOOKUP($D389,global_toc!$C:$K,7,FALSE)</f>
        <v>79AUG03XX</v>
      </c>
      <c r="Y389" s="12" t="str">
        <f>VLOOKUP($D389,global_toc!$C:$K,8,FALSE)</f>
        <v>11OCT17XA</v>
      </c>
      <c r="Z389" s="12">
        <f>VLOOKUP($D389,global_toc!$C:$K,9,FALSE)</f>
        <v>5029</v>
      </c>
      <c r="AA389" s="19" t="str">
        <f t="shared" si="17"/>
        <v>Batchmode clock interval - hours</v>
      </c>
    </row>
    <row r="390" spans="1:27" ht="25.5" x14ac:dyDescent="0.2">
      <c r="A390" s="12">
        <v>246</v>
      </c>
      <c r="B390" s="12">
        <v>1</v>
      </c>
      <c r="C390" s="12" t="str">
        <f t="shared" si="18"/>
        <v>ClockRateConstraint</v>
      </c>
      <c r="D390" s="14" t="s">
        <v>529</v>
      </c>
      <c r="E390" s="12">
        <v>1</v>
      </c>
      <c r="F390" s="12">
        <v>1</v>
      </c>
      <c r="G390" s="12">
        <v>1</v>
      </c>
      <c r="H390" s="12" t="s">
        <v>447</v>
      </c>
      <c r="I390" s="12">
        <v>4</v>
      </c>
      <c r="J390" s="12" t="s">
        <v>530</v>
      </c>
      <c r="K390" s="12" t="s">
        <v>1340</v>
      </c>
      <c r="L390" s="23" t="s">
        <v>1847</v>
      </c>
      <c r="M390" s="13" t="s">
        <v>1464</v>
      </c>
      <c r="N390" s="13" t="s">
        <v>1490</v>
      </c>
      <c r="O390" s="12" t="s">
        <v>1490</v>
      </c>
      <c r="P390" s="12" t="s">
        <v>2128</v>
      </c>
      <c r="Q390" s="12" t="s">
        <v>1342</v>
      </c>
      <c r="R390" s="13" t="s">
        <v>1863</v>
      </c>
      <c r="S390" s="13" t="s">
        <v>1342</v>
      </c>
      <c r="T390" s="23" t="s">
        <v>1342</v>
      </c>
      <c r="U390" s="13" t="s">
        <v>1342</v>
      </c>
      <c r="V390" s="13" t="s">
        <v>1342</v>
      </c>
      <c r="W390" s="13" t="s">
        <v>1342</v>
      </c>
      <c r="X390" s="12" t="str">
        <f>VLOOKUP($D390,global_toc!$C:$K,7,FALSE)</f>
        <v>79AUG03XX</v>
      </c>
      <c r="Y390" s="12" t="str">
        <f>VLOOKUP($D390,global_toc!$C:$K,8,FALSE)</f>
        <v>11OCT17XA</v>
      </c>
      <c r="Z390" s="12">
        <f>VLOOKUP($D390,global_toc!$C:$K,9,FALSE)</f>
        <v>5029</v>
      </c>
      <c r="AA390" s="19" t="str">
        <f t="shared" ref="AA390:AA453" si="19">IF(T390="-",J390,T390)</f>
        <v>Clock constraint-Parts in 1.e14</v>
      </c>
    </row>
    <row r="391" spans="1:27" ht="25.5" x14ac:dyDescent="0.2">
      <c r="A391" s="12">
        <v>245</v>
      </c>
      <c r="B391" s="12">
        <v>1</v>
      </c>
      <c r="C391" s="12" t="str">
        <f t="shared" si="18"/>
        <v>ClockRateConstraintStationList</v>
      </c>
      <c r="D391" s="12" t="s">
        <v>165</v>
      </c>
      <c r="E391" s="12">
        <v>4</v>
      </c>
      <c r="F391" s="12">
        <v>5</v>
      </c>
      <c r="G391" s="12">
        <v>1</v>
      </c>
      <c r="H391" s="12" t="s">
        <v>589</v>
      </c>
      <c r="I391" s="12">
        <v>3</v>
      </c>
      <c r="J391" s="12" t="s">
        <v>166</v>
      </c>
      <c r="K391" s="12" t="s">
        <v>1340</v>
      </c>
      <c r="L391" s="23" t="s">
        <v>1847</v>
      </c>
      <c r="M391" s="13" t="s">
        <v>1464</v>
      </c>
      <c r="N391" s="13" t="s">
        <v>1490</v>
      </c>
      <c r="O391" s="12" t="s">
        <v>1490</v>
      </c>
      <c r="P391" s="12" t="s">
        <v>2128</v>
      </c>
      <c r="Q391" s="12" t="s">
        <v>1342</v>
      </c>
      <c r="R391" s="13" t="s">
        <v>2590</v>
      </c>
      <c r="S391" s="13" t="s">
        <v>1342</v>
      </c>
      <c r="T391" s="23" t="s">
        <v>1342</v>
      </c>
      <c r="U391" s="13" t="s">
        <v>1342</v>
      </c>
      <c r="V391" s="13" t="s">
        <v>1342</v>
      </c>
      <c r="W391" s="13" t="s">
        <v>1342</v>
      </c>
      <c r="X391" s="12" t="str">
        <f>VLOOKUP($D391,global_toc!$C:$K,7,FALSE)</f>
        <v>82JUN20XA</v>
      </c>
      <c r="Y391" s="12" t="str">
        <f>VLOOKUP($D391,global_toc!$C:$K,8,FALSE)</f>
        <v>11SEP26XA</v>
      </c>
      <c r="Z391" s="12">
        <f>VLOOKUP($D391,global_toc!$C:$K,9,FALSE)</f>
        <v>1210</v>
      </c>
      <c r="AA391" s="19" t="str">
        <f t="shared" si="19"/>
        <v>Site list for clocks constraints</v>
      </c>
    </row>
    <row r="392" spans="1:27" x14ac:dyDescent="0.2">
      <c r="A392" s="12">
        <v>244</v>
      </c>
      <c r="B392" s="12">
        <v>1</v>
      </c>
      <c r="C392" s="12" t="str">
        <f t="shared" si="18"/>
        <v>NumClockRefStations</v>
      </c>
      <c r="D392" s="14" t="s">
        <v>566</v>
      </c>
      <c r="E392" s="12">
        <v>1</v>
      </c>
      <c r="F392" s="12">
        <v>1</v>
      </c>
      <c r="G392" s="12">
        <v>1</v>
      </c>
      <c r="H392" s="12" t="s">
        <v>544</v>
      </c>
      <c r="I392" s="12">
        <v>4</v>
      </c>
      <c r="J392" s="12" t="s">
        <v>567</v>
      </c>
      <c r="K392" s="12" t="s">
        <v>1340</v>
      </c>
      <c r="L392" s="23" t="s">
        <v>1342</v>
      </c>
      <c r="M392" s="13" t="s">
        <v>1467</v>
      </c>
      <c r="N392" s="13" t="s">
        <v>1490</v>
      </c>
      <c r="O392" s="12" t="s">
        <v>1490</v>
      </c>
      <c r="P392" s="12" t="s">
        <v>2128</v>
      </c>
      <c r="Q392" s="12" t="s">
        <v>1342</v>
      </c>
      <c r="R392" s="13" t="s">
        <v>2567</v>
      </c>
      <c r="S392" s="13" t="s">
        <v>1342</v>
      </c>
      <c r="T392" s="23" t="s">
        <v>1342</v>
      </c>
      <c r="U392" s="13" t="s">
        <v>1342</v>
      </c>
      <c r="V392" s="13" t="s">
        <v>1342</v>
      </c>
      <c r="W392" s="13" t="s">
        <v>1342</v>
      </c>
      <c r="X392" s="12" t="str">
        <f>VLOOKUP($D392,global_toc!$C:$K,7,FALSE)</f>
        <v>79AUG03XX</v>
      </c>
      <c r="Y392" s="12" t="str">
        <f>VLOOKUP($D392,global_toc!$C:$K,8,FALSE)</f>
        <v>11OCT17XA</v>
      </c>
      <c r="Z392" s="12">
        <f>VLOOKUP($D392,global_toc!$C:$K,9,FALSE)</f>
        <v>2391</v>
      </c>
      <c r="AA392" s="19" t="str">
        <f t="shared" si="19"/>
        <v># of clock reference stations</v>
      </c>
    </row>
    <row r="393" spans="1:27" x14ac:dyDescent="0.2">
      <c r="A393" s="12">
        <v>249</v>
      </c>
      <c r="B393" s="12">
        <v>1</v>
      </c>
      <c r="C393" s="12" t="str">
        <f t="shared" si="18"/>
        <v>RefClockStationList</v>
      </c>
      <c r="D393" s="14" t="s">
        <v>710</v>
      </c>
      <c r="E393" s="12">
        <v>4</v>
      </c>
      <c r="F393" s="12">
        <v>1</v>
      </c>
      <c r="G393" s="12">
        <v>1</v>
      </c>
      <c r="H393" s="12" t="s">
        <v>589</v>
      </c>
      <c r="I393" s="12">
        <v>4</v>
      </c>
      <c r="J393" s="12" t="s">
        <v>711</v>
      </c>
      <c r="K393" s="12" t="s">
        <v>1340</v>
      </c>
      <c r="L393" s="23" t="s">
        <v>1342</v>
      </c>
      <c r="M393" s="13" t="s">
        <v>1464</v>
      </c>
      <c r="N393" s="13" t="s">
        <v>1490</v>
      </c>
      <c r="O393" s="12" t="s">
        <v>1490</v>
      </c>
      <c r="P393" s="12" t="s">
        <v>2128</v>
      </c>
      <c r="Q393" s="12" t="s">
        <v>1342</v>
      </c>
      <c r="R393" s="13" t="s">
        <v>2569</v>
      </c>
      <c r="S393" s="13" t="s">
        <v>1342</v>
      </c>
      <c r="T393" s="23" t="s">
        <v>1342</v>
      </c>
      <c r="U393" s="13" t="s">
        <v>1342</v>
      </c>
      <c r="V393" s="13" t="s">
        <v>1342</v>
      </c>
      <c r="W393" s="13" t="s">
        <v>1342</v>
      </c>
      <c r="X393" s="12" t="str">
        <f>VLOOKUP($D393,global_toc!$C:$K,7,FALSE)</f>
        <v>79AUG03XX</v>
      </c>
      <c r="Y393" s="12" t="str">
        <f>VLOOKUP($D393,global_toc!$C:$K,8,FALSE)</f>
        <v>11OCT17XA</v>
      </c>
      <c r="Z393" s="12">
        <f>VLOOKUP($D393,global_toc!$C:$K,9,FALSE)</f>
        <v>2391</v>
      </c>
      <c r="AA393" s="19" t="str">
        <f t="shared" si="19"/>
        <v>List of clock reference stations</v>
      </c>
    </row>
    <row r="394" spans="1:27" x14ac:dyDescent="0.2">
      <c r="A394" s="12">
        <v>248</v>
      </c>
      <c r="B394" s="12">
        <v>1</v>
      </c>
      <c r="C394" s="12" t="str">
        <f t="shared" si="18"/>
        <v>RefClockStationList</v>
      </c>
      <c r="D394" s="14" t="s">
        <v>708</v>
      </c>
      <c r="E394" s="12">
        <v>4</v>
      </c>
      <c r="F394" s="12">
        <v>1</v>
      </c>
      <c r="G394" s="12">
        <v>1</v>
      </c>
      <c r="H394" s="12" t="s">
        <v>589</v>
      </c>
      <c r="I394" s="12">
        <v>4</v>
      </c>
      <c r="J394" s="12" t="s">
        <v>709</v>
      </c>
      <c r="K394" s="12" t="s">
        <v>1340</v>
      </c>
      <c r="L394" s="23" t="s">
        <v>1342</v>
      </c>
      <c r="M394" s="13" t="s">
        <v>1464</v>
      </c>
      <c r="N394" s="13" t="s">
        <v>1490</v>
      </c>
      <c r="O394" s="12" t="s">
        <v>1490</v>
      </c>
      <c r="P394" s="12" t="s">
        <v>2128</v>
      </c>
      <c r="Q394" s="12" t="s">
        <v>1342</v>
      </c>
      <c r="R394" s="13" t="s">
        <v>2569</v>
      </c>
      <c r="S394" s="13" t="s">
        <v>1342</v>
      </c>
      <c r="T394" s="23" t="s">
        <v>1342</v>
      </c>
      <c r="U394" s="13" t="s">
        <v>1342</v>
      </c>
      <c r="V394" s="13" t="s">
        <v>1342</v>
      </c>
      <c r="W394" s="13" t="s">
        <v>1342</v>
      </c>
      <c r="X394" s="12" t="str">
        <f>VLOOKUP($D394,global_toc!$C:$K,7,FALSE)</f>
        <v>79AUG03XX</v>
      </c>
      <c r="Y394" s="12" t="str">
        <f>VLOOKUP($D394,global_toc!$C:$K,8,FALSE)</f>
        <v>11OCT17XA</v>
      </c>
      <c r="Z394" s="12">
        <f>VLOOKUP($D394,global_toc!$C:$K,9,FALSE)</f>
        <v>5029</v>
      </c>
      <c r="AA394" s="19" t="str">
        <f t="shared" si="19"/>
        <v>Batchmode clock reference site</v>
      </c>
    </row>
    <row r="395" spans="1:27" x14ac:dyDescent="0.2">
      <c r="A395" s="12">
        <v>250</v>
      </c>
      <c r="B395" s="12" t="s">
        <v>1655</v>
      </c>
      <c r="C395" s="12" t="str">
        <f t="shared" si="18"/>
        <v>UT1OffsetConstraint</v>
      </c>
      <c r="D395" s="12" t="s">
        <v>1854</v>
      </c>
      <c r="E395" s="12">
        <v>1</v>
      </c>
      <c r="F395" s="12">
        <v>1</v>
      </c>
      <c r="G395" s="12">
        <v>1</v>
      </c>
      <c r="H395" s="12" t="s">
        <v>447</v>
      </c>
      <c r="I395" s="12" t="s">
        <v>1655</v>
      </c>
      <c r="J395" s="12" t="s">
        <v>1853</v>
      </c>
      <c r="K395" s="12" t="s">
        <v>1340</v>
      </c>
      <c r="L395" s="23" t="s">
        <v>1342</v>
      </c>
      <c r="M395" s="13" t="s">
        <v>1464</v>
      </c>
      <c r="N395" s="13" t="s">
        <v>1490</v>
      </c>
      <c r="O395" s="12" t="s">
        <v>1490</v>
      </c>
      <c r="P395" s="12" t="s">
        <v>2481</v>
      </c>
      <c r="Q395" s="12" t="s">
        <v>1342</v>
      </c>
      <c r="R395" s="13" t="s">
        <v>1342</v>
      </c>
      <c r="S395" s="13" t="s">
        <v>1342</v>
      </c>
      <c r="T395" s="23" t="s">
        <v>1342</v>
      </c>
      <c r="U395" s="13" t="s">
        <v>1342</v>
      </c>
      <c r="V395" s="13" t="s">
        <v>1342</v>
      </c>
      <c r="W395" s="13" t="s">
        <v>1342</v>
      </c>
      <c r="X395" s="12" t="e">
        <f>VLOOKUP($D395,global_toc!$C:$K,7,FALSE)</f>
        <v>#N/A</v>
      </c>
      <c r="Y395" s="12" t="e">
        <f>VLOOKUP($D395,global_toc!$C:$K,8,FALSE)</f>
        <v>#N/A</v>
      </c>
      <c r="Z395" s="12" t="e">
        <f>VLOOKUP($D395,global_toc!$C:$K,9,FALSE)</f>
        <v>#N/A</v>
      </c>
      <c r="AA395" s="19" t="str">
        <f t="shared" si="19"/>
        <v>UT1 Offset Constraint</v>
      </c>
    </row>
    <row r="396" spans="1:27" x14ac:dyDescent="0.2">
      <c r="A396" s="12">
        <v>251</v>
      </c>
      <c r="B396" s="12" t="s">
        <v>1655</v>
      </c>
      <c r="C396" s="12" t="str">
        <f t="shared" si="18"/>
        <v>WobOffsetConstraint</v>
      </c>
      <c r="D396" s="12" t="s">
        <v>1856</v>
      </c>
      <c r="E396" s="12">
        <v>1</v>
      </c>
      <c r="F396" s="12">
        <v>1</v>
      </c>
      <c r="G396" s="12">
        <v>1</v>
      </c>
      <c r="H396" s="12" t="s">
        <v>447</v>
      </c>
      <c r="I396" s="12" t="s">
        <v>1655</v>
      </c>
      <c r="J396" s="12" t="s">
        <v>1855</v>
      </c>
      <c r="K396" s="12" t="s">
        <v>1340</v>
      </c>
      <c r="L396" s="23" t="s">
        <v>1342</v>
      </c>
      <c r="M396" s="13" t="s">
        <v>1464</v>
      </c>
      <c r="N396" s="13" t="s">
        <v>1490</v>
      </c>
      <c r="O396" s="12" t="s">
        <v>1490</v>
      </c>
      <c r="P396" s="12" t="s">
        <v>2481</v>
      </c>
      <c r="Q396" s="12" t="s">
        <v>1342</v>
      </c>
      <c r="R396" s="13" t="s">
        <v>1342</v>
      </c>
      <c r="S396" s="13" t="s">
        <v>1342</v>
      </c>
      <c r="T396" s="23" t="s">
        <v>1342</v>
      </c>
      <c r="U396" s="13" t="s">
        <v>1342</v>
      </c>
      <c r="V396" s="13" t="s">
        <v>1342</v>
      </c>
      <c r="W396" s="13" t="s">
        <v>1342</v>
      </c>
      <c r="X396" s="12" t="e">
        <f>VLOOKUP($D396,global_toc!$C:$K,7,FALSE)</f>
        <v>#N/A</v>
      </c>
      <c r="Y396" s="12" t="e">
        <f>VLOOKUP($D396,global_toc!$C:$K,8,FALSE)</f>
        <v>#N/A</v>
      </c>
      <c r="Z396" s="12" t="e">
        <f>VLOOKUP($D396,global_toc!$C:$K,9,FALSE)</f>
        <v>#N/A</v>
      </c>
      <c r="AA396" s="19" t="str">
        <f t="shared" si="19"/>
        <v>Polar Motion Offset Constraint</v>
      </c>
    </row>
    <row r="397" spans="1:27" ht="51" x14ac:dyDescent="0.2">
      <c r="A397" s="12">
        <v>252</v>
      </c>
      <c r="B397" s="12" t="s">
        <v>1655</v>
      </c>
      <c r="C397" s="12" t="str">
        <f t="shared" si="18"/>
        <v>IonoSolveFlag</v>
      </c>
      <c r="D397" s="12" t="s">
        <v>1956</v>
      </c>
      <c r="E397" s="12">
        <v>1</v>
      </c>
      <c r="F397" s="12">
        <v>1</v>
      </c>
      <c r="G397" s="12">
        <v>1</v>
      </c>
      <c r="H397" s="12" t="s">
        <v>544</v>
      </c>
      <c r="I397" s="12" t="s">
        <v>1655</v>
      </c>
      <c r="J397" s="12" t="s">
        <v>1342</v>
      </c>
      <c r="K397" s="12" t="s">
        <v>1340</v>
      </c>
      <c r="L397" s="23" t="s">
        <v>1959</v>
      </c>
      <c r="M397" s="13" t="s">
        <v>1464</v>
      </c>
      <c r="N397" s="13" t="s">
        <v>1490</v>
      </c>
      <c r="O397" s="12" t="s">
        <v>1490</v>
      </c>
      <c r="P397" s="12" t="s">
        <v>2136</v>
      </c>
      <c r="Q397" s="12" t="s">
        <v>1342</v>
      </c>
      <c r="R397" s="13" t="s">
        <v>1342</v>
      </c>
      <c r="S397" s="13" t="s">
        <v>1342</v>
      </c>
      <c r="T397" s="23" t="s">
        <v>1957</v>
      </c>
      <c r="U397" s="13" t="s">
        <v>1342</v>
      </c>
      <c r="V397" s="13" t="s">
        <v>1342</v>
      </c>
      <c r="W397" s="13" t="s">
        <v>1342</v>
      </c>
      <c r="X397" s="12" t="e">
        <f>VLOOKUP($D397,global_toc!$C:$K,7,FALSE)</f>
        <v>#N/A</v>
      </c>
      <c r="Y397" s="12" t="e">
        <f>VLOOKUP($D397,global_toc!$C:$K,8,FALSE)</f>
        <v>#N/A</v>
      </c>
      <c r="Z397" s="12" t="e">
        <f>VLOOKUP($D397,global_toc!$C:$K,9,FALSE)</f>
        <v>#N/A</v>
      </c>
      <c r="AA397" s="19" t="str">
        <f t="shared" si="19"/>
        <v>Bit flag indicating station has iono correction</v>
      </c>
    </row>
    <row r="398" spans="1:27" ht="51" x14ac:dyDescent="0.2">
      <c r="A398" s="12">
        <v>253</v>
      </c>
      <c r="B398" s="12" t="s">
        <v>1655</v>
      </c>
      <c r="C398" s="12" t="str">
        <f t="shared" si="18"/>
        <v>IonoStationList</v>
      </c>
      <c r="D398" s="12" t="s">
        <v>2568</v>
      </c>
      <c r="E398" s="12">
        <v>4</v>
      </c>
      <c r="F398" s="12">
        <v>1</v>
      </c>
      <c r="G398" s="12">
        <v>1</v>
      </c>
      <c r="H398" s="12" t="s">
        <v>589</v>
      </c>
      <c r="I398" s="12" t="s">
        <v>1655</v>
      </c>
      <c r="J398" s="12" t="s">
        <v>1342</v>
      </c>
      <c r="K398" s="12" t="s">
        <v>1340</v>
      </c>
      <c r="L398" s="23" t="s">
        <v>1959</v>
      </c>
      <c r="M398" s="13" t="s">
        <v>1464</v>
      </c>
      <c r="N398" s="13" t="s">
        <v>1490</v>
      </c>
      <c r="O398" s="12" t="s">
        <v>1490</v>
      </c>
      <c r="P398" s="12" t="s">
        <v>2136</v>
      </c>
      <c r="Q398" s="12" t="s">
        <v>1342</v>
      </c>
      <c r="R398" s="13" t="s">
        <v>1342</v>
      </c>
      <c r="S398" s="13" t="s">
        <v>1342</v>
      </c>
      <c r="T398" s="23" t="s">
        <v>1958</v>
      </c>
      <c r="U398" s="13" t="s">
        <v>1342</v>
      </c>
      <c r="V398" s="13" t="s">
        <v>1342</v>
      </c>
      <c r="W398" s="13" t="s">
        <v>1342</v>
      </c>
      <c r="X398" s="12" t="e">
        <f>VLOOKUP($D398,global_toc!$C:$K,7,FALSE)</f>
        <v>#N/A</v>
      </c>
      <c r="Y398" s="12" t="e">
        <f>VLOOKUP($D398,global_toc!$C:$K,8,FALSE)</f>
        <v>#N/A</v>
      </c>
      <c r="Z398" s="12" t="e">
        <f>VLOOKUP($D398,global_toc!$C:$K,9,FALSE)</f>
        <v>#N/A</v>
      </c>
      <c r="AA398" s="19" t="str">
        <f t="shared" si="19"/>
        <v>Stations with ionocorrection</v>
      </c>
    </row>
    <row r="399" spans="1:27" x14ac:dyDescent="0.2">
      <c r="A399" s="12">
        <v>256</v>
      </c>
      <c r="B399" s="12">
        <v>1</v>
      </c>
      <c r="C399" s="12" t="str">
        <f t="shared" si="18"/>
        <v>Aplength</v>
      </c>
      <c r="D399" s="14" t="s">
        <v>446</v>
      </c>
      <c r="E399" s="12">
        <v>1</v>
      </c>
      <c r="F399" s="12">
        <v>1</v>
      </c>
      <c r="G399" s="12">
        <v>1</v>
      </c>
      <c r="H399" s="12" t="s">
        <v>447</v>
      </c>
      <c r="I399" s="12">
        <v>1</v>
      </c>
      <c r="J399" s="12" t="s">
        <v>448</v>
      </c>
      <c r="K399" s="12" t="s">
        <v>1340</v>
      </c>
      <c r="L399" s="23" t="s">
        <v>1342</v>
      </c>
      <c r="M399" s="13" t="s">
        <v>1464</v>
      </c>
      <c r="N399" s="13" t="s">
        <v>1342</v>
      </c>
      <c r="O399" s="12" t="s">
        <v>1490</v>
      </c>
      <c r="P399" s="12" t="s">
        <v>2450</v>
      </c>
      <c r="Q399" s="12" t="s">
        <v>1342</v>
      </c>
      <c r="R399" s="13" t="s">
        <v>2072</v>
      </c>
      <c r="S399" s="13" t="s">
        <v>1342</v>
      </c>
      <c r="T399" s="23" t="s">
        <v>1342</v>
      </c>
      <c r="U399" s="13" t="s">
        <v>1342</v>
      </c>
      <c r="V399" s="13" t="s">
        <v>1651</v>
      </c>
      <c r="W399" s="13" t="s">
        <v>1342</v>
      </c>
      <c r="X399" s="12" t="str">
        <f>VLOOKUP($D399,global_toc!$C:$K,7,FALSE)</f>
        <v>97DEC03XN</v>
      </c>
      <c r="Y399" s="12" t="str">
        <f>VLOOKUP($D399,global_toc!$C:$K,8,FALSE)</f>
        <v>11OCT17XA</v>
      </c>
      <c r="Z399" s="12">
        <f>VLOOKUP($D399,global_toc!$C:$K,9,FALSE)</f>
        <v>1701</v>
      </c>
      <c r="AA399" s="19" t="str">
        <f t="shared" si="19"/>
        <v>Length of accumul. period in sec</v>
      </c>
    </row>
    <row r="400" spans="1:27" x14ac:dyDescent="0.2">
      <c r="A400" s="12">
        <v>257</v>
      </c>
      <c r="B400" s="12">
        <v>1</v>
      </c>
      <c r="C400" s="12" t="str">
        <f t="shared" si="18"/>
        <v>CableSign</v>
      </c>
      <c r="D400" s="14" t="s">
        <v>692</v>
      </c>
      <c r="E400" s="12">
        <v>11</v>
      </c>
      <c r="F400" s="12">
        <v>1</v>
      </c>
      <c r="G400" s="12">
        <v>1</v>
      </c>
      <c r="H400" s="12" t="s">
        <v>589</v>
      </c>
      <c r="I400" s="12">
        <v>3</v>
      </c>
      <c r="J400" s="12" t="s">
        <v>693</v>
      </c>
      <c r="K400" s="12" t="s">
        <v>1340</v>
      </c>
      <c r="L400" s="23" t="s">
        <v>1342</v>
      </c>
      <c r="M400" s="13" t="s">
        <v>1464</v>
      </c>
      <c r="N400" s="13" t="s">
        <v>1342</v>
      </c>
      <c r="O400" s="12" t="s">
        <v>1490</v>
      </c>
      <c r="P400" s="12" t="s">
        <v>2450</v>
      </c>
      <c r="Q400" s="12" t="s">
        <v>1342</v>
      </c>
      <c r="R400" s="13" t="s">
        <v>1549</v>
      </c>
      <c r="S400" s="13" t="s">
        <v>1342</v>
      </c>
      <c r="T400" s="23" t="s">
        <v>1342</v>
      </c>
      <c r="U400" s="13" t="s">
        <v>1342</v>
      </c>
      <c r="V400" s="13" t="s">
        <v>1342</v>
      </c>
      <c r="W400" s="13" t="s">
        <v>1342</v>
      </c>
      <c r="X400" s="12" t="str">
        <f>VLOOKUP($D400,global_toc!$C:$K,7,FALSE)</f>
        <v>80APR11XQ</v>
      </c>
      <c r="Y400" s="12" t="str">
        <f>VLOOKUP($D400,global_toc!$C:$K,8,FALSE)</f>
        <v>11OCT17XA</v>
      </c>
      <c r="Z400" s="12">
        <f>VLOOKUP($D400,global_toc!$C:$K,9,FALSE)</f>
        <v>5000</v>
      </c>
      <c r="AA400" s="19" t="str">
        <f t="shared" si="19"/>
        <v>Signs of cable cal application</v>
      </c>
    </row>
    <row r="401" spans="1:27" x14ac:dyDescent="0.2">
      <c r="A401" s="12">
        <v>260</v>
      </c>
      <c r="B401" s="12">
        <v>1</v>
      </c>
      <c r="C401" s="12" t="str">
        <f t="shared" si="18"/>
        <v>FourFitCmdCString</v>
      </c>
      <c r="D401" s="14" t="s">
        <v>599</v>
      </c>
      <c r="E401" s="12">
        <v>64</v>
      </c>
      <c r="F401" s="12">
        <v>1</v>
      </c>
      <c r="G401" s="12">
        <v>1</v>
      </c>
      <c r="H401" s="12" t="s">
        <v>589</v>
      </c>
      <c r="I401" s="12">
        <v>1</v>
      </c>
      <c r="J401" s="12" t="s">
        <v>600</v>
      </c>
      <c r="K401" s="12" t="s">
        <v>1340</v>
      </c>
      <c r="L401" s="23" t="s">
        <v>1342</v>
      </c>
      <c r="M401" s="13" t="s">
        <v>1464</v>
      </c>
      <c r="N401" s="13" t="s">
        <v>1342</v>
      </c>
      <c r="O401" s="12" t="s">
        <v>1490</v>
      </c>
      <c r="P401" s="12" t="s">
        <v>2450</v>
      </c>
      <c r="Q401" s="12" t="s">
        <v>1342</v>
      </c>
      <c r="R401" s="13" t="s">
        <v>2397</v>
      </c>
      <c r="S401" s="13" t="s">
        <v>1342</v>
      </c>
      <c r="T401" s="23" t="s">
        <v>1342</v>
      </c>
      <c r="U401" s="13" t="s">
        <v>1342</v>
      </c>
      <c r="V401" s="13" t="s">
        <v>1342</v>
      </c>
      <c r="W401" s="13" t="s">
        <v>1342</v>
      </c>
      <c r="X401" s="12" t="str">
        <f>VLOOKUP($D401,global_toc!$C:$K,7,FALSE)</f>
        <v>97DEC03XN</v>
      </c>
      <c r="Y401" s="12" t="str">
        <f>VLOOKUP($D401,global_toc!$C:$K,8,FALSE)</f>
        <v>11OCT17XA</v>
      </c>
      <c r="Z401" s="12">
        <f>VLOOKUP($D401,global_toc!$C:$K,9,FALSE)</f>
        <v>1651</v>
      </c>
      <c r="AA401" s="19" t="str">
        <f t="shared" si="19"/>
        <v>Command string used for fourfit.</v>
      </c>
    </row>
    <row r="402" spans="1:27" x14ac:dyDescent="0.2">
      <c r="A402" s="12">
        <v>259</v>
      </c>
      <c r="B402" s="12">
        <v>1</v>
      </c>
      <c r="C402" s="12" t="str">
        <f t="shared" si="18"/>
        <v>FourfitControlFile</v>
      </c>
      <c r="D402" s="14" t="s">
        <v>597</v>
      </c>
      <c r="E402" s="12">
        <v>48</v>
      </c>
      <c r="F402" s="12">
        <v>1</v>
      </c>
      <c r="G402" s="12">
        <v>1</v>
      </c>
      <c r="H402" s="12" t="s">
        <v>589</v>
      </c>
      <c r="I402" s="12">
        <v>1</v>
      </c>
      <c r="J402" s="12" t="s">
        <v>2298</v>
      </c>
      <c r="K402" s="12" t="s">
        <v>1340</v>
      </c>
      <c r="L402" s="23" t="s">
        <v>1342</v>
      </c>
      <c r="M402" s="13" t="s">
        <v>1464</v>
      </c>
      <c r="N402" s="13" t="s">
        <v>1342</v>
      </c>
      <c r="O402" s="12" t="s">
        <v>1490</v>
      </c>
      <c r="P402" s="12" t="s">
        <v>2450</v>
      </c>
      <c r="Q402" s="12" t="s">
        <v>1342</v>
      </c>
      <c r="R402" s="13" t="s">
        <v>2398</v>
      </c>
      <c r="S402" s="13" t="s">
        <v>1342</v>
      </c>
      <c r="T402" s="23" t="s">
        <v>1342</v>
      </c>
      <c r="U402" s="13" t="s">
        <v>1342</v>
      </c>
      <c r="V402" s="13" t="s">
        <v>1342</v>
      </c>
      <c r="W402" s="13" t="s">
        <v>1342</v>
      </c>
      <c r="X402" s="12" t="str">
        <f>VLOOKUP($D402,global_toc!$C:$K,7,FALSE)</f>
        <v>97DEC03XN</v>
      </c>
      <c r="Y402" s="12" t="str">
        <f>VLOOKUP($D402,global_toc!$C:$K,8,FALSE)</f>
        <v>11OCT17XA</v>
      </c>
      <c r="Z402" s="12">
        <f>VLOOKUP($D402,global_toc!$C:$K,9,FALSE)</f>
        <v>1651</v>
      </c>
      <c r="AA402" s="19" t="str">
        <f t="shared" si="19"/>
        <v>Control file name for fourfit.</v>
      </c>
    </row>
    <row r="403" spans="1:27" x14ac:dyDescent="0.2">
      <c r="A403" s="12">
        <v>262</v>
      </c>
      <c r="B403" s="12">
        <v>1</v>
      </c>
      <c r="C403" s="12" t="str">
        <f t="shared" si="18"/>
        <v>LeapSecond</v>
      </c>
      <c r="D403" s="14" t="s">
        <v>505</v>
      </c>
      <c r="E403" s="12">
        <v>3</v>
      </c>
      <c r="F403" s="12">
        <v>1</v>
      </c>
      <c r="G403" s="12">
        <v>1</v>
      </c>
      <c r="H403" s="12" t="s">
        <v>447</v>
      </c>
      <c r="I403" s="12">
        <v>5</v>
      </c>
      <c r="J403" s="12" t="s">
        <v>1674</v>
      </c>
      <c r="K403" s="12" t="s">
        <v>1340</v>
      </c>
      <c r="L403" s="23" t="s">
        <v>1342</v>
      </c>
      <c r="M403" s="13" t="s">
        <v>1464</v>
      </c>
      <c r="N403" s="13" t="s">
        <v>1342</v>
      </c>
      <c r="O403" s="12" t="s">
        <v>1490</v>
      </c>
      <c r="P403" s="12" t="s">
        <v>2450</v>
      </c>
      <c r="Q403" s="12" t="s">
        <v>1342</v>
      </c>
      <c r="R403" s="13" t="s">
        <v>2451</v>
      </c>
      <c r="S403" s="13" t="s">
        <v>1342</v>
      </c>
      <c r="T403" s="23" t="s">
        <v>2452</v>
      </c>
      <c r="U403" s="13" t="s">
        <v>1342</v>
      </c>
      <c r="V403" s="13" t="s">
        <v>1651</v>
      </c>
      <c r="W403" s="13" t="s">
        <v>1342</v>
      </c>
      <c r="X403" s="12" t="str">
        <f>VLOOKUP($D403,global_toc!$C:$K,7,FALSE)</f>
        <v>79AUG03XX</v>
      </c>
      <c r="Y403" s="12" t="str">
        <f>VLOOKUP($D403,global_toc!$C:$K,8,FALSE)</f>
        <v>11OCT17XA</v>
      </c>
      <c r="Z403" s="12">
        <f>VLOOKUP($D403,global_toc!$C:$K,9,FALSE)</f>
        <v>5029</v>
      </c>
      <c r="AA403" s="19" t="str">
        <f t="shared" si="19"/>
        <v>Leap second</v>
      </c>
    </row>
    <row r="404" spans="1:27" x14ac:dyDescent="0.2">
      <c r="A404" s="12">
        <v>261</v>
      </c>
      <c r="B404" s="12">
        <v>1</v>
      </c>
      <c r="C404" s="12" t="str">
        <f t="shared" ref="C404:C467" si="20">IF(R404="-",D404,R404)</f>
        <v>NumLagsUsed</v>
      </c>
      <c r="D404" s="14" t="s">
        <v>546</v>
      </c>
      <c r="E404" s="12">
        <v>1</v>
      </c>
      <c r="F404" s="12">
        <v>1</v>
      </c>
      <c r="G404" s="12">
        <v>1</v>
      </c>
      <c r="H404" s="12" t="s">
        <v>544</v>
      </c>
      <c r="I404" s="12">
        <v>1</v>
      </c>
      <c r="J404" s="12" t="s">
        <v>547</v>
      </c>
      <c r="K404" s="12" t="s">
        <v>1340</v>
      </c>
      <c r="L404" s="23" t="s">
        <v>1342</v>
      </c>
      <c r="M404" s="13" t="s">
        <v>1464</v>
      </c>
      <c r="N404" s="13" t="s">
        <v>1342</v>
      </c>
      <c r="O404" s="12" t="s">
        <v>1490</v>
      </c>
      <c r="P404" s="12" t="s">
        <v>2450</v>
      </c>
      <c r="Q404" s="12" t="s">
        <v>1342</v>
      </c>
      <c r="R404" s="13" t="s">
        <v>2065</v>
      </c>
      <c r="S404" s="13" t="s">
        <v>1342</v>
      </c>
      <c r="T404" s="23" t="s">
        <v>1342</v>
      </c>
      <c r="U404" s="13" t="s">
        <v>1342</v>
      </c>
      <c r="V404" s="13" t="s">
        <v>1342</v>
      </c>
      <c r="W404" s="13" t="s">
        <v>1342</v>
      </c>
      <c r="X404" s="12" t="str">
        <f>VLOOKUP($D404,global_toc!$C:$K,7,FALSE)</f>
        <v>97DEC03XN</v>
      </c>
      <c r="Y404" s="12" t="str">
        <f>VLOOKUP($D404,global_toc!$C:$K,8,FALSE)</f>
        <v>11OCT17XA</v>
      </c>
      <c r="Z404" s="12">
        <f>VLOOKUP($D404,global_toc!$C:$K,9,FALSE)</f>
        <v>1651</v>
      </c>
      <c r="AA404" s="19" t="str">
        <f t="shared" si="19"/>
        <v>Num of lags used for correlation</v>
      </c>
    </row>
    <row r="405" spans="1:27" x14ac:dyDescent="0.2">
      <c r="A405" s="12">
        <v>258</v>
      </c>
      <c r="B405" s="12">
        <v>1</v>
      </c>
      <c r="C405" s="12" t="str">
        <f t="shared" si="20"/>
        <v>CableStationList</v>
      </c>
      <c r="D405" s="14" t="s">
        <v>690</v>
      </c>
      <c r="E405" s="12">
        <v>4</v>
      </c>
      <c r="F405" s="12">
        <v>11</v>
      </c>
      <c r="G405" s="12">
        <v>1</v>
      </c>
      <c r="H405" s="12" t="s">
        <v>589</v>
      </c>
      <c r="I405" s="12">
        <v>3</v>
      </c>
      <c r="J405" s="12" t="s">
        <v>691</v>
      </c>
      <c r="K405" s="12" t="s">
        <v>1340</v>
      </c>
      <c r="L405" s="23" t="s">
        <v>1342</v>
      </c>
      <c r="M405" s="13" t="s">
        <v>1464</v>
      </c>
      <c r="N405" s="13" t="s">
        <v>1342</v>
      </c>
      <c r="O405" s="12" t="s">
        <v>1490</v>
      </c>
      <c r="P405" s="12" t="s">
        <v>2450</v>
      </c>
      <c r="Q405" s="12" t="s">
        <v>1342</v>
      </c>
      <c r="R405" s="13" t="s">
        <v>2593</v>
      </c>
      <c r="S405" s="13" t="s">
        <v>1342</v>
      </c>
      <c r="T405" s="23" t="s">
        <v>1342</v>
      </c>
      <c r="U405" s="13" t="s">
        <v>1342</v>
      </c>
      <c r="V405" s="13" t="s">
        <v>1342</v>
      </c>
      <c r="W405" s="13" t="s">
        <v>1342</v>
      </c>
      <c r="X405" s="12" t="str">
        <f>VLOOKUP($D405,global_toc!$C:$K,7,FALSE)</f>
        <v>80APR11XQ</v>
      </c>
      <c r="Y405" s="12" t="str">
        <f>VLOOKUP($D405,global_toc!$C:$K,8,FALSE)</f>
        <v>11OCT17XA</v>
      </c>
      <c r="Z405" s="12">
        <f>VLOOKUP($D405,global_toc!$C:$K,9,FALSE)</f>
        <v>5000</v>
      </c>
      <c r="AA405" s="19" t="str">
        <f t="shared" si="19"/>
        <v>Stations for cable sign</v>
      </c>
    </row>
    <row r="406" spans="1:27" x14ac:dyDescent="0.2">
      <c r="A406" s="12">
        <v>263</v>
      </c>
      <c r="B406" s="12">
        <v>1</v>
      </c>
      <c r="C406" s="12" t="str">
        <f t="shared" si="20"/>
        <v>PhaseBLWeights</v>
      </c>
      <c r="D406" s="12" t="s">
        <v>1217</v>
      </c>
      <c r="E406" s="12">
        <v>2</v>
      </c>
      <c r="F406" s="12">
        <v>10</v>
      </c>
      <c r="G406" s="12">
        <v>1</v>
      </c>
      <c r="H406" s="12" t="s">
        <v>447</v>
      </c>
      <c r="I406" s="12">
        <v>1</v>
      </c>
      <c r="J406" s="12" t="s">
        <v>213</v>
      </c>
      <c r="K406" s="12" t="s">
        <v>1340</v>
      </c>
      <c r="L406" s="23" t="s">
        <v>1342</v>
      </c>
      <c r="M406" s="13" t="s">
        <v>1464</v>
      </c>
      <c r="N406" s="13" t="s">
        <v>1490</v>
      </c>
      <c r="O406" s="12" t="s">
        <v>1490</v>
      </c>
      <c r="P406" s="12" t="s">
        <v>1860</v>
      </c>
      <c r="Q406" s="12" t="s">
        <v>1342</v>
      </c>
      <c r="R406" s="13" t="s">
        <v>1860</v>
      </c>
      <c r="S406" s="13" t="s">
        <v>1342</v>
      </c>
      <c r="T406" s="23" t="s">
        <v>1342</v>
      </c>
      <c r="U406" s="13" t="s">
        <v>1342</v>
      </c>
      <c r="V406" s="13" t="s">
        <v>1342</v>
      </c>
      <c r="W406" s="13" t="s">
        <v>1342</v>
      </c>
      <c r="X406" s="12" t="str">
        <f>VLOOKUP($D406,global_toc!$C:$K,7,FALSE)</f>
        <v>80OCT17X_</v>
      </c>
      <c r="Y406" s="12" t="str">
        <f>VLOOKUP($D406,global_toc!$C:$K,8,FALSE)</f>
        <v>10FEB11XE</v>
      </c>
      <c r="Z406" s="12">
        <f>VLOOKUP($D406,global_toc!$C:$K,9,FALSE)</f>
        <v>387</v>
      </c>
      <c r="AA406" s="19" t="str">
        <f t="shared" si="19"/>
        <v>Phase formal error constants</v>
      </c>
    </row>
    <row r="407" spans="1:27" ht="25.5" x14ac:dyDescent="0.2">
      <c r="A407" s="12">
        <v>264</v>
      </c>
      <c r="B407" s="12">
        <v>1</v>
      </c>
      <c r="C407" s="12" t="str">
        <f t="shared" si="20"/>
        <v>BaselineSelectionFlag</v>
      </c>
      <c r="D407" s="14" t="s">
        <v>572</v>
      </c>
      <c r="E407" s="12">
        <v>121</v>
      </c>
      <c r="F407" s="12">
        <v>1</v>
      </c>
      <c r="G407" s="12">
        <v>1</v>
      </c>
      <c r="H407" s="12" t="s">
        <v>544</v>
      </c>
      <c r="I407" s="12">
        <v>4</v>
      </c>
      <c r="J407" s="12" t="s">
        <v>573</v>
      </c>
      <c r="K407" s="12" t="s">
        <v>1340</v>
      </c>
      <c r="L407" s="21" t="s">
        <v>1346</v>
      </c>
      <c r="M407" s="13" t="s">
        <v>1464</v>
      </c>
      <c r="N407" s="13" t="s">
        <v>1490</v>
      </c>
      <c r="O407" s="12" t="s">
        <v>1490</v>
      </c>
      <c r="P407" s="12" t="s">
        <v>1882</v>
      </c>
      <c r="Q407" s="12" t="s">
        <v>1342</v>
      </c>
      <c r="R407" s="13" t="s">
        <v>2403</v>
      </c>
      <c r="S407" s="13" t="s">
        <v>1342</v>
      </c>
      <c r="T407" s="23" t="s">
        <v>1884</v>
      </c>
      <c r="U407" s="13" t="s">
        <v>1342</v>
      </c>
      <c r="V407" s="13" t="s">
        <v>1342</v>
      </c>
      <c r="W407" s="13" t="s">
        <v>1342</v>
      </c>
      <c r="X407" s="12" t="str">
        <f>VLOOKUP($D407,global_toc!$C:$K,7,FALSE)</f>
        <v>79AUG03XX</v>
      </c>
      <c r="Y407" s="12" t="str">
        <f>VLOOKUP($D407,global_toc!$C:$K,8,FALSE)</f>
        <v>11OCT17XA</v>
      </c>
      <c r="Z407" s="12">
        <f>VLOOKUP($D407,global_toc!$C:$K,9,FALSE)</f>
        <v>2402</v>
      </c>
      <c r="AA407" s="19" t="str">
        <f t="shared" si="19"/>
        <v>Baseline selection bit maped array. 1=some obs, etc.</v>
      </c>
    </row>
    <row r="408" spans="1:27" ht="25.5" x14ac:dyDescent="0.2">
      <c r="A408" s="12">
        <v>265</v>
      </c>
      <c r="B408" s="12">
        <v>1</v>
      </c>
      <c r="C408" s="12" t="str">
        <f t="shared" si="20"/>
        <v>SourceSelectionFlag</v>
      </c>
      <c r="D408" s="14" t="s">
        <v>574</v>
      </c>
      <c r="E408" s="12">
        <v>70</v>
      </c>
      <c r="F408" s="12">
        <v>1</v>
      </c>
      <c r="G408" s="12">
        <v>1</v>
      </c>
      <c r="H408" s="12" t="s">
        <v>544</v>
      </c>
      <c r="I408" s="12">
        <v>4</v>
      </c>
      <c r="J408" s="12" t="s">
        <v>575</v>
      </c>
      <c r="K408" s="12" t="s">
        <v>1340</v>
      </c>
      <c r="L408" s="23" t="s">
        <v>1342</v>
      </c>
      <c r="M408" s="13" t="s">
        <v>1464</v>
      </c>
      <c r="N408" s="13" t="s">
        <v>1490</v>
      </c>
      <c r="O408" s="12" t="s">
        <v>1490</v>
      </c>
      <c r="P408" s="12" t="s">
        <v>1882</v>
      </c>
      <c r="Q408" s="12" t="s">
        <v>1342</v>
      </c>
      <c r="R408" s="13" t="s">
        <v>2404</v>
      </c>
      <c r="S408" s="13" t="s">
        <v>1342</v>
      </c>
      <c r="T408" s="23" t="s">
        <v>1886</v>
      </c>
      <c r="U408" s="13" t="s">
        <v>1342</v>
      </c>
      <c r="V408" s="13" t="s">
        <v>1342</v>
      </c>
      <c r="W408" s="13" t="s">
        <v>1342</v>
      </c>
      <c r="X408" s="12" t="str">
        <f>VLOOKUP($D408,global_toc!$C:$K,7,FALSE)</f>
        <v>79AUG03XX</v>
      </c>
      <c r="Y408" s="12" t="str">
        <f>VLOOKUP($D408,global_toc!$C:$K,8,FALSE)</f>
        <v>11OCT17XA</v>
      </c>
      <c r="Z408" s="12">
        <f>VLOOKUP($D408,global_toc!$C:$K,9,FALSE)</f>
        <v>2402</v>
      </c>
      <c r="AA408" s="19" t="str">
        <f t="shared" si="19"/>
        <v>Source selection status bit-mapped array.</v>
      </c>
    </row>
    <row r="409" spans="1:27" x14ac:dyDescent="0.2">
      <c r="A409" s="12">
        <v>1</v>
      </c>
      <c r="B409" s="12">
        <v>2</v>
      </c>
      <c r="C409" s="12" t="str">
        <f t="shared" si="20"/>
        <v># DELAYS</v>
      </c>
      <c r="D409" s="12" t="s">
        <v>1415</v>
      </c>
      <c r="E409" s="12">
        <v>1</v>
      </c>
      <c r="F409" s="12">
        <v>1</v>
      </c>
      <c r="G409" s="12">
        <v>1</v>
      </c>
      <c r="H409" s="12" t="s">
        <v>544</v>
      </c>
      <c r="I409" s="12">
        <v>2</v>
      </c>
      <c r="J409" s="12" t="s">
        <v>2374</v>
      </c>
      <c r="K409" s="12" t="s">
        <v>1347</v>
      </c>
      <c r="L409" s="23" t="s">
        <v>1342</v>
      </c>
      <c r="M409" s="13" t="s">
        <v>544</v>
      </c>
      <c r="N409" s="13" t="s">
        <v>1342</v>
      </c>
      <c r="O409" s="12" t="s">
        <v>2211</v>
      </c>
      <c r="P409" s="12" t="s">
        <v>1342</v>
      </c>
      <c r="Q409" s="12" t="s">
        <v>1342</v>
      </c>
      <c r="R409" s="13" t="s">
        <v>1342</v>
      </c>
      <c r="S409" s="13" t="s">
        <v>1342</v>
      </c>
      <c r="T409" s="23" t="s">
        <v>1342</v>
      </c>
      <c r="U409" s="13" t="s">
        <v>1342</v>
      </c>
      <c r="V409" s="13" t="s">
        <v>1342</v>
      </c>
      <c r="W409" s="13" t="s">
        <v>1342</v>
      </c>
      <c r="X409" s="12" t="str">
        <f>VLOOKUP($D409,global_toc!$C:$K,7,FALSE)</f>
        <v>79AUG03XX</v>
      </c>
      <c r="Y409" s="12" t="str">
        <f>VLOOKUP($D409,global_toc!$C:$K,8,FALSE)</f>
        <v>11JUN23XF</v>
      </c>
      <c r="Z409" s="12">
        <f>VLOOKUP($D409,global_toc!$C:$K,9,FALSE)</f>
        <v>822</v>
      </c>
      <c r="AA409" s="19" t="str">
        <f t="shared" si="19"/>
        <v>NO. of delays in this obs .</v>
      </c>
    </row>
    <row r="410" spans="1:27" x14ac:dyDescent="0.2">
      <c r="A410" s="12">
        <v>2</v>
      </c>
      <c r="B410" s="12">
        <v>2</v>
      </c>
      <c r="C410" s="12" t="str">
        <f t="shared" si="20"/>
        <v># RATES</v>
      </c>
      <c r="D410" s="12" t="s">
        <v>1417</v>
      </c>
      <c r="E410" s="12">
        <v>1</v>
      </c>
      <c r="F410" s="12">
        <v>1</v>
      </c>
      <c r="G410" s="12">
        <v>1</v>
      </c>
      <c r="H410" s="12" t="s">
        <v>544</v>
      </c>
      <c r="I410" s="12">
        <v>2</v>
      </c>
      <c r="J410" s="12" t="s">
        <v>2375</v>
      </c>
      <c r="K410" s="12" t="s">
        <v>1347</v>
      </c>
      <c r="L410" s="23" t="s">
        <v>1342</v>
      </c>
      <c r="M410" s="13" t="s">
        <v>544</v>
      </c>
      <c r="N410" s="13" t="s">
        <v>1342</v>
      </c>
      <c r="O410" s="12" t="s">
        <v>2211</v>
      </c>
      <c r="P410" s="12" t="s">
        <v>1342</v>
      </c>
      <c r="Q410" s="12" t="s">
        <v>1342</v>
      </c>
      <c r="R410" s="13" t="s">
        <v>1342</v>
      </c>
      <c r="S410" s="13" t="s">
        <v>1342</v>
      </c>
      <c r="T410" s="23" t="s">
        <v>1342</v>
      </c>
      <c r="U410" s="13" t="s">
        <v>1342</v>
      </c>
      <c r="V410" s="13" t="s">
        <v>1342</v>
      </c>
      <c r="W410" s="13" t="s">
        <v>1342</v>
      </c>
      <c r="X410" s="12" t="str">
        <f>VLOOKUP($D410,global_toc!$C:$K,7,FALSE)</f>
        <v>79AUG03XX</v>
      </c>
      <c r="Y410" s="12" t="str">
        <f>VLOOKUP($D410,global_toc!$C:$K,8,FALSE)</f>
        <v>11JUN23XF</v>
      </c>
      <c r="Z410" s="12">
        <f>VLOOKUP($D410,global_toc!$C:$K,9,FALSE)</f>
        <v>822</v>
      </c>
      <c r="AA410" s="19" t="str">
        <f t="shared" si="19"/>
        <v>NO. of rates  in this obs .</v>
      </c>
    </row>
    <row r="411" spans="1:27" x14ac:dyDescent="0.2">
      <c r="A411" s="12">
        <v>4</v>
      </c>
      <c r="B411" s="12">
        <v>2</v>
      </c>
      <c r="C411" s="12" t="str">
        <f t="shared" si="20"/>
        <v>ARCHIVE</v>
      </c>
      <c r="D411" s="12" t="s">
        <v>394</v>
      </c>
      <c r="E411" s="12">
        <v>4</v>
      </c>
      <c r="F411" s="12">
        <v>1</v>
      </c>
      <c r="G411" s="12">
        <v>1</v>
      </c>
      <c r="H411" s="12" t="s">
        <v>544</v>
      </c>
      <c r="I411" s="12">
        <v>2</v>
      </c>
      <c r="J411" s="12" t="s">
        <v>2360</v>
      </c>
      <c r="K411" s="12" t="s">
        <v>1347</v>
      </c>
      <c r="L411" s="23" t="s">
        <v>1342</v>
      </c>
      <c r="M411" s="13" t="s">
        <v>544</v>
      </c>
      <c r="N411" s="13" t="s">
        <v>1342</v>
      </c>
      <c r="O411" s="12" t="s">
        <v>2211</v>
      </c>
      <c r="P411" s="12" t="s">
        <v>1342</v>
      </c>
      <c r="Q411" s="12" t="s">
        <v>1342</v>
      </c>
      <c r="R411" s="13" t="s">
        <v>1342</v>
      </c>
      <c r="S411" s="13" t="s">
        <v>1342</v>
      </c>
      <c r="T411" s="23" t="s">
        <v>1342</v>
      </c>
      <c r="U411" s="13" t="s">
        <v>1342</v>
      </c>
      <c r="V411" s="13" t="s">
        <v>1342</v>
      </c>
      <c r="W411" s="13" t="s">
        <v>1342</v>
      </c>
      <c r="X411" s="12" t="str">
        <f>VLOOKUP($D411,global_toc!$C:$K,7,FALSE)</f>
        <v>79AUG03XX</v>
      </c>
      <c r="Y411" s="12" t="str">
        <f>VLOOKUP($D411,global_toc!$C:$K,8,FALSE)</f>
        <v>93FEB15XI</v>
      </c>
      <c r="Z411" s="12">
        <f>VLOOKUP($D411,global_toc!$C:$K,9,FALSE)</f>
        <v>1858</v>
      </c>
      <c r="AA411" s="19" t="str">
        <f t="shared" si="19"/>
        <v>Microfiche, B tape number.</v>
      </c>
    </row>
    <row r="412" spans="1:27" x14ac:dyDescent="0.2">
      <c r="A412" s="12">
        <v>21</v>
      </c>
      <c r="B412" s="12">
        <v>2</v>
      </c>
      <c r="C412" s="12" t="str">
        <f t="shared" si="20"/>
        <v>AUTO_SUP</v>
      </c>
      <c r="D412" s="12" t="s">
        <v>1072</v>
      </c>
      <c r="E412" s="12">
        <v>1</v>
      </c>
      <c r="F412" s="12">
        <v>1</v>
      </c>
      <c r="G412" s="12">
        <v>1</v>
      </c>
      <c r="H412" s="12" t="s">
        <v>731</v>
      </c>
      <c r="I412" s="12">
        <v>5</v>
      </c>
      <c r="J412" s="12" t="s">
        <v>1792</v>
      </c>
      <c r="K412" s="12" t="s">
        <v>1347</v>
      </c>
      <c r="L412" s="23" t="s">
        <v>1342</v>
      </c>
      <c r="M412" s="13" t="s">
        <v>544</v>
      </c>
      <c r="N412" s="13" t="s">
        <v>1342</v>
      </c>
      <c r="O412" s="12" t="s">
        <v>2211</v>
      </c>
      <c r="P412" s="12" t="s">
        <v>1342</v>
      </c>
      <c r="Q412" s="12" t="s">
        <v>1342</v>
      </c>
      <c r="R412" s="13" t="s">
        <v>1342</v>
      </c>
      <c r="S412" s="13" t="s">
        <v>1342</v>
      </c>
      <c r="T412" s="23" t="s">
        <v>1342</v>
      </c>
      <c r="U412" s="13" t="s">
        <v>1342</v>
      </c>
      <c r="V412" s="13" t="s">
        <v>1342</v>
      </c>
      <c r="W412" s="13" t="s">
        <v>1342</v>
      </c>
      <c r="X412" s="12" t="str">
        <f>VLOOKUP($D412,global_toc!$C:$K,7,FALSE)</f>
        <v>79AUG03XX</v>
      </c>
      <c r="Y412" s="12" t="str">
        <f>VLOOKUP($D412,global_toc!$C:$K,8,FALSE)</f>
        <v>11OCT17XA</v>
      </c>
      <c r="Z412" s="12">
        <f>VLOOKUP($D412,global_toc!$C:$K,9,FALSE)</f>
        <v>747</v>
      </c>
      <c r="AA412" s="19" t="str">
        <f t="shared" si="19"/>
        <v>Automatic suppression status</v>
      </c>
    </row>
    <row r="413" spans="1:27" x14ac:dyDescent="0.2">
      <c r="A413" s="12">
        <v>37</v>
      </c>
      <c r="B413" s="12">
        <v>2</v>
      </c>
      <c r="C413" s="12" t="str">
        <f t="shared" si="20"/>
        <v>COMMENT2</v>
      </c>
      <c r="D413" s="12" t="s">
        <v>421</v>
      </c>
      <c r="E413" s="12">
        <v>79</v>
      </c>
      <c r="F413" s="12">
        <v>1</v>
      </c>
      <c r="G413" s="12">
        <v>1</v>
      </c>
      <c r="H413" s="12" t="s">
        <v>589</v>
      </c>
      <c r="I413" s="12">
        <v>3</v>
      </c>
      <c r="J413" s="12" t="s">
        <v>2376</v>
      </c>
      <c r="K413" s="12" t="s">
        <v>1347</v>
      </c>
      <c r="L413" s="23" t="s">
        <v>1342</v>
      </c>
      <c r="M413" s="13" t="s">
        <v>544</v>
      </c>
      <c r="N413" s="13" t="s">
        <v>1342</v>
      </c>
      <c r="O413" s="12" t="s">
        <v>2211</v>
      </c>
      <c r="P413" s="12" t="s">
        <v>1342</v>
      </c>
      <c r="Q413" s="12" t="s">
        <v>1342</v>
      </c>
      <c r="R413" s="13" t="s">
        <v>1342</v>
      </c>
      <c r="S413" s="13" t="s">
        <v>1342</v>
      </c>
      <c r="T413" s="23" t="s">
        <v>1342</v>
      </c>
      <c r="U413" s="13" t="s">
        <v>1342</v>
      </c>
      <c r="V413" s="13" t="s">
        <v>1342</v>
      </c>
      <c r="W413" s="13" t="s">
        <v>1342</v>
      </c>
      <c r="X413" s="12" t="str">
        <f>VLOOKUP($D413,global_toc!$C:$K,7,FALSE)</f>
        <v>79AUG03XX</v>
      </c>
      <c r="Y413" s="12" t="str">
        <f>VLOOKUP($D413,global_toc!$C:$K,8,FALSE)</f>
        <v>80APR13X_</v>
      </c>
      <c r="Z413" s="12">
        <f>VLOOKUP($D413,global_toc!$C:$K,9,FALSE)</f>
        <v>3</v>
      </c>
      <c r="AA413" s="19" t="str">
        <f t="shared" si="19"/>
        <v>FRNGE runtime comments.</v>
      </c>
    </row>
    <row r="414" spans="1:27" x14ac:dyDescent="0.2">
      <c r="A414" s="12">
        <v>38</v>
      </c>
      <c r="B414" s="12">
        <v>2</v>
      </c>
      <c r="C414" s="12" t="str">
        <f t="shared" si="20"/>
        <v>DEL FRQS</v>
      </c>
      <c r="D414" s="12" t="s">
        <v>1373</v>
      </c>
      <c r="E414" s="12">
        <v>1</v>
      </c>
      <c r="F414" s="12">
        <v>1</v>
      </c>
      <c r="G414" s="12">
        <v>1</v>
      </c>
      <c r="H414" s="12" t="s">
        <v>447</v>
      </c>
      <c r="I414" s="12">
        <v>1</v>
      </c>
      <c r="J414" s="12" t="s">
        <v>2369</v>
      </c>
      <c r="K414" s="12" t="s">
        <v>1347</v>
      </c>
      <c r="L414" s="23" t="s">
        <v>1342</v>
      </c>
      <c r="M414" s="13" t="s">
        <v>544</v>
      </c>
      <c r="N414" s="13" t="s">
        <v>1342</v>
      </c>
      <c r="O414" s="12" t="s">
        <v>2211</v>
      </c>
      <c r="P414" s="12" t="s">
        <v>1342</v>
      </c>
      <c r="Q414" s="12" t="s">
        <v>1342</v>
      </c>
      <c r="R414" s="13" t="s">
        <v>1342</v>
      </c>
      <c r="S414" s="13" t="s">
        <v>1342</v>
      </c>
      <c r="T414" s="23" t="s">
        <v>1342</v>
      </c>
      <c r="U414" s="13" t="s">
        <v>1342</v>
      </c>
      <c r="V414" s="13" t="s">
        <v>1342</v>
      </c>
      <c r="W414" s="13" t="s">
        <v>1342</v>
      </c>
      <c r="X414" s="12" t="str">
        <f>VLOOKUP($D414,global_toc!$C:$K,7,FALSE)</f>
        <v>79AUG03XX</v>
      </c>
      <c r="Y414" s="12" t="str">
        <f>VLOOKUP($D414,global_toc!$C:$K,8,FALSE)</f>
        <v>11JUN23XF</v>
      </c>
      <c r="Z414" s="12">
        <f>VLOOKUP($D414,global_toc!$C:$K,9,FALSE)</f>
        <v>872</v>
      </c>
      <c r="AA414" s="19" t="str">
        <f t="shared" si="19"/>
        <v>ALIAS OF REF FREQ.</v>
      </c>
    </row>
    <row r="415" spans="1:27" x14ac:dyDescent="0.2">
      <c r="A415" s="12">
        <v>49</v>
      </c>
      <c r="B415" s="12">
        <v>2</v>
      </c>
      <c r="C415" s="12" t="str">
        <f t="shared" si="20"/>
        <v>FROTDLAY</v>
      </c>
      <c r="D415" s="12" t="s">
        <v>418</v>
      </c>
      <c r="E415" s="12">
        <v>1</v>
      </c>
      <c r="F415" s="12">
        <v>1</v>
      </c>
      <c r="G415" s="12">
        <v>1</v>
      </c>
      <c r="H415" s="12" t="s">
        <v>447</v>
      </c>
      <c r="I415" s="12">
        <v>1</v>
      </c>
      <c r="J415" s="12" t="s">
        <v>419</v>
      </c>
      <c r="K415" s="12" t="s">
        <v>1347</v>
      </c>
      <c r="L415" s="23" t="s">
        <v>1342</v>
      </c>
      <c r="M415" s="13" t="s">
        <v>544</v>
      </c>
      <c r="N415" s="13" t="s">
        <v>1342</v>
      </c>
      <c r="O415" s="12" t="s">
        <v>2211</v>
      </c>
      <c r="P415" s="12" t="s">
        <v>1342</v>
      </c>
      <c r="Q415" s="12" t="s">
        <v>1342</v>
      </c>
      <c r="R415" s="13" t="s">
        <v>1342</v>
      </c>
      <c r="S415" s="13" t="s">
        <v>1342</v>
      </c>
      <c r="T415" s="23" t="s">
        <v>1342</v>
      </c>
      <c r="U415" s="13" t="s">
        <v>1342</v>
      </c>
      <c r="V415" s="13" t="s">
        <v>1342</v>
      </c>
      <c r="W415" s="13" t="s">
        <v>1342</v>
      </c>
      <c r="X415" s="12" t="str">
        <f>VLOOKUP($D415,global_toc!$C:$K,7,FALSE)</f>
        <v>81JAN13XA</v>
      </c>
      <c r="Y415" s="12" t="str">
        <f>VLOOKUP($D415,global_toc!$C:$K,8,FALSE)</f>
        <v>81JAN13XA</v>
      </c>
      <c r="Z415" s="12">
        <f>VLOOKUP($D415,global_toc!$C:$K,9,FALSE)</f>
        <v>1</v>
      </c>
      <c r="AA415" s="19" t="str">
        <f t="shared" si="19"/>
        <v>Delay due to rel. feed rotation.</v>
      </c>
    </row>
    <row r="416" spans="1:27" x14ac:dyDescent="0.2">
      <c r="A416" s="12">
        <v>101</v>
      </c>
      <c r="B416" s="12">
        <v>2</v>
      </c>
      <c r="C416" s="12" t="str">
        <f t="shared" si="20"/>
        <v>GroupDelay</v>
      </c>
      <c r="D416" s="14" t="s">
        <v>753</v>
      </c>
      <c r="E416" s="12">
        <v>1</v>
      </c>
      <c r="F416" s="12">
        <v>1</v>
      </c>
      <c r="G416" s="12">
        <v>1</v>
      </c>
      <c r="H416" s="12" t="s">
        <v>447</v>
      </c>
      <c r="I416" s="12">
        <v>1</v>
      </c>
      <c r="J416" s="12" t="s">
        <v>2365</v>
      </c>
      <c r="K416" s="12" t="s">
        <v>1347</v>
      </c>
      <c r="L416" s="23" t="s">
        <v>1342</v>
      </c>
      <c r="M416" s="13" t="s">
        <v>544</v>
      </c>
      <c r="N416" s="13" t="s">
        <v>1342</v>
      </c>
      <c r="O416" s="12" t="s">
        <v>2211</v>
      </c>
      <c r="P416" s="12" t="s">
        <v>1342</v>
      </c>
      <c r="Q416" s="12" t="s">
        <v>1342</v>
      </c>
      <c r="R416" s="13" t="s">
        <v>1513</v>
      </c>
      <c r="S416" s="13" t="s">
        <v>1342</v>
      </c>
      <c r="T416" s="23" t="s">
        <v>1342</v>
      </c>
      <c r="U416" s="13" t="s">
        <v>1342</v>
      </c>
      <c r="V416" s="13" t="s">
        <v>1342</v>
      </c>
      <c r="W416" s="13" t="s">
        <v>1342</v>
      </c>
      <c r="X416" s="12" t="str">
        <f>VLOOKUP($D416,global_toc!$C:$K,7,FALSE)</f>
        <v>97DEC03XN</v>
      </c>
      <c r="Y416" s="12" t="str">
        <f>VLOOKUP($D416,global_toc!$C:$K,8,FALSE)</f>
        <v>11OCT17XA</v>
      </c>
      <c r="Z416" s="12">
        <f>VLOOKUP($D416,global_toc!$C:$K,9,FALSE)</f>
        <v>1651</v>
      </c>
      <c r="AA416" s="19" t="str">
        <f t="shared" si="19"/>
        <v>Observed group delay in sec.</v>
      </c>
    </row>
    <row r="417" spans="1:27" x14ac:dyDescent="0.2">
      <c r="A417" s="12">
        <v>55</v>
      </c>
      <c r="B417" s="12">
        <v>2</v>
      </c>
      <c r="C417" s="12" t="str">
        <f t="shared" si="20"/>
        <v>IONFACTR</v>
      </c>
      <c r="D417" s="12" t="s">
        <v>67</v>
      </c>
      <c r="E417" s="12">
        <v>1</v>
      </c>
      <c r="F417" s="12">
        <v>1</v>
      </c>
      <c r="G417" s="12">
        <v>1</v>
      </c>
      <c r="H417" s="12" t="s">
        <v>447</v>
      </c>
      <c r="I417" s="12">
        <v>1</v>
      </c>
      <c r="J417" s="12" t="s">
        <v>68</v>
      </c>
      <c r="K417" s="12" t="s">
        <v>1347</v>
      </c>
      <c r="L417" s="23" t="s">
        <v>1342</v>
      </c>
      <c r="M417" s="13" t="s">
        <v>544</v>
      </c>
      <c r="N417" s="13" t="s">
        <v>1342</v>
      </c>
      <c r="O417" s="12" t="s">
        <v>2211</v>
      </c>
      <c r="P417" s="12" t="s">
        <v>1342</v>
      </c>
      <c r="Q417" s="12" t="s">
        <v>1342</v>
      </c>
      <c r="R417" s="13" t="s">
        <v>1342</v>
      </c>
      <c r="S417" s="13" t="s">
        <v>1342</v>
      </c>
      <c r="T417" s="23" t="s">
        <v>1342</v>
      </c>
      <c r="U417" s="13" t="s">
        <v>1342</v>
      </c>
      <c r="V417" s="13" t="s">
        <v>1342</v>
      </c>
      <c r="W417" s="13" t="s">
        <v>1342</v>
      </c>
      <c r="X417" s="12" t="str">
        <f>VLOOKUP($D417,global_toc!$C:$K,7,FALSE)</f>
        <v>81JUN16X_</v>
      </c>
      <c r="Y417" s="12" t="str">
        <f>VLOOKUP($D417,global_toc!$C:$K,8,FALSE)</f>
        <v>81JUN17X_</v>
      </c>
      <c r="Z417" s="12">
        <f>VLOOKUP($D417,global_toc!$C:$K,9,FALSE)</f>
        <v>2</v>
      </c>
      <c r="AA417" s="19" t="str">
        <f t="shared" si="19"/>
        <v>S/X DIFFERENCE ION SCALING FACTO</v>
      </c>
    </row>
    <row r="418" spans="1:27" x14ac:dyDescent="0.2">
      <c r="A418" s="12">
        <v>56</v>
      </c>
      <c r="B418" s="12">
        <v>2</v>
      </c>
      <c r="C418" s="12" t="str">
        <f t="shared" si="20"/>
        <v>JUL DATE</v>
      </c>
      <c r="D418" s="12" t="s">
        <v>1371</v>
      </c>
      <c r="E418" s="12">
        <v>1</v>
      </c>
      <c r="F418" s="12">
        <v>1</v>
      </c>
      <c r="G418" s="12">
        <v>1</v>
      </c>
      <c r="H418" s="12" t="s">
        <v>447</v>
      </c>
      <c r="I418" s="12">
        <v>1</v>
      </c>
      <c r="J418" s="12" t="s">
        <v>2362</v>
      </c>
      <c r="K418" s="12" t="s">
        <v>1347</v>
      </c>
      <c r="L418" s="23" t="s">
        <v>1342</v>
      </c>
      <c r="M418" s="13" t="s">
        <v>544</v>
      </c>
      <c r="N418" s="13" t="s">
        <v>1342</v>
      </c>
      <c r="O418" s="12" t="s">
        <v>2211</v>
      </c>
      <c r="P418" s="12" t="s">
        <v>1342</v>
      </c>
      <c r="Q418" s="12" t="s">
        <v>1342</v>
      </c>
      <c r="R418" s="13" t="s">
        <v>1342</v>
      </c>
      <c r="S418" s="13" t="s">
        <v>1342</v>
      </c>
      <c r="T418" s="23" t="s">
        <v>1342</v>
      </c>
      <c r="U418" s="13" t="s">
        <v>1342</v>
      </c>
      <c r="V418" s="13" t="s">
        <v>1342</v>
      </c>
      <c r="W418" s="13" t="s">
        <v>1342</v>
      </c>
      <c r="X418" s="12" t="str">
        <f>VLOOKUP($D418,global_toc!$C:$K,7,FALSE)</f>
        <v>79AUG03XX</v>
      </c>
      <c r="Y418" s="12" t="str">
        <f>VLOOKUP($D418,global_toc!$C:$K,8,FALSE)</f>
        <v>11JUN23XF</v>
      </c>
      <c r="Z418" s="12">
        <f>VLOOKUP($D418,global_toc!$C:$K,9,FALSE)</f>
        <v>3305</v>
      </c>
      <c r="AA418" s="19" t="str">
        <f t="shared" si="19"/>
        <v>Julian date at midnight.</v>
      </c>
    </row>
    <row r="419" spans="1:27" x14ac:dyDescent="0.2">
      <c r="A419" s="12">
        <v>65</v>
      </c>
      <c r="B419" s="12">
        <v>2</v>
      </c>
      <c r="C419" s="12" t="str">
        <f t="shared" si="20"/>
        <v>NB DELAY</v>
      </c>
      <c r="D419" s="12" t="s">
        <v>1225</v>
      </c>
      <c r="E419" s="12">
        <v>1</v>
      </c>
      <c r="F419" s="12">
        <v>1</v>
      </c>
      <c r="G419" s="12">
        <v>1</v>
      </c>
      <c r="H419" s="12" t="s">
        <v>447</v>
      </c>
      <c r="I419" s="12">
        <v>1</v>
      </c>
      <c r="J419" s="12" t="s">
        <v>2379</v>
      </c>
      <c r="K419" s="12" t="s">
        <v>1347</v>
      </c>
      <c r="L419" s="23" t="s">
        <v>1342</v>
      </c>
      <c r="M419" s="13" t="s">
        <v>544</v>
      </c>
      <c r="N419" s="13" t="s">
        <v>1342</v>
      </c>
      <c r="O419" s="12" t="s">
        <v>2211</v>
      </c>
      <c r="P419" s="12" t="s">
        <v>1342</v>
      </c>
      <c r="Q419" s="12" t="s">
        <v>1342</v>
      </c>
      <c r="R419" s="13" t="s">
        <v>1342</v>
      </c>
      <c r="S419" s="13" t="s">
        <v>1342</v>
      </c>
      <c r="T419" s="23" t="s">
        <v>1342</v>
      </c>
      <c r="U419" s="13" t="s">
        <v>1342</v>
      </c>
      <c r="V419" s="13" t="s">
        <v>1342</v>
      </c>
      <c r="W419" s="13" t="s">
        <v>1342</v>
      </c>
      <c r="X419" s="12" t="str">
        <f>VLOOKUP($D419,global_toc!$C:$K,7,FALSE)</f>
        <v>79AUG03XX</v>
      </c>
      <c r="Y419" s="12" t="str">
        <f>VLOOKUP($D419,global_toc!$C:$K,8,FALSE)</f>
        <v>80APR13X_</v>
      </c>
      <c r="Z419" s="12">
        <f>VLOOKUP($D419,global_toc!$C:$K,9,FALSE)</f>
        <v>3</v>
      </c>
      <c r="AA419" s="19" t="str">
        <f t="shared" si="19"/>
        <v>Single band delay (microsec).</v>
      </c>
    </row>
    <row r="420" spans="1:27" x14ac:dyDescent="0.2">
      <c r="A420" s="12">
        <v>66</v>
      </c>
      <c r="B420" s="12">
        <v>2</v>
      </c>
      <c r="C420" s="12" t="str">
        <f t="shared" si="20"/>
        <v>O-C RES</v>
      </c>
      <c r="D420" s="12" t="s">
        <v>400</v>
      </c>
      <c r="E420" s="12">
        <v>2</v>
      </c>
      <c r="F420" s="12">
        <v>1</v>
      </c>
      <c r="G420" s="12">
        <v>1</v>
      </c>
      <c r="H420" s="12" t="s">
        <v>447</v>
      </c>
      <c r="I420" s="12">
        <v>1</v>
      </c>
      <c r="J420" s="12" t="s">
        <v>401</v>
      </c>
      <c r="K420" s="12" t="s">
        <v>1347</v>
      </c>
      <c r="L420" s="23" t="s">
        <v>1342</v>
      </c>
      <c r="M420" s="13" t="s">
        <v>544</v>
      </c>
      <c r="N420" s="13" t="s">
        <v>1342</v>
      </c>
      <c r="O420" s="12" t="s">
        <v>2211</v>
      </c>
      <c r="P420" s="12" t="s">
        <v>1342</v>
      </c>
      <c r="Q420" s="12" t="s">
        <v>1342</v>
      </c>
      <c r="R420" s="13" t="s">
        <v>1342</v>
      </c>
      <c r="S420" s="13" t="s">
        <v>1342</v>
      </c>
      <c r="T420" s="23" t="s">
        <v>1342</v>
      </c>
      <c r="U420" s="13" t="s">
        <v>1342</v>
      </c>
      <c r="V420" s="13" t="s">
        <v>1342</v>
      </c>
      <c r="W420" s="13" t="s">
        <v>1342</v>
      </c>
      <c r="X420" s="12" t="str">
        <f>VLOOKUP($D420,global_toc!$C:$K,7,FALSE)</f>
        <v>84JUL18DX</v>
      </c>
      <c r="Y420" s="12" t="str">
        <f>VLOOKUP($D420,global_toc!$C:$K,8,FALSE)</f>
        <v>88FEB09DX</v>
      </c>
      <c r="Z420" s="12">
        <f>VLOOKUP($D420,global_toc!$C:$K,9,FALSE)</f>
        <v>5</v>
      </c>
      <c r="AA420" s="19" t="str">
        <f t="shared" si="19"/>
        <v>DELAY RATE RESIDUALS(s, s per s)</v>
      </c>
    </row>
    <row r="421" spans="1:27" x14ac:dyDescent="0.2">
      <c r="A421" s="12">
        <v>69</v>
      </c>
      <c r="B421" s="12">
        <v>2</v>
      </c>
      <c r="C421" s="12" t="str">
        <f t="shared" si="20"/>
        <v>PHCALSTS</v>
      </c>
      <c r="D421" s="14" t="s">
        <v>954</v>
      </c>
      <c r="E421" s="12">
        <v>2</v>
      </c>
      <c r="F421" s="12">
        <v>1</v>
      </c>
      <c r="G421" s="12">
        <v>1</v>
      </c>
      <c r="H421" s="12" t="s">
        <v>544</v>
      </c>
      <c r="I421" s="12">
        <v>1</v>
      </c>
      <c r="J421" s="12" t="s">
        <v>2380</v>
      </c>
      <c r="K421" s="12" t="s">
        <v>1347</v>
      </c>
      <c r="L421" s="23" t="s">
        <v>1342</v>
      </c>
      <c r="M421" s="13" t="s">
        <v>544</v>
      </c>
      <c r="N421" s="13" t="s">
        <v>1342</v>
      </c>
      <c r="O421" s="12" t="s">
        <v>2211</v>
      </c>
      <c r="P421" s="12" t="s">
        <v>1342</v>
      </c>
      <c r="Q421" s="12" t="s">
        <v>1342</v>
      </c>
      <c r="R421" s="13" t="s">
        <v>1342</v>
      </c>
      <c r="S421" s="13" t="s">
        <v>1342</v>
      </c>
      <c r="T421" s="23" t="s">
        <v>1342</v>
      </c>
      <c r="U421" s="13" t="s">
        <v>1342</v>
      </c>
      <c r="V421" s="13" t="s">
        <v>1342</v>
      </c>
      <c r="W421" s="13" t="s">
        <v>1342</v>
      </c>
      <c r="X421" s="12" t="str">
        <f>VLOOKUP($D421,global_toc!$C:$K,7,FALSE)</f>
        <v>97DEC03XN</v>
      </c>
      <c r="Y421" s="12" t="str">
        <f>VLOOKUP($D421,global_toc!$C:$K,8,FALSE)</f>
        <v>11OCT17XA</v>
      </c>
      <c r="Z421" s="12">
        <f>VLOOKUP($D421,global_toc!$C:$K,9,FALSE)</f>
        <v>1651</v>
      </c>
      <c r="AA421" s="19" t="str">
        <f t="shared" si="19"/>
        <v>Phase cal status: 0/1/2 .</v>
      </c>
    </row>
    <row r="422" spans="1:27" x14ac:dyDescent="0.2">
      <c r="A422" s="12">
        <v>78</v>
      </c>
      <c r="B422" s="12">
        <v>2</v>
      </c>
      <c r="C422" s="12" t="str">
        <f t="shared" si="20"/>
        <v>RAT FRQS</v>
      </c>
      <c r="D422" s="12" t="s">
        <v>1375</v>
      </c>
      <c r="E422" s="12">
        <v>1</v>
      </c>
      <c r="F422" s="12">
        <v>1</v>
      </c>
      <c r="G422" s="12">
        <v>1</v>
      </c>
      <c r="H422" s="12" t="s">
        <v>447</v>
      </c>
      <c r="I422" s="12">
        <v>1</v>
      </c>
      <c r="J422" s="12" t="s">
        <v>2369</v>
      </c>
      <c r="K422" s="12" t="s">
        <v>1347</v>
      </c>
      <c r="L422" s="23" t="s">
        <v>1342</v>
      </c>
      <c r="M422" s="13" t="s">
        <v>544</v>
      </c>
      <c r="N422" s="13" t="s">
        <v>1342</v>
      </c>
      <c r="O422" s="12" t="s">
        <v>2211</v>
      </c>
      <c r="P422" s="12" t="s">
        <v>1342</v>
      </c>
      <c r="Q422" s="12" t="s">
        <v>1342</v>
      </c>
      <c r="R422" s="13" t="s">
        <v>1342</v>
      </c>
      <c r="S422" s="13" t="s">
        <v>1342</v>
      </c>
      <c r="T422" s="23" t="s">
        <v>1342</v>
      </c>
      <c r="U422" s="13" t="s">
        <v>1342</v>
      </c>
      <c r="V422" s="13" t="s">
        <v>1342</v>
      </c>
      <c r="W422" s="13" t="s">
        <v>1342</v>
      </c>
      <c r="X422" s="12" t="str">
        <f>VLOOKUP($D422,global_toc!$C:$K,7,FALSE)</f>
        <v>79AUG03XX</v>
      </c>
      <c r="Y422" s="12" t="str">
        <f>VLOOKUP($D422,global_toc!$C:$K,8,FALSE)</f>
        <v>11JUN23XF</v>
      </c>
      <c r="Z422" s="12">
        <f>VLOOKUP($D422,global_toc!$C:$K,9,FALSE)</f>
        <v>872</v>
      </c>
      <c r="AA422" s="19" t="str">
        <f t="shared" si="19"/>
        <v>ALIAS OF REF FREQ.</v>
      </c>
    </row>
    <row r="423" spans="1:27" x14ac:dyDescent="0.2">
      <c r="A423" s="12">
        <v>83</v>
      </c>
      <c r="B423" s="12">
        <v>2</v>
      </c>
      <c r="C423" s="12" t="str">
        <f t="shared" si="20"/>
        <v>SITCODES</v>
      </c>
      <c r="D423" s="14" t="s">
        <v>982</v>
      </c>
      <c r="E423" s="12">
        <v>2</v>
      </c>
      <c r="F423" s="12">
        <v>1</v>
      </c>
      <c r="G423" s="12">
        <v>1</v>
      </c>
      <c r="H423" s="12" t="s">
        <v>589</v>
      </c>
      <c r="I423" s="12">
        <v>1</v>
      </c>
      <c r="J423" s="12" t="s">
        <v>2364</v>
      </c>
      <c r="K423" s="12" t="s">
        <v>1347</v>
      </c>
      <c r="L423" s="23" t="s">
        <v>1342</v>
      </c>
      <c r="M423" s="13" t="s">
        <v>544</v>
      </c>
      <c r="N423" s="13" t="s">
        <v>1342</v>
      </c>
      <c r="O423" s="12" t="s">
        <v>2211</v>
      </c>
      <c r="P423" s="12" t="s">
        <v>1342</v>
      </c>
      <c r="Q423" s="12" t="s">
        <v>1342</v>
      </c>
      <c r="R423" s="13" t="s">
        <v>1342</v>
      </c>
      <c r="S423" s="13" t="s">
        <v>1342</v>
      </c>
      <c r="T423" s="23" t="s">
        <v>1342</v>
      </c>
      <c r="U423" s="13" t="s">
        <v>1342</v>
      </c>
      <c r="V423" s="13" t="s">
        <v>1342</v>
      </c>
      <c r="W423" s="13" t="s">
        <v>1342</v>
      </c>
      <c r="X423" s="12" t="str">
        <f>VLOOKUP($D423,global_toc!$C:$K,7,FALSE)</f>
        <v>97DEC03XN</v>
      </c>
      <c r="Y423" s="12" t="str">
        <f>VLOOKUP($D423,global_toc!$C:$K,8,FALSE)</f>
        <v>11OCT17XA</v>
      </c>
      <c r="Z423" s="12">
        <f>VLOOKUP($D423,global_toc!$C:$K,9,FALSE)</f>
        <v>1651</v>
      </c>
      <c r="AA423" s="19" t="str">
        <f t="shared" si="19"/>
        <v>Two-letters site codes .</v>
      </c>
    </row>
    <row r="424" spans="1:27" x14ac:dyDescent="0.2">
      <c r="A424" s="12">
        <v>94</v>
      </c>
      <c r="B424" s="12">
        <v>2</v>
      </c>
      <c r="C424" s="12" t="str">
        <f t="shared" si="20"/>
        <v>UNCALFLG</v>
      </c>
      <c r="D424" s="12" t="s">
        <v>54</v>
      </c>
      <c r="E424" s="12">
        <v>1</v>
      </c>
      <c r="F424" s="12">
        <v>1</v>
      </c>
      <c r="G424" s="12">
        <v>1</v>
      </c>
      <c r="H424" s="12" t="s">
        <v>544</v>
      </c>
      <c r="I424" s="12">
        <v>2</v>
      </c>
      <c r="J424" s="12" t="s">
        <v>2382</v>
      </c>
      <c r="K424" s="12" t="s">
        <v>1347</v>
      </c>
      <c r="L424" s="23" t="s">
        <v>1342</v>
      </c>
      <c r="M424" s="13" t="s">
        <v>544</v>
      </c>
      <c r="N424" s="13" t="s">
        <v>1342</v>
      </c>
      <c r="O424" s="12" t="s">
        <v>2211</v>
      </c>
      <c r="P424" s="12" t="s">
        <v>1342</v>
      </c>
      <c r="Q424" s="12" t="s">
        <v>1342</v>
      </c>
      <c r="R424" s="13" t="s">
        <v>1342</v>
      </c>
      <c r="S424" s="13" t="s">
        <v>1342</v>
      </c>
      <c r="T424" s="23" t="s">
        <v>1342</v>
      </c>
      <c r="U424" s="13" t="s">
        <v>1342</v>
      </c>
      <c r="V424" s="13" t="s">
        <v>1342</v>
      </c>
      <c r="W424" s="13" t="s">
        <v>1342</v>
      </c>
      <c r="X424" s="12" t="str">
        <f>VLOOKUP($D424,global_toc!$C:$K,7,FALSE)</f>
        <v>80APR11XQ</v>
      </c>
      <c r="Y424" s="12" t="str">
        <f>VLOOKUP($D424,global_toc!$C:$K,8,FALSE)</f>
        <v>84OCT31X_</v>
      </c>
      <c r="Z424" s="12">
        <f>VLOOKUP($D424,global_toc!$C:$K,9,FALSE)</f>
        <v>12</v>
      </c>
      <c r="AA424" s="19" t="str">
        <f t="shared" si="19"/>
        <v>Delay+rate uncal if flag=1.</v>
      </c>
    </row>
    <row r="425" spans="1:27" x14ac:dyDescent="0.2">
      <c r="A425" s="12">
        <v>95</v>
      </c>
      <c r="B425" s="12">
        <v>2</v>
      </c>
      <c r="C425" s="12" t="str">
        <f t="shared" si="20"/>
        <v>USER_REC</v>
      </c>
      <c r="D425" s="12" t="s">
        <v>1074</v>
      </c>
      <c r="E425" s="12">
        <v>1</v>
      </c>
      <c r="F425" s="12">
        <v>1</v>
      </c>
      <c r="G425" s="12">
        <v>1</v>
      </c>
      <c r="H425" s="12" t="s">
        <v>731</v>
      </c>
      <c r="I425" s="12">
        <v>5</v>
      </c>
      <c r="J425" s="12" t="s">
        <v>1794</v>
      </c>
      <c r="K425" s="12" t="s">
        <v>1347</v>
      </c>
      <c r="L425" s="23" t="s">
        <v>1342</v>
      </c>
      <c r="M425" s="13" t="s">
        <v>544</v>
      </c>
      <c r="N425" s="13" t="s">
        <v>1342</v>
      </c>
      <c r="O425" s="12" t="s">
        <v>2211</v>
      </c>
      <c r="P425" s="12" t="s">
        <v>1342</v>
      </c>
      <c r="Q425" s="12" t="s">
        <v>1342</v>
      </c>
      <c r="R425" s="13" t="s">
        <v>1342</v>
      </c>
      <c r="S425" s="13" t="s">
        <v>1342</v>
      </c>
      <c r="T425" s="23" t="s">
        <v>1342</v>
      </c>
      <c r="U425" s="13" t="s">
        <v>1342</v>
      </c>
      <c r="V425" s="13" t="s">
        <v>1342</v>
      </c>
      <c r="W425" s="13" t="s">
        <v>1342</v>
      </c>
      <c r="X425" s="12" t="str">
        <f>VLOOKUP($D425,global_toc!$C:$K,7,FALSE)</f>
        <v>79AUG03XX</v>
      </c>
      <c r="Y425" s="12" t="str">
        <f>VLOOKUP($D425,global_toc!$C:$K,8,FALSE)</f>
        <v>11OCT17XA</v>
      </c>
      <c r="Z425" s="12">
        <f>VLOOKUP($D425,global_toc!$C:$K,9,FALSE)</f>
        <v>747</v>
      </c>
      <c r="AA425" s="19" t="str">
        <f t="shared" si="19"/>
        <v>User observation recovery status</v>
      </c>
    </row>
    <row r="426" spans="1:27" x14ac:dyDescent="0.2">
      <c r="A426" s="12">
        <v>96</v>
      </c>
      <c r="B426" s="12">
        <v>2</v>
      </c>
      <c r="C426" s="12" t="str">
        <f t="shared" si="20"/>
        <v>USER_SUP</v>
      </c>
      <c r="D426" s="12" t="s">
        <v>1073</v>
      </c>
      <c r="E426" s="12">
        <v>1</v>
      </c>
      <c r="F426" s="12">
        <v>1</v>
      </c>
      <c r="G426" s="12">
        <v>1</v>
      </c>
      <c r="H426" s="12" t="s">
        <v>731</v>
      </c>
      <c r="I426" s="12">
        <v>5</v>
      </c>
      <c r="J426" s="12" t="s">
        <v>1793</v>
      </c>
      <c r="K426" s="12" t="s">
        <v>1347</v>
      </c>
      <c r="L426" s="23" t="s">
        <v>1342</v>
      </c>
      <c r="M426" s="13" t="s">
        <v>544</v>
      </c>
      <c r="N426" s="13" t="s">
        <v>1342</v>
      </c>
      <c r="O426" s="12" t="s">
        <v>2211</v>
      </c>
      <c r="P426" s="12" t="s">
        <v>1342</v>
      </c>
      <c r="Q426" s="12" t="s">
        <v>1342</v>
      </c>
      <c r="R426" s="13" t="s">
        <v>1342</v>
      </c>
      <c r="S426" s="13" t="s">
        <v>1342</v>
      </c>
      <c r="T426" s="23" t="s">
        <v>1342</v>
      </c>
      <c r="U426" s="13" t="s">
        <v>1342</v>
      </c>
      <c r="V426" s="13" t="s">
        <v>1342</v>
      </c>
      <c r="W426" s="13" t="s">
        <v>1342</v>
      </c>
      <c r="X426" s="12" t="str">
        <f>VLOOKUP($D426,global_toc!$C:$K,7,FALSE)</f>
        <v>79AUG03XX</v>
      </c>
      <c r="Y426" s="12" t="str">
        <f>VLOOKUP($D426,global_toc!$C:$K,8,FALSE)</f>
        <v>11OCT17XA</v>
      </c>
      <c r="Z426" s="12">
        <f>VLOOKUP($D426,global_toc!$C:$K,9,FALSE)</f>
        <v>747</v>
      </c>
      <c r="AA426" s="19" t="str">
        <f t="shared" si="19"/>
        <v>User observation suppression sts</v>
      </c>
    </row>
    <row r="427" spans="1:27" x14ac:dyDescent="0.2">
      <c r="A427" s="12">
        <v>97</v>
      </c>
      <c r="B427" s="12">
        <v>2</v>
      </c>
      <c r="C427" s="12" t="str">
        <f t="shared" si="20"/>
        <v>UTC TAG4</v>
      </c>
      <c r="D427" s="14" t="s">
        <v>960</v>
      </c>
      <c r="E427" s="12">
        <v>6</v>
      </c>
      <c r="F427" s="12">
        <v>1</v>
      </c>
      <c r="G427" s="12">
        <v>1</v>
      </c>
      <c r="H427" s="12" t="s">
        <v>544</v>
      </c>
      <c r="I427" s="12">
        <v>1</v>
      </c>
      <c r="J427" s="12" t="s">
        <v>961</v>
      </c>
      <c r="K427" s="12" t="s">
        <v>1347</v>
      </c>
      <c r="L427" s="23" t="s">
        <v>1594</v>
      </c>
      <c r="M427" s="13" t="s">
        <v>544</v>
      </c>
      <c r="N427" s="13" t="s">
        <v>1342</v>
      </c>
      <c r="O427" s="12" t="s">
        <v>2211</v>
      </c>
      <c r="P427" s="12" t="s">
        <v>1342</v>
      </c>
      <c r="Q427" s="12" t="s">
        <v>1342</v>
      </c>
      <c r="R427" s="13" t="s">
        <v>1342</v>
      </c>
      <c r="S427" s="13" t="s">
        <v>1342</v>
      </c>
      <c r="T427" s="23" t="s">
        <v>1342</v>
      </c>
      <c r="U427" s="13" t="s">
        <v>1342</v>
      </c>
      <c r="V427" s="13" t="s">
        <v>1342</v>
      </c>
      <c r="W427" s="13" t="s">
        <v>1342</v>
      </c>
      <c r="X427" s="12" t="str">
        <f>VLOOKUP($D427,global_toc!$C:$K,7,FALSE)</f>
        <v>89FEB22DX</v>
      </c>
      <c r="Y427" s="12" t="str">
        <f>VLOOKUP($D427,global_toc!$C:$K,8,FALSE)</f>
        <v>11OCT17XA</v>
      </c>
      <c r="Z427" s="12">
        <f>VLOOKUP($D427,global_toc!$C:$K,9,FALSE)</f>
        <v>1878</v>
      </c>
      <c r="AA427" s="19" t="str">
        <f t="shared" si="19"/>
        <v>Epoch UTC YMDHMS (4 digit year).</v>
      </c>
    </row>
    <row r="428" spans="1:27" x14ac:dyDescent="0.2">
      <c r="A428" s="12">
        <v>3</v>
      </c>
      <c r="B428" s="12">
        <v>1</v>
      </c>
      <c r="C428" s="12" t="str">
        <f t="shared" si="20"/>
        <v>ACCELGRV</v>
      </c>
      <c r="D428" s="14" t="s">
        <v>465</v>
      </c>
      <c r="E428" s="12">
        <v>1</v>
      </c>
      <c r="F428" s="12">
        <v>1</v>
      </c>
      <c r="G428" s="12">
        <v>1</v>
      </c>
      <c r="H428" s="12" t="s">
        <v>447</v>
      </c>
      <c r="I428" s="12">
        <v>1</v>
      </c>
      <c r="J428" s="12" t="s">
        <v>466</v>
      </c>
      <c r="K428" s="12" t="s">
        <v>1340</v>
      </c>
      <c r="L428" s="23" t="s">
        <v>1964</v>
      </c>
      <c r="M428" s="13" t="s">
        <v>544</v>
      </c>
      <c r="N428" s="13" t="s">
        <v>1342</v>
      </c>
      <c r="O428" s="12" t="s">
        <v>2211</v>
      </c>
      <c r="P428" s="12" t="s">
        <v>1342</v>
      </c>
      <c r="Q428" s="12" t="s">
        <v>1342</v>
      </c>
      <c r="R428" s="13" t="s">
        <v>1342</v>
      </c>
      <c r="S428" s="13" t="s">
        <v>1342</v>
      </c>
      <c r="T428" s="23" t="s">
        <v>1342</v>
      </c>
      <c r="U428" s="13" t="s">
        <v>1342</v>
      </c>
      <c r="V428" s="13" t="s">
        <v>1342</v>
      </c>
      <c r="W428" s="13" t="s">
        <v>1342</v>
      </c>
      <c r="X428" s="12" t="str">
        <f>VLOOKUP($D428,global_toc!$C:$K,7,FALSE)</f>
        <v>79AUG03XX</v>
      </c>
      <c r="Y428" s="12" t="str">
        <f>VLOOKUP($D428,global_toc!$C:$K,8,FALSE)</f>
        <v>11OCT17XA</v>
      </c>
      <c r="Z428" s="12">
        <f>VLOOKUP($D428,global_toc!$C:$K,9,FALSE)</f>
        <v>5029</v>
      </c>
      <c r="AA428" s="19" t="str">
        <f t="shared" si="19"/>
        <v>Accel grav at erth surface m/s^2</v>
      </c>
    </row>
    <row r="429" spans="1:27" x14ac:dyDescent="0.2">
      <c r="A429" s="12">
        <v>5</v>
      </c>
      <c r="B429" s="12">
        <v>1</v>
      </c>
      <c r="C429" s="12" t="str">
        <f t="shared" si="20"/>
        <v>ATM FL 1</v>
      </c>
      <c r="D429" s="12" t="s">
        <v>151</v>
      </c>
      <c r="E429" s="12">
        <v>1</v>
      </c>
      <c r="F429" s="12">
        <v>1</v>
      </c>
      <c r="G429" s="12">
        <v>1</v>
      </c>
      <c r="H429" s="12" t="s">
        <v>544</v>
      </c>
      <c r="I429" s="12">
        <v>2</v>
      </c>
      <c r="J429" s="12" t="s">
        <v>152</v>
      </c>
      <c r="K429" s="12" t="s">
        <v>1340</v>
      </c>
      <c r="L429" s="23" t="s">
        <v>1965</v>
      </c>
      <c r="M429" s="13" t="s">
        <v>544</v>
      </c>
      <c r="N429" s="13" t="s">
        <v>1342</v>
      </c>
      <c r="O429" s="12" t="s">
        <v>2211</v>
      </c>
      <c r="P429" s="12" t="s">
        <v>1342</v>
      </c>
      <c r="Q429" s="12" t="s">
        <v>1342</v>
      </c>
      <c r="R429" s="13" t="s">
        <v>1342</v>
      </c>
      <c r="S429" s="13" t="s">
        <v>1342</v>
      </c>
      <c r="T429" s="23" t="s">
        <v>1342</v>
      </c>
      <c r="U429" s="13" t="s">
        <v>1342</v>
      </c>
      <c r="V429" s="13" t="s">
        <v>1342</v>
      </c>
      <c r="W429" s="13" t="s">
        <v>1342</v>
      </c>
      <c r="X429" s="12" t="str">
        <f>VLOOKUP($D429,global_toc!$C:$K,7,FALSE)</f>
        <v>81JAN13XA</v>
      </c>
      <c r="Y429" s="12" t="str">
        <f>VLOOKUP($D429,global_toc!$C:$K,8,FALSE)</f>
        <v>10MAR04XE</v>
      </c>
      <c r="Z429" s="12">
        <f>VLOOKUP($D429,global_toc!$C:$K,9,FALSE)</f>
        <v>19</v>
      </c>
      <c r="AA429" s="19" t="str">
        <f t="shared" si="19"/>
        <v>List of atmosphere flags</v>
      </c>
    </row>
    <row r="430" spans="1:27" x14ac:dyDescent="0.2">
      <c r="A430" s="12">
        <v>6</v>
      </c>
      <c r="B430" s="12">
        <v>1</v>
      </c>
      <c r="C430" s="12" t="str">
        <f t="shared" si="20"/>
        <v>ATM FL 2</v>
      </c>
      <c r="D430" s="12" t="s">
        <v>153</v>
      </c>
      <c r="E430" s="12">
        <v>1</v>
      </c>
      <c r="F430" s="12">
        <v>1</v>
      </c>
      <c r="G430" s="12">
        <v>1</v>
      </c>
      <c r="H430" s="12" t="s">
        <v>544</v>
      </c>
      <c r="I430" s="12">
        <v>2</v>
      </c>
      <c r="J430" s="12" t="s">
        <v>152</v>
      </c>
      <c r="K430" s="12" t="s">
        <v>1340</v>
      </c>
      <c r="L430" s="23" t="s">
        <v>1965</v>
      </c>
      <c r="M430" s="13" t="s">
        <v>544</v>
      </c>
      <c r="N430" s="13" t="s">
        <v>1342</v>
      </c>
      <c r="O430" s="12" t="s">
        <v>2211</v>
      </c>
      <c r="P430" s="12" t="s">
        <v>1342</v>
      </c>
      <c r="Q430" s="12" t="s">
        <v>1342</v>
      </c>
      <c r="R430" s="13" t="s">
        <v>1342</v>
      </c>
      <c r="S430" s="13" t="s">
        <v>1342</v>
      </c>
      <c r="T430" s="23" t="s">
        <v>1342</v>
      </c>
      <c r="U430" s="13" t="s">
        <v>1342</v>
      </c>
      <c r="V430" s="13" t="s">
        <v>1342</v>
      </c>
      <c r="W430" s="13" t="s">
        <v>1342</v>
      </c>
      <c r="X430" s="12" t="str">
        <f>VLOOKUP($D430,global_toc!$C:$K,7,FALSE)</f>
        <v>81JAN13XA</v>
      </c>
      <c r="Y430" s="12" t="str">
        <f>VLOOKUP($D430,global_toc!$C:$K,8,FALSE)</f>
        <v>10MAR04XE</v>
      </c>
      <c r="Z430" s="12">
        <f>VLOOKUP($D430,global_toc!$C:$K,9,FALSE)</f>
        <v>19</v>
      </c>
      <c r="AA430" s="19" t="str">
        <f t="shared" si="19"/>
        <v>List of atmosphere flags</v>
      </c>
    </row>
    <row r="431" spans="1:27" x14ac:dyDescent="0.2">
      <c r="A431" s="12">
        <v>7</v>
      </c>
      <c r="B431" s="12">
        <v>1</v>
      </c>
      <c r="C431" s="12" t="str">
        <f t="shared" si="20"/>
        <v>ATM FL 3</v>
      </c>
      <c r="D431" s="12" t="s">
        <v>217</v>
      </c>
      <c r="E431" s="12">
        <v>1</v>
      </c>
      <c r="F431" s="12">
        <v>1</v>
      </c>
      <c r="G431" s="12">
        <v>1</v>
      </c>
      <c r="H431" s="12" t="s">
        <v>544</v>
      </c>
      <c r="I431" s="12">
        <v>2</v>
      </c>
      <c r="J431" s="12" t="s">
        <v>152</v>
      </c>
      <c r="K431" s="12" t="s">
        <v>1340</v>
      </c>
      <c r="L431" s="23" t="s">
        <v>1965</v>
      </c>
      <c r="M431" s="13" t="s">
        <v>544</v>
      </c>
      <c r="N431" s="13" t="s">
        <v>1342</v>
      </c>
      <c r="O431" s="12" t="s">
        <v>2211</v>
      </c>
      <c r="P431" s="12" t="s">
        <v>1342</v>
      </c>
      <c r="Q431" s="12" t="s">
        <v>1342</v>
      </c>
      <c r="R431" s="13" t="s">
        <v>1342</v>
      </c>
      <c r="S431" s="13" t="s">
        <v>1342</v>
      </c>
      <c r="T431" s="23" t="s">
        <v>1342</v>
      </c>
      <c r="U431" s="13" t="s">
        <v>1342</v>
      </c>
      <c r="V431" s="13" t="s">
        <v>1342</v>
      </c>
      <c r="W431" s="13" t="s">
        <v>1342</v>
      </c>
      <c r="X431" s="12" t="str">
        <f>VLOOKUP($D431,global_toc!$C:$K,7,FALSE)</f>
        <v>83OCT29X_</v>
      </c>
      <c r="Y431" s="12" t="str">
        <f>VLOOKUP($D431,global_toc!$C:$K,8,FALSE)</f>
        <v>10MAR04XE</v>
      </c>
      <c r="Z431" s="12">
        <f>VLOOKUP($D431,global_toc!$C:$K,9,FALSE)</f>
        <v>12</v>
      </c>
      <c r="AA431" s="19" t="str">
        <f t="shared" si="19"/>
        <v>List of atmosphere flags</v>
      </c>
    </row>
    <row r="432" spans="1:27" x14ac:dyDescent="0.2">
      <c r="A432" s="12">
        <v>8</v>
      </c>
      <c r="B432" s="12">
        <v>1</v>
      </c>
      <c r="C432" s="12" t="str">
        <f t="shared" si="20"/>
        <v>ATM FL 4</v>
      </c>
      <c r="D432" s="12" t="s">
        <v>226</v>
      </c>
      <c r="E432" s="12">
        <v>1</v>
      </c>
      <c r="F432" s="12">
        <v>1</v>
      </c>
      <c r="G432" s="12">
        <v>1</v>
      </c>
      <c r="H432" s="12" t="s">
        <v>544</v>
      </c>
      <c r="I432" s="12">
        <v>2</v>
      </c>
      <c r="J432" s="12" t="s">
        <v>152</v>
      </c>
      <c r="K432" s="12" t="s">
        <v>1340</v>
      </c>
      <c r="L432" s="23" t="s">
        <v>1965</v>
      </c>
      <c r="M432" s="13" t="s">
        <v>544</v>
      </c>
      <c r="N432" s="13" t="s">
        <v>1342</v>
      </c>
      <c r="O432" s="12" t="s">
        <v>2211</v>
      </c>
      <c r="P432" s="12" t="s">
        <v>1342</v>
      </c>
      <c r="Q432" s="12" t="s">
        <v>1342</v>
      </c>
      <c r="R432" s="13" t="s">
        <v>1342</v>
      </c>
      <c r="S432" s="13" t="s">
        <v>1342</v>
      </c>
      <c r="T432" s="23" t="s">
        <v>1342</v>
      </c>
      <c r="U432" s="13" t="s">
        <v>1342</v>
      </c>
      <c r="V432" s="13" t="s">
        <v>1342</v>
      </c>
      <c r="W432" s="13" t="s">
        <v>1342</v>
      </c>
      <c r="X432" s="12" t="str">
        <f>VLOOKUP($D432,global_toc!$C:$K,7,FALSE)</f>
        <v>83FEB21X_</v>
      </c>
      <c r="Y432" s="12" t="str">
        <f>VLOOKUP($D432,global_toc!$C:$K,8,FALSE)</f>
        <v>10MAR04XE</v>
      </c>
      <c r="Z432" s="12">
        <f>VLOOKUP($D432,global_toc!$C:$K,9,FALSE)</f>
        <v>22</v>
      </c>
      <c r="AA432" s="19" t="str">
        <f t="shared" si="19"/>
        <v>List of atmosphere flags</v>
      </c>
    </row>
    <row r="433" spans="1:27" x14ac:dyDescent="0.2">
      <c r="A433" s="12">
        <v>9</v>
      </c>
      <c r="B433" s="12">
        <v>1</v>
      </c>
      <c r="C433" s="12" t="str">
        <f t="shared" si="20"/>
        <v>ATM FL 5</v>
      </c>
      <c r="D433" s="12" t="s">
        <v>227</v>
      </c>
      <c r="E433" s="12">
        <v>1</v>
      </c>
      <c r="F433" s="12">
        <v>1</v>
      </c>
      <c r="G433" s="12">
        <v>1</v>
      </c>
      <c r="H433" s="12" t="s">
        <v>544</v>
      </c>
      <c r="I433" s="12">
        <v>2</v>
      </c>
      <c r="J433" s="12" t="s">
        <v>152</v>
      </c>
      <c r="K433" s="12" t="s">
        <v>1340</v>
      </c>
      <c r="L433" s="23" t="s">
        <v>1965</v>
      </c>
      <c r="M433" s="13" t="s">
        <v>544</v>
      </c>
      <c r="N433" s="13" t="s">
        <v>1342</v>
      </c>
      <c r="O433" s="12" t="s">
        <v>2211</v>
      </c>
      <c r="P433" s="12" t="s">
        <v>1342</v>
      </c>
      <c r="Q433" s="12" t="s">
        <v>1342</v>
      </c>
      <c r="R433" s="13" t="s">
        <v>1342</v>
      </c>
      <c r="S433" s="13" t="s">
        <v>1342</v>
      </c>
      <c r="T433" s="23" t="s">
        <v>1342</v>
      </c>
      <c r="U433" s="13" t="s">
        <v>1342</v>
      </c>
      <c r="V433" s="13" t="s">
        <v>1342</v>
      </c>
      <c r="W433" s="13" t="s">
        <v>1342</v>
      </c>
      <c r="X433" s="12" t="str">
        <f>VLOOKUP($D433,global_toc!$C:$K,7,FALSE)</f>
        <v>80OCT19X_</v>
      </c>
      <c r="Y433" s="12" t="str">
        <f>VLOOKUP($D433,global_toc!$C:$K,8,FALSE)</f>
        <v>10MAR04XE</v>
      </c>
      <c r="Z433" s="12">
        <f>VLOOKUP($D433,global_toc!$C:$K,9,FALSE)</f>
        <v>9</v>
      </c>
      <c r="AA433" s="19" t="str">
        <f t="shared" si="19"/>
        <v>List of atmosphere flags</v>
      </c>
    </row>
    <row r="434" spans="1:27" x14ac:dyDescent="0.2">
      <c r="A434" s="12">
        <v>10</v>
      </c>
      <c r="B434" s="12">
        <v>1</v>
      </c>
      <c r="C434" s="12" t="str">
        <f t="shared" si="20"/>
        <v>ATM FL 6</v>
      </c>
      <c r="D434" s="12" t="s">
        <v>241</v>
      </c>
      <c r="E434" s="12">
        <v>1</v>
      </c>
      <c r="F434" s="12">
        <v>1</v>
      </c>
      <c r="G434" s="12">
        <v>1</v>
      </c>
      <c r="H434" s="12" t="s">
        <v>544</v>
      </c>
      <c r="I434" s="12">
        <v>2</v>
      </c>
      <c r="J434" s="12" t="s">
        <v>152</v>
      </c>
      <c r="K434" s="12" t="s">
        <v>1340</v>
      </c>
      <c r="L434" s="23" t="s">
        <v>1965</v>
      </c>
      <c r="M434" s="13" t="s">
        <v>544</v>
      </c>
      <c r="N434" s="13" t="s">
        <v>1342</v>
      </c>
      <c r="O434" s="12" t="s">
        <v>2211</v>
      </c>
      <c r="P434" s="12" t="s">
        <v>1342</v>
      </c>
      <c r="Q434" s="12" t="s">
        <v>1342</v>
      </c>
      <c r="R434" s="13" t="s">
        <v>1342</v>
      </c>
      <c r="S434" s="13" t="s">
        <v>1342</v>
      </c>
      <c r="T434" s="23" t="s">
        <v>1342</v>
      </c>
      <c r="U434" s="13" t="s">
        <v>1342</v>
      </c>
      <c r="V434" s="13" t="s">
        <v>1342</v>
      </c>
      <c r="W434" s="13" t="s">
        <v>1342</v>
      </c>
      <c r="X434" s="12" t="str">
        <f>VLOOKUP($D434,global_toc!$C:$K,7,FALSE)</f>
        <v>82JUN21X_</v>
      </c>
      <c r="Y434" s="12" t="str">
        <f>VLOOKUP($D434,global_toc!$C:$K,8,FALSE)</f>
        <v>92MAY05XH</v>
      </c>
      <c r="Z434" s="12">
        <f>VLOOKUP($D434,global_toc!$C:$K,9,FALSE)</f>
        <v>16</v>
      </c>
      <c r="AA434" s="19" t="str">
        <f t="shared" si="19"/>
        <v>List of atmosphere flags</v>
      </c>
    </row>
    <row r="435" spans="1:27" x14ac:dyDescent="0.2">
      <c r="A435" s="12">
        <v>11</v>
      </c>
      <c r="B435" s="12">
        <v>1</v>
      </c>
      <c r="C435" s="12" t="str">
        <f t="shared" si="20"/>
        <v>ATM FL 7</v>
      </c>
      <c r="D435" s="12" t="s">
        <v>257</v>
      </c>
      <c r="E435" s="12">
        <v>1</v>
      </c>
      <c r="F435" s="12">
        <v>1</v>
      </c>
      <c r="G435" s="12">
        <v>1</v>
      </c>
      <c r="H435" s="12" t="s">
        <v>544</v>
      </c>
      <c r="I435" s="12">
        <v>2</v>
      </c>
      <c r="J435" s="12" t="s">
        <v>152</v>
      </c>
      <c r="K435" s="12" t="s">
        <v>1340</v>
      </c>
      <c r="L435" s="23" t="s">
        <v>1965</v>
      </c>
      <c r="M435" s="13" t="s">
        <v>544</v>
      </c>
      <c r="N435" s="13" t="s">
        <v>1342</v>
      </c>
      <c r="O435" s="12" t="s">
        <v>2211</v>
      </c>
      <c r="P435" s="12" t="s">
        <v>1342</v>
      </c>
      <c r="Q435" s="12" t="s">
        <v>1342</v>
      </c>
      <c r="R435" s="13" t="s">
        <v>1342</v>
      </c>
      <c r="S435" s="13" t="s">
        <v>1342</v>
      </c>
      <c r="T435" s="23" t="s">
        <v>1342</v>
      </c>
      <c r="U435" s="13" t="s">
        <v>1342</v>
      </c>
      <c r="V435" s="13" t="s">
        <v>1342</v>
      </c>
      <c r="W435" s="13" t="s">
        <v>1342</v>
      </c>
      <c r="X435" s="12" t="str">
        <f>VLOOKUP($D435,global_toc!$C:$K,7,FALSE)</f>
        <v>84AUG30X_</v>
      </c>
      <c r="Y435" s="12" t="str">
        <f>VLOOKUP($D435,global_toc!$C:$K,8,FALSE)</f>
        <v>86OCT16X_</v>
      </c>
      <c r="Z435" s="12">
        <f>VLOOKUP($D435,global_toc!$C:$K,9,FALSE)</f>
        <v>10</v>
      </c>
      <c r="AA435" s="19" t="str">
        <f t="shared" si="19"/>
        <v>List of atmosphere flags</v>
      </c>
    </row>
    <row r="436" spans="1:27" x14ac:dyDescent="0.2">
      <c r="A436" s="12">
        <v>12</v>
      </c>
      <c r="B436" s="12">
        <v>1</v>
      </c>
      <c r="C436" s="12" t="str">
        <f t="shared" si="20"/>
        <v>ATM FL 8</v>
      </c>
      <c r="D436" s="12" t="s">
        <v>277</v>
      </c>
      <c r="E436" s="12">
        <v>1</v>
      </c>
      <c r="F436" s="12">
        <v>1</v>
      </c>
      <c r="G436" s="12">
        <v>1</v>
      </c>
      <c r="H436" s="12" t="s">
        <v>544</v>
      </c>
      <c r="I436" s="12">
        <v>2</v>
      </c>
      <c r="J436" s="12" t="s">
        <v>152</v>
      </c>
      <c r="K436" s="12" t="s">
        <v>1340</v>
      </c>
      <c r="L436" s="23" t="s">
        <v>1965</v>
      </c>
      <c r="M436" s="13" t="s">
        <v>544</v>
      </c>
      <c r="N436" s="13" t="s">
        <v>1342</v>
      </c>
      <c r="O436" s="12" t="s">
        <v>2211</v>
      </c>
      <c r="P436" s="12" t="s">
        <v>1342</v>
      </c>
      <c r="Q436" s="12" t="s">
        <v>1342</v>
      </c>
      <c r="R436" s="13" t="s">
        <v>1342</v>
      </c>
      <c r="S436" s="13" t="s">
        <v>1342</v>
      </c>
      <c r="T436" s="23" t="s">
        <v>1342</v>
      </c>
      <c r="U436" s="13" t="s">
        <v>1342</v>
      </c>
      <c r="V436" s="13" t="s">
        <v>1342</v>
      </c>
      <c r="W436" s="13" t="s">
        <v>1342</v>
      </c>
      <c r="X436" s="12" t="str">
        <f>VLOOKUP($D436,global_toc!$C:$K,7,FALSE)</f>
        <v>81NOV19X_</v>
      </c>
      <c r="Y436" s="12" t="str">
        <f>VLOOKUP($D436,global_toc!$C:$K,8,FALSE)</f>
        <v>81NOV19X_</v>
      </c>
      <c r="Z436" s="12">
        <f>VLOOKUP($D436,global_toc!$C:$K,9,FALSE)</f>
        <v>1</v>
      </c>
      <c r="AA436" s="19" t="str">
        <f t="shared" si="19"/>
        <v>List of atmosphere flags</v>
      </c>
    </row>
    <row r="437" spans="1:27" x14ac:dyDescent="0.2">
      <c r="A437" s="12">
        <v>13</v>
      </c>
      <c r="B437" s="12">
        <v>1</v>
      </c>
      <c r="C437" s="12" t="str">
        <f t="shared" si="20"/>
        <v>ATMEPO 1</v>
      </c>
      <c r="D437" s="12" t="s">
        <v>144</v>
      </c>
      <c r="E437" s="12">
        <v>1</v>
      </c>
      <c r="F437" s="12">
        <v>1</v>
      </c>
      <c r="G437" s="12">
        <v>1</v>
      </c>
      <c r="H437" s="12" t="s">
        <v>447</v>
      </c>
      <c r="I437" s="12">
        <v>1</v>
      </c>
      <c r="J437" s="12" t="s">
        <v>145</v>
      </c>
      <c r="K437" s="12" t="s">
        <v>1340</v>
      </c>
      <c r="L437" s="23" t="s">
        <v>1965</v>
      </c>
      <c r="M437" s="13" t="s">
        <v>544</v>
      </c>
      <c r="N437" s="13" t="s">
        <v>1342</v>
      </c>
      <c r="O437" s="12" t="s">
        <v>2211</v>
      </c>
      <c r="P437" s="12" t="s">
        <v>1342</v>
      </c>
      <c r="Q437" s="12" t="s">
        <v>1342</v>
      </c>
      <c r="R437" s="13" t="s">
        <v>1342</v>
      </c>
      <c r="S437" s="13" t="s">
        <v>1342</v>
      </c>
      <c r="T437" s="23" t="s">
        <v>1342</v>
      </c>
      <c r="U437" s="13" t="s">
        <v>1342</v>
      </c>
      <c r="V437" s="13" t="s">
        <v>1342</v>
      </c>
      <c r="W437" s="13" t="s">
        <v>1342</v>
      </c>
      <c r="X437" s="12" t="str">
        <f>VLOOKUP($D437,global_toc!$C:$K,7,FALSE)</f>
        <v>81JAN13XA</v>
      </c>
      <c r="Y437" s="12" t="str">
        <f>VLOOKUP($D437,global_toc!$C:$K,8,FALSE)</f>
        <v>10MAR04XE</v>
      </c>
      <c r="Z437" s="12">
        <f>VLOOKUP($D437,global_toc!$C:$K,9,FALSE)</f>
        <v>19</v>
      </c>
      <c r="AA437" s="19" t="str">
        <f t="shared" si="19"/>
        <v>Atmosphere epochs -  J.D.s</v>
      </c>
    </row>
    <row r="438" spans="1:27" x14ac:dyDescent="0.2">
      <c r="A438" s="12">
        <v>14</v>
      </c>
      <c r="B438" s="12">
        <v>1</v>
      </c>
      <c r="C438" s="12" t="str">
        <f t="shared" si="20"/>
        <v>ATMEPO 2</v>
      </c>
      <c r="D438" s="12" t="s">
        <v>146</v>
      </c>
      <c r="E438" s="12">
        <v>1</v>
      </c>
      <c r="F438" s="12">
        <v>1</v>
      </c>
      <c r="G438" s="12">
        <v>1</v>
      </c>
      <c r="H438" s="12" t="s">
        <v>447</v>
      </c>
      <c r="I438" s="12">
        <v>1</v>
      </c>
      <c r="J438" s="12" t="s">
        <v>145</v>
      </c>
      <c r="K438" s="12" t="s">
        <v>1340</v>
      </c>
      <c r="L438" s="23" t="s">
        <v>1965</v>
      </c>
      <c r="M438" s="13" t="s">
        <v>544</v>
      </c>
      <c r="N438" s="13" t="s">
        <v>1342</v>
      </c>
      <c r="O438" s="12" t="s">
        <v>2211</v>
      </c>
      <c r="P438" s="12" t="s">
        <v>1342</v>
      </c>
      <c r="Q438" s="12" t="s">
        <v>1342</v>
      </c>
      <c r="R438" s="13" t="s">
        <v>1342</v>
      </c>
      <c r="S438" s="13" t="s">
        <v>1342</v>
      </c>
      <c r="T438" s="23" t="s">
        <v>1342</v>
      </c>
      <c r="U438" s="13" t="s">
        <v>1342</v>
      </c>
      <c r="V438" s="13" t="s">
        <v>1342</v>
      </c>
      <c r="W438" s="13" t="s">
        <v>1342</v>
      </c>
      <c r="X438" s="12" t="str">
        <f>VLOOKUP($D438,global_toc!$C:$K,7,FALSE)</f>
        <v>81JAN13XA</v>
      </c>
      <c r="Y438" s="12" t="str">
        <f>VLOOKUP($D438,global_toc!$C:$K,8,FALSE)</f>
        <v>10MAR04XE</v>
      </c>
      <c r="Z438" s="12">
        <f>VLOOKUP($D438,global_toc!$C:$K,9,FALSE)</f>
        <v>19</v>
      </c>
      <c r="AA438" s="19" t="str">
        <f t="shared" si="19"/>
        <v>Atmosphere epochs -  J.D.s</v>
      </c>
    </row>
    <row r="439" spans="1:27" x14ac:dyDescent="0.2">
      <c r="A439" s="12">
        <v>15</v>
      </c>
      <c r="B439" s="12">
        <v>1</v>
      </c>
      <c r="C439" s="12" t="str">
        <f t="shared" si="20"/>
        <v>ATMEPO 3</v>
      </c>
      <c r="D439" s="12" t="s">
        <v>215</v>
      </c>
      <c r="E439" s="12">
        <v>1</v>
      </c>
      <c r="F439" s="12">
        <v>1</v>
      </c>
      <c r="G439" s="12">
        <v>1</v>
      </c>
      <c r="H439" s="12" t="s">
        <v>447</v>
      </c>
      <c r="I439" s="12">
        <v>1</v>
      </c>
      <c r="J439" s="12" t="s">
        <v>145</v>
      </c>
      <c r="K439" s="12" t="s">
        <v>1340</v>
      </c>
      <c r="L439" s="23" t="s">
        <v>1965</v>
      </c>
      <c r="M439" s="13" t="s">
        <v>544</v>
      </c>
      <c r="N439" s="13" t="s">
        <v>1342</v>
      </c>
      <c r="O439" s="12" t="s">
        <v>2211</v>
      </c>
      <c r="P439" s="12" t="s">
        <v>1342</v>
      </c>
      <c r="Q439" s="12" t="s">
        <v>1342</v>
      </c>
      <c r="R439" s="13" t="s">
        <v>1342</v>
      </c>
      <c r="S439" s="13" t="s">
        <v>1342</v>
      </c>
      <c r="T439" s="23" t="s">
        <v>1342</v>
      </c>
      <c r="U439" s="13" t="s">
        <v>1342</v>
      </c>
      <c r="V439" s="13" t="s">
        <v>1342</v>
      </c>
      <c r="W439" s="13" t="s">
        <v>1342</v>
      </c>
      <c r="X439" s="12" t="str">
        <f>VLOOKUP($D439,global_toc!$C:$K,7,FALSE)</f>
        <v>83AUG30X_</v>
      </c>
      <c r="Y439" s="12" t="str">
        <f>VLOOKUP($D439,global_toc!$C:$K,8,FALSE)</f>
        <v>10MAR04XE</v>
      </c>
      <c r="Z439" s="12">
        <f>VLOOKUP($D439,global_toc!$C:$K,9,FALSE)</f>
        <v>14</v>
      </c>
      <c r="AA439" s="19" t="str">
        <f t="shared" si="19"/>
        <v>Atmosphere epochs -  J.D.s</v>
      </c>
    </row>
    <row r="440" spans="1:27" x14ac:dyDescent="0.2">
      <c r="A440" s="12">
        <v>16</v>
      </c>
      <c r="B440" s="12">
        <v>1</v>
      </c>
      <c r="C440" s="12" t="str">
        <f t="shared" si="20"/>
        <v>ATMEPO 4</v>
      </c>
      <c r="D440" s="12" t="s">
        <v>224</v>
      </c>
      <c r="E440" s="12">
        <v>1</v>
      </c>
      <c r="F440" s="12">
        <v>1</v>
      </c>
      <c r="G440" s="12">
        <v>1</v>
      </c>
      <c r="H440" s="12" t="s">
        <v>447</v>
      </c>
      <c r="I440" s="12">
        <v>1</v>
      </c>
      <c r="J440" s="12" t="s">
        <v>145</v>
      </c>
      <c r="K440" s="12" t="s">
        <v>1340</v>
      </c>
      <c r="L440" s="23" t="s">
        <v>1965</v>
      </c>
      <c r="M440" s="13" t="s">
        <v>544</v>
      </c>
      <c r="N440" s="13" t="s">
        <v>1342</v>
      </c>
      <c r="O440" s="12" t="s">
        <v>2211</v>
      </c>
      <c r="P440" s="12" t="s">
        <v>1342</v>
      </c>
      <c r="Q440" s="12" t="s">
        <v>1342</v>
      </c>
      <c r="R440" s="13" t="s">
        <v>1342</v>
      </c>
      <c r="S440" s="13" t="s">
        <v>1342</v>
      </c>
      <c r="T440" s="23" t="s">
        <v>1342</v>
      </c>
      <c r="U440" s="13" t="s">
        <v>1342</v>
      </c>
      <c r="V440" s="13" t="s">
        <v>1342</v>
      </c>
      <c r="W440" s="13" t="s">
        <v>1342</v>
      </c>
      <c r="X440" s="12" t="str">
        <f>VLOOKUP($D440,global_toc!$C:$K,7,FALSE)</f>
        <v>80DEC19XA</v>
      </c>
      <c r="Y440" s="12" t="str">
        <f>VLOOKUP($D440,global_toc!$C:$K,8,FALSE)</f>
        <v>10MAR04XE</v>
      </c>
      <c r="Z440" s="12">
        <f>VLOOKUP($D440,global_toc!$C:$K,9,FALSE)</f>
        <v>33</v>
      </c>
      <c r="AA440" s="19" t="str">
        <f t="shared" si="19"/>
        <v>Atmosphere epochs -  J.D.s</v>
      </c>
    </row>
    <row r="441" spans="1:27" x14ac:dyDescent="0.2">
      <c r="A441" s="12">
        <v>17</v>
      </c>
      <c r="B441" s="12">
        <v>1</v>
      </c>
      <c r="C441" s="12" t="str">
        <f t="shared" si="20"/>
        <v>ATMEPO 5</v>
      </c>
      <c r="D441" s="12" t="s">
        <v>225</v>
      </c>
      <c r="E441" s="12">
        <v>1</v>
      </c>
      <c r="F441" s="12">
        <v>1</v>
      </c>
      <c r="G441" s="12">
        <v>1</v>
      </c>
      <c r="H441" s="12" t="s">
        <v>447</v>
      </c>
      <c r="I441" s="12">
        <v>1</v>
      </c>
      <c r="J441" s="12" t="s">
        <v>145</v>
      </c>
      <c r="K441" s="12" t="s">
        <v>1340</v>
      </c>
      <c r="L441" s="23" t="s">
        <v>1965</v>
      </c>
      <c r="M441" s="13" t="s">
        <v>544</v>
      </c>
      <c r="N441" s="13" t="s">
        <v>1342</v>
      </c>
      <c r="O441" s="12" t="s">
        <v>2211</v>
      </c>
      <c r="P441" s="12" t="s">
        <v>1342</v>
      </c>
      <c r="Q441" s="12" t="s">
        <v>1342</v>
      </c>
      <c r="R441" s="13" t="s">
        <v>1342</v>
      </c>
      <c r="S441" s="13" t="s">
        <v>1342</v>
      </c>
      <c r="T441" s="23" t="s">
        <v>1342</v>
      </c>
      <c r="U441" s="13" t="s">
        <v>1342</v>
      </c>
      <c r="V441" s="13" t="s">
        <v>1342</v>
      </c>
      <c r="W441" s="13" t="s">
        <v>1342</v>
      </c>
      <c r="X441" s="12" t="str">
        <f>VLOOKUP($D441,global_toc!$C:$K,7,FALSE)</f>
        <v>80OCT19X_</v>
      </c>
      <c r="Y441" s="12" t="str">
        <f>VLOOKUP($D441,global_toc!$C:$K,8,FALSE)</f>
        <v>10MAR04XE</v>
      </c>
      <c r="Z441" s="12">
        <f>VLOOKUP($D441,global_toc!$C:$K,9,FALSE)</f>
        <v>17</v>
      </c>
      <c r="AA441" s="19" t="str">
        <f t="shared" si="19"/>
        <v>Atmosphere epochs -  J.D.s</v>
      </c>
    </row>
    <row r="442" spans="1:27" x14ac:dyDescent="0.2">
      <c r="A442" s="12">
        <v>18</v>
      </c>
      <c r="B442" s="12">
        <v>1</v>
      </c>
      <c r="C442" s="12" t="str">
        <f t="shared" si="20"/>
        <v>ATMEPO 6</v>
      </c>
      <c r="D442" s="12" t="s">
        <v>239</v>
      </c>
      <c r="E442" s="12">
        <v>1</v>
      </c>
      <c r="F442" s="12">
        <v>1</v>
      </c>
      <c r="G442" s="12">
        <v>1</v>
      </c>
      <c r="H442" s="12" t="s">
        <v>447</v>
      </c>
      <c r="I442" s="12">
        <v>1</v>
      </c>
      <c r="J442" s="12" t="s">
        <v>145</v>
      </c>
      <c r="K442" s="12" t="s">
        <v>1340</v>
      </c>
      <c r="L442" s="23" t="s">
        <v>1965</v>
      </c>
      <c r="M442" s="13" t="s">
        <v>544</v>
      </c>
      <c r="N442" s="13" t="s">
        <v>1342</v>
      </c>
      <c r="O442" s="12" t="s">
        <v>2211</v>
      </c>
      <c r="P442" s="12" t="s">
        <v>1342</v>
      </c>
      <c r="Q442" s="12" t="s">
        <v>1342</v>
      </c>
      <c r="R442" s="13" t="s">
        <v>1342</v>
      </c>
      <c r="S442" s="13" t="s">
        <v>1342</v>
      </c>
      <c r="T442" s="23" t="s">
        <v>1342</v>
      </c>
      <c r="U442" s="13" t="s">
        <v>1342</v>
      </c>
      <c r="V442" s="13" t="s">
        <v>1342</v>
      </c>
      <c r="W442" s="13" t="s">
        <v>1342</v>
      </c>
      <c r="X442" s="12" t="str">
        <f>VLOOKUP($D442,global_toc!$C:$K,7,FALSE)</f>
        <v>82JUN16X_</v>
      </c>
      <c r="Y442" s="12" t="str">
        <f>VLOOKUP($D442,global_toc!$C:$K,8,FALSE)</f>
        <v>92MAY05XH</v>
      </c>
      <c r="Z442" s="12">
        <f>VLOOKUP($D442,global_toc!$C:$K,9,FALSE)</f>
        <v>24</v>
      </c>
      <c r="AA442" s="19" t="str">
        <f t="shared" si="19"/>
        <v>Atmosphere epochs -  J.D.s</v>
      </c>
    </row>
    <row r="443" spans="1:27" x14ac:dyDescent="0.2">
      <c r="A443" s="12">
        <v>19</v>
      </c>
      <c r="B443" s="12">
        <v>1</v>
      </c>
      <c r="C443" s="12" t="str">
        <f t="shared" si="20"/>
        <v>ATMEPO 7</v>
      </c>
      <c r="D443" s="12" t="s">
        <v>255</v>
      </c>
      <c r="E443" s="12">
        <v>1</v>
      </c>
      <c r="F443" s="12">
        <v>1</v>
      </c>
      <c r="G443" s="12">
        <v>1</v>
      </c>
      <c r="H443" s="12" t="s">
        <v>447</v>
      </c>
      <c r="I443" s="12">
        <v>1</v>
      </c>
      <c r="J443" s="12" t="s">
        <v>145</v>
      </c>
      <c r="K443" s="12" t="s">
        <v>1340</v>
      </c>
      <c r="L443" s="23" t="s">
        <v>1965</v>
      </c>
      <c r="M443" s="13" t="s">
        <v>544</v>
      </c>
      <c r="N443" s="13" t="s">
        <v>1342</v>
      </c>
      <c r="O443" s="12" t="s">
        <v>2211</v>
      </c>
      <c r="P443" s="12" t="s">
        <v>1342</v>
      </c>
      <c r="Q443" s="12" t="s">
        <v>1342</v>
      </c>
      <c r="R443" s="13" t="s">
        <v>1342</v>
      </c>
      <c r="S443" s="13" t="s">
        <v>1342</v>
      </c>
      <c r="T443" s="23" t="s">
        <v>1342</v>
      </c>
      <c r="U443" s="13" t="s">
        <v>1342</v>
      </c>
      <c r="V443" s="13" t="s">
        <v>1342</v>
      </c>
      <c r="W443" s="13" t="s">
        <v>1342</v>
      </c>
      <c r="X443" s="12" t="str">
        <f>VLOOKUP($D443,global_toc!$C:$K,7,FALSE)</f>
        <v>81NOV18X_</v>
      </c>
      <c r="Y443" s="12" t="str">
        <f>VLOOKUP($D443,global_toc!$C:$K,8,FALSE)</f>
        <v>86OCT16X_</v>
      </c>
      <c r="Z443" s="12">
        <f>VLOOKUP($D443,global_toc!$C:$K,9,FALSE)</f>
        <v>13</v>
      </c>
      <c r="AA443" s="19" t="str">
        <f t="shared" si="19"/>
        <v>Atmosphere epochs -  J.D.s</v>
      </c>
    </row>
    <row r="444" spans="1:27" x14ac:dyDescent="0.2">
      <c r="A444" s="12">
        <v>20</v>
      </c>
      <c r="B444" s="12">
        <v>1</v>
      </c>
      <c r="C444" s="12" t="str">
        <f t="shared" si="20"/>
        <v>ATMEPO 8</v>
      </c>
      <c r="D444" s="12" t="s">
        <v>275</v>
      </c>
      <c r="E444" s="12">
        <v>1</v>
      </c>
      <c r="F444" s="12">
        <v>1</v>
      </c>
      <c r="G444" s="12">
        <v>1</v>
      </c>
      <c r="H444" s="12" t="s">
        <v>447</v>
      </c>
      <c r="I444" s="12">
        <v>1</v>
      </c>
      <c r="J444" s="12" t="s">
        <v>145</v>
      </c>
      <c r="K444" s="12" t="s">
        <v>1340</v>
      </c>
      <c r="L444" s="23" t="s">
        <v>1965</v>
      </c>
      <c r="M444" s="13" t="s">
        <v>544</v>
      </c>
      <c r="N444" s="13" t="s">
        <v>1342</v>
      </c>
      <c r="O444" s="12" t="s">
        <v>2211</v>
      </c>
      <c r="P444" s="12" t="s">
        <v>1342</v>
      </c>
      <c r="Q444" s="12" t="s">
        <v>1342</v>
      </c>
      <c r="R444" s="13" t="s">
        <v>1342</v>
      </c>
      <c r="S444" s="13" t="s">
        <v>1342</v>
      </c>
      <c r="T444" s="23" t="s">
        <v>1342</v>
      </c>
      <c r="U444" s="13" t="s">
        <v>1342</v>
      </c>
      <c r="V444" s="13" t="s">
        <v>1342</v>
      </c>
      <c r="W444" s="13" t="s">
        <v>1342</v>
      </c>
      <c r="X444" s="12" t="str">
        <f>VLOOKUP($D444,global_toc!$C:$K,7,FALSE)</f>
        <v>81NOV19X_</v>
      </c>
      <c r="Y444" s="12" t="str">
        <f>VLOOKUP($D444,global_toc!$C:$K,8,FALSE)</f>
        <v>81NOV19X_</v>
      </c>
      <c r="Z444" s="12">
        <f>VLOOKUP($D444,global_toc!$C:$K,9,FALSE)</f>
        <v>1</v>
      </c>
      <c r="AA444" s="19" t="str">
        <f t="shared" si="19"/>
        <v>Atmosphere epochs -  J.D.s</v>
      </c>
    </row>
    <row r="445" spans="1:27" x14ac:dyDescent="0.2">
      <c r="A445" s="12">
        <v>22</v>
      </c>
      <c r="B445" s="12">
        <v>1</v>
      </c>
      <c r="C445" s="12" t="str">
        <f t="shared" si="20"/>
        <v>BAROCALS</v>
      </c>
      <c r="D445" s="12" t="s">
        <v>11</v>
      </c>
      <c r="E445" s="12">
        <v>2</v>
      </c>
      <c r="F445" s="12">
        <v>1</v>
      </c>
      <c r="G445" s="12">
        <v>1</v>
      </c>
      <c r="H445" s="12" t="s">
        <v>447</v>
      </c>
      <c r="I445" s="12">
        <v>1</v>
      </c>
      <c r="J445" s="12" t="s">
        <v>12</v>
      </c>
      <c r="K445" s="12" t="s">
        <v>1340</v>
      </c>
      <c r="L445" s="23" t="s">
        <v>1342</v>
      </c>
      <c r="M445" s="13" t="s">
        <v>544</v>
      </c>
      <c r="N445" s="13" t="s">
        <v>1342</v>
      </c>
      <c r="O445" s="12" t="s">
        <v>2211</v>
      </c>
      <c r="P445" s="12" t="s">
        <v>1342</v>
      </c>
      <c r="Q445" s="12" t="s">
        <v>1342</v>
      </c>
      <c r="R445" s="13" t="s">
        <v>1342</v>
      </c>
      <c r="S445" s="13" t="s">
        <v>1342</v>
      </c>
      <c r="T445" s="23" t="s">
        <v>1342</v>
      </c>
      <c r="U445" s="13" t="s">
        <v>1342</v>
      </c>
      <c r="V445" s="13" t="s">
        <v>1342</v>
      </c>
      <c r="W445" s="13" t="s">
        <v>1342</v>
      </c>
      <c r="X445" s="12" t="str">
        <f>VLOOKUP($D445,global_toc!$C:$K,7,FALSE)</f>
        <v>81JUL01X_</v>
      </c>
      <c r="Y445" s="12" t="str">
        <f>VLOOKUP($D445,global_toc!$C:$K,8,FALSE)</f>
        <v>99MAR11XX</v>
      </c>
      <c r="Z445" s="12">
        <f>VLOOKUP($D445,global_toc!$C:$K,9,FALSE)</f>
        <v>1650</v>
      </c>
      <c r="AA445" s="19" t="str">
        <f t="shared" si="19"/>
        <v>Baro offset (mbar) and Ht. (m)</v>
      </c>
    </row>
    <row r="446" spans="1:27" x14ac:dyDescent="0.2">
      <c r="A446" s="12">
        <v>23</v>
      </c>
      <c r="B446" s="12">
        <v>1</v>
      </c>
      <c r="C446" s="12" t="str">
        <f t="shared" si="20"/>
        <v>BARONAME</v>
      </c>
      <c r="D446" s="12" t="s">
        <v>13</v>
      </c>
      <c r="E446" s="12">
        <v>4</v>
      </c>
      <c r="F446" s="12">
        <v>1</v>
      </c>
      <c r="G446" s="12">
        <v>1</v>
      </c>
      <c r="H446" s="12" t="s">
        <v>589</v>
      </c>
      <c r="I446" s="12">
        <v>3</v>
      </c>
      <c r="J446" s="12" t="s">
        <v>14</v>
      </c>
      <c r="K446" s="12" t="s">
        <v>1340</v>
      </c>
      <c r="L446" s="23" t="s">
        <v>1342</v>
      </c>
      <c r="M446" s="13" t="s">
        <v>544</v>
      </c>
      <c r="N446" s="13" t="s">
        <v>1342</v>
      </c>
      <c r="O446" s="12" t="s">
        <v>2211</v>
      </c>
      <c r="P446" s="12" t="s">
        <v>1342</v>
      </c>
      <c r="Q446" s="12" t="s">
        <v>1342</v>
      </c>
      <c r="R446" s="13" t="s">
        <v>1342</v>
      </c>
      <c r="S446" s="13" t="s">
        <v>1342</v>
      </c>
      <c r="T446" s="23" t="s">
        <v>1342</v>
      </c>
      <c r="U446" s="13" t="s">
        <v>1342</v>
      </c>
      <c r="V446" s="13" t="s">
        <v>1342</v>
      </c>
      <c r="W446" s="13" t="s">
        <v>1342</v>
      </c>
      <c r="X446" s="12" t="str">
        <f>VLOOKUP($D446,global_toc!$C:$K,7,FALSE)</f>
        <v>81JUL01X_</v>
      </c>
      <c r="Y446" s="12" t="str">
        <f>VLOOKUP($D446,global_toc!$C:$K,8,FALSE)</f>
        <v>99MAR11XX</v>
      </c>
      <c r="Z446" s="12">
        <f>VLOOKUP($D446,global_toc!$C:$K,9,FALSE)</f>
        <v>1650</v>
      </c>
      <c r="AA446" s="19" t="str">
        <f t="shared" si="19"/>
        <v>Names for barometer calibrations</v>
      </c>
    </row>
    <row r="447" spans="1:27" x14ac:dyDescent="0.2">
      <c r="A447" s="12">
        <v>24</v>
      </c>
      <c r="B447" s="12">
        <v>1</v>
      </c>
      <c r="C447" s="12" t="str">
        <f t="shared" si="20"/>
        <v>BATCHCNT</v>
      </c>
      <c r="D447" s="14" t="s">
        <v>706</v>
      </c>
      <c r="E447" s="12">
        <v>2</v>
      </c>
      <c r="F447" s="12">
        <v>1</v>
      </c>
      <c r="G447" s="12">
        <v>1</v>
      </c>
      <c r="H447" s="12" t="s">
        <v>589</v>
      </c>
      <c r="I447" s="12">
        <v>4</v>
      </c>
      <c r="J447" s="12" t="s">
        <v>707</v>
      </c>
      <c r="K447" s="12" t="s">
        <v>1340</v>
      </c>
      <c r="L447" s="21" t="s">
        <v>1346</v>
      </c>
      <c r="M447" s="13" t="s">
        <v>544</v>
      </c>
      <c r="N447" s="13" t="s">
        <v>1342</v>
      </c>
      <c r="O447" s="12" t="s">
        <v>2211</v>
      </c>
      <c r="P447" s="12" t="s">
        <v>1342</v>
      </c>
      <c r="Q447" s="12" t="s">
        <v>1342</v>
      </c>
      <c r="R447" s="13" t="s">
        <v>1342</v>
      </c>
      <c r="S447" s="13" t="s">
        <v>1342</v>
      </c>
      <c r="T447" s="23" t="s">
        <v>1903</v>
      </c>
      <c r="U447" s="13" t="s">
        <v>1342</v>
      </c>
      <c r="V447" s="13" t="s">
        <v>1342</v>
      </c>
      <c r="W447" s="13" t="s">
        <v>1342</v>
      </c>
      <c r="X447" s="12" t="str">
        <f>VLOOKUP($D447,global_toc!$C:$K,7,FALSE)</f>
        <v>79AUG03XX</v>
      </c>
      <c r="Y447" s="12" t="str">
        <f>VLOOKUP($D447,global_toc!$C:$K,8,FALSE)</f>
        <v>11OCT17XA</v>
      </c>
      <c r="Z447" s="12">
        <f>VLOOKUP($D447,global_toc!$C:$K,9,FALSE)</f>
        <v>5029</v>
      </c>
      <c r="AA447" s="19" t="str">
        <f t="shared" si="19"/>
        <v>List of baseline dependent clocks</v>
      </c>
    </row>
    <row r="448" spans="1:27" x14ac:dyDescent="0.2">
      <c r="A448" s="12">
        <v>25</v>
      </c>
      <c r="B448" s="12">
        <v>1</v>
      </c>
      <c r="C448" s="12" t="str">
        <f t="shared" si="20"/>
        <v>CLCKEP 3</v>
      </c>
      <c r="D448" s="12" t="s">
        <v>214</v>
      </c>
      <c r="E448" s="12">
        <v>2</v>
      </c>
      <c r="F448" s="12">
        <v>1</v>
      </c>
      <c r="G448" s="12">
        <v>1</v>
      </c>
      <c r="H448" s="12" t="s">
        <v>447</v>
      </c>
      <c r="I448" s="12">
        <v>1</v>
      </c>
      <c r="J448" s="12" t="s">
        <v>142</v>
      </c>
      <c r="K448" s="12" t="s">
        <v>1340</v>
      </c>
      <c r="L448" s="23" t="s">
        <v>1965</v>
      </c>
      <c r="M448" s="13" t="s">
        <v>544</v>
      </c>
      <c r="N448" s="13" t="s">
        <v>1342</v>
      </c>
      <c r="O448" s="12" t="s">
        <v>2211</v>
      </c>
      <c r="P448" s="12" t="s">
        <v>1342</v>
      </c>
      <c r="Q448" s="12" t="s">
        <v>1342</v>
      </c>
      <c r="R448" s="13" t="s">
        <v>1342</v>
      </c>
      <c r="S448" s="13" t="s">
        <v>1342</v>
      </c>
      <c r="T448" s="23" t="s">
        <v>1342</v>
      </c>
      <c r="U448" s="13" t="s">
        <v>1342</v>
      </c>
      <c r="V448" s="13" t="s">
        <v>1342</v>
      </c>
      <c r="W448" s="13" t="s">
        <v>1342</v>
      </c>
      <c r="X448" s="12" t="str">
        <f>VLOOKUP($D448,global_toc!$C:$K,7,FALSE)</f>
        <v>83AUG30X_</v>
      </c>
      <c r="Y448" s="12" t="str">
        <f>VLOOKUP($D448,global_toc!$C:$K,8,FALSE)</f>
        <v>89SEP29DX</v>
      </c>
      <c r="Z448" s="12">
        <f>VLOOKUP($D448,global_toc!$C:$K,9,FALSE)</f>
        <v>11</v>
      </c>
      <c r="AA448" s="19" t="str">
        <f t="shared" si="19"/>
        <v>Clock epochs (JD,fraction)</v>
      </c>
    </row>
    <row r="449" spans="1:27" x14ac:dyDescent="0.2">
      <c r="A449" s="12">
        <v>26</v>
      </c>
      <c r="B449" s="12">
        <v>1</v>
      </c>
      <c r="C449" s="12" t="str">
        <f t="shared" si="20"/>
        <v>CLCKEP 4</v>
      </c>
      <c r="D449" s="12" t="s">
        <v>228</v>
      </c>
      <c r="E449" s="12">
        <v>2</v>
      </c>
      <c r="F449" s="12">
        <v>2</v>
      </c>
      <c r="G449" s="12">
        <v>1</v>
      </c>
      <c r="H449" s="12" t="s">
        <v>447</v>
      </c>
      <c r="I449" s="12">
        <v>1</v>
      </c>
      <c r="J449" s="12" t="s">
        <v>142</v>
      </c>
      <c r="K449" s="12" t="s">
        <v>1340</v>
      </c>
      <c r="L449" s="23" t="s">
        <v>1965</v>
      </c>
      <c r="M449" s="13" t="s">
        <v>544</v>
      </c>
      <c r="N449" s="13" t="s">
        <v>1342</v>
      </c>
      <c r="O449" s="12" t="s">
        <v>2211</v>
      </c>
      <c r="P449" s="12" t="s">
        <v>1342</v>
      </c>
      <c r="Q449" s="12" t="s">
        <v>1342</v>
      </c>
      <c r="R449" s="13" t="s">
        <v>1342</v>
      </c>
      <c r="S449" s="13" t="s">
        <v>1342</v>
      </c>
      <c r="T449" s="23" t="s">
        <v>1342</v>
      </c>
      <c r="U449" s="13" t="s">
        <v>1342</v>
      </c>
      <c r="V449" s="13" t="s">
        <v>1342</v>
      </c>
      <c r="W449" s="13" t="s">
        <v>1342</v>
      </c>
      <c r="X449" s="12" t="str">
        <f>VLOOKUP($D449,global_toc!$C:$K,7,FALSE)</f>
        <v>80DEC19XA</v>
      </c>
      <c r="Y449" s="12" t="str">
        <f>VLOOKUP($D449,global_toc!$C:$K,8,FALSE)</f>
        <v>88OCT14XI</v>
      </c>
      <c r="Z449" s="12">
        <f>VLOOKUP($D449,global_toc!$C:$K,9,FALSE)</f>
        <v>33</v>
      </c>
      <c r="AA449" s="19" t="str">
        <f t="shared" si="19"/>
        <v>Clock epochs (JD,fraction)</v>
      </c>
    </row>
    <row r="450" spans="1:27" x14ac:dyDescent="0.2">
      <c r="A450" s="12">
        <v>27</v>
      </c>
      <c r="B450" s="12">
        <v>1</v>
      </c>
      <c r="C450" s="12" t="str">
        <f t="shared" si="20"/>
        <v>CLCKEP 5</v>
      </c>
      <c r="D450" s="12" t="s">
        <v>232</v>
      </c>
      <c r="E450" s="12">
        <v>2</v>
      </c>
      <c r="F450" s="12">
        <v>1</v>
      </c>
      <c r="G450" s="12">
        <v>1</v>
      </c>
      <c r="H450" s="12" t="s">
        <v>447</v>
      </c>
      <c r="I450" s="12">
        <v>1</v>
      </c>
      <c r="J450" s="12" t="s">
        <v>142</v>
      </c>
      <c r="K450" s="12" t="s">
        <v>1340</v>
      </c>
      <c r="L450" s="23" t="s">
        <v>1965</v>
      </c>
      <c r="M450" s="13" t="s">
        <v>544</v>
      </c>
      <c r="N450" s="13" t="s">
        <v>1342</v>
      </c>
      <c r="O450" s="12" t="s">
        <v>2211</v>
      </c>
      <c r="P450" s="12" t="s">
        <v>1342</v>
      </c>
      <c r="Q450" s="12" t="s">
        <v>1342</v>
      </c>
      <c r="R450" s="13" t="s">
        <v>1342</v>
      </c>
      <c r="S450" s="13" t="s">
        <v>1342</v>
      </c>
      <c r="T450" s="23" t="s">
        <v>1342</v>
      </c>
      <c r="U450" s="13" t="s">
        <v>1342</v>
      </c>
      <c r="V450" s="13" t="s">
        <v>1342</v>
      </c>
      <c r="W450" s="13" t="s">
        <v>1342</v>
      </c>
      <c r="X450" s="12" t="str">
        <f>VLOOKUP($D450,global_toc!$C:$K,7,FALSE)</f>
        <v>80OCT19X_</v>
      </c>
      <c r="Y450" s="12" t="str">
        <f>VLOOKUP($D450,global_toc!$C:$K,8,FALSE)</f>
        <v>91JAN30X_</v>
      </c>
      <c r="Z450" s="12">
        <f>VLOOKUP($D450,global_toc!$C:$K,9,FALSE)</f>
        <v>17</v>
      </c>
      <c r="AA450" s="19" t="str">
        <f t="shared" si="19"/>
        <v>Clock epochs (JD,fraction)</v>
      </c>
    </row>
    <row r="451" spans="1:27" x14ac:dyDescent="0.2">
      <c r="A451" s="12">
        <v>28</v>
      </c>
      <c r="B451" s="12">
        <v>1</v>
      </c>
      <c r="C451" s="12" t="str">
        <f t="shared" si="20"/>
        <v>CLCKEP 6</v>
      </c>
      <c r="D451" s="12" t="s">
        <v>238</v>
      </c>
      <c r="E451" s="12">
        <v>2</v>
      </c>
      <c r="F451" s="12">
        <v>1</v>
      </c>
      <c r="G451" s="12">
        <v>1</v>
      </c>
      <c r="H451" s="12" t="s">
        <v>447</v>
      </c>
      <c r="I451" s="12">
        <v>1</v>
      </c>
      <c r="J451" s="12" t="s">
        <v>142</v>
      </c>
      <c r="K451" s="12" t="s">
        <v>1340</v>
      </c>
      <c r="L451" s="23" t="s">
        <v>1965</v>
      </c>
      <c r="M451" s="13" t="s">
        <v>544</v>
      </c>
      <c r="N451" s="13" t="s">
        <v>1342</v>
      </c>
      <c r="O451" s="12" t="s">
        <v>2211</v>
      </c>
      <c r="P451" s="12" t="s">
        <v>1342</v>
      </c>
      <c r="Q451" s="12" t="s">
        <v>1342</v>
      </c>
      <c r="R451" s="13" t="s">
        <v>1342</v>
      </c>
      <c r="S451" s="13" t="s">
        <v>1342</v>
      </c>
      <c r="T451" s="23" t="s">
        <v>1342</v>
      </c>
      <c r="U451" s="13" t="s">
        <v>1342</v>
      </c>
      <c r="V451" s="13" t="s">
        <v>1342</v>
      </c>
      <c r="W451" s="13" t="s">
        <v>1342</v>
      </c>
      <c r="X451" s="12" t="str">
        <f>VLOOKUP($D451,global_toc!$C:$K,7,FALSE)</f>
        <v>82JUN16X_</v>
      </c>
      <c r="Y451" s="12" t="str">
        <f>VLOOKUP($D451,global_toc!$C:$K,8,FALSE)</f>
        <v>92MAY05XH</v>
      </c>
      <c r="Z451" s="12">
        <f>VLOOKUP($D451,global_toc!$C:$K,9,FALSE)</f>
        <v>24</v>
      </c>
      <c r="AA451" s="19" t="str">
        <f t="shared" si="19"/>
        <v>Clock epochs (JD,fraction)</v>
      </c>
    </row>
    <row r="452" spans="1:27" x14ac:dyDescent="0.2">
      <c r="A452" s="12">
        <v>29</v>
      </c>
      <c r="B452" s="12">
        <v>1</v>
      </c>
      <c r="C452" s="12" t="str">
        <f t="shared" si="20"/>
        <v>CLCKEP 7</v>
      </c>
      <c r="D452" s="12" t="s">
        <v>254</v>
      </c>
      <c r="E452" s="12">
        <v>2</v>
      </c>
      <c r="F452" s="12">
        <v>1</v>
      </c>
      <c r="G452" s="12">
        <v>1</v>
      </c>
      <c r="H452" s="12" t="s">
        <v>447</v>
      </c>
      <c r="I452" s="12">
        <v>1</v>
      </c>
      <c r="J452" s="12" t="s">
        <v>142</v>
      </c>
      <c r="K452" s="12" t="s">
        <v>1340</v>
      </c>
      <c r="L452" s="23" t="s">
        <v>1965</v>
      </c>
      <c r="M452" s="13" t="s">
        <v>544</v>
      </c>
      <c r="N452" s="13" t="s">
        <v>1342</v>
      </c>
      <c r="O452" s="12" t="s">
        <v>2211</v>
      </c>
      <c r="P452" s="12" t="s">
        <v>1342</v>
      </c>
      <c r="Q452" s="12" t="s">
        <v>1342</v>
      </c>
      <c r="R452" s="13" t="s">
        <v>1342</v>
      </c>
      <c r="S452" s="13" t="s">
        <v>1342</v>
      </c>
      <c r="T452" s="23" t="s">
        <v>1342</v>
      </c>
      <c r="U452" s="13" t="s">
        <v>1342</v>
      </c>
      <c r="V452" s="13" t="s">
        <v>1342</v>
      </c>
      <c r="W452" s="13" t="s">
        <v>1342</v>
      </c>
      <c r="X452" s="12" t="str">
        <f>VLOOKUP($D452,global_toc!$C:$K,7,FALSE)</f>
        <v>81NOV18X_</v>
      </c>
      <c r="Y452" s="12" t="str">
        <f>VLOOKUP($D452,global_toc!$C:$K,8,FALSE)</f>
        <v>86OCT16X_</v>
      </c>
      <c r="Z452" s="12">
        <f>VLOOKUP($D452,global_toc!$C:$K,9,FALSE)</f>
        <v>13</v>
      </c>
      <c r="AA452" s="19" t="str">
        <f t="shared" si="19"/>
        <v>Clock epochs (JD,fraction)</v>
      </c>
    </row>
    <row r="453" spans="1:27" x14ac:dyDescent="0.2">
      <c r="A453" s="12">
        <v>30</v>
      </c>
      <c r="B453" s="12">
        <v>1</v>
      </c>
      <c r="C453" s="12" t="str">
        <f t="shared" si="20"/>
        <v>CLCKEP 8</v>
      </c>
      <c r="D453" s="12" t="s">
        <v>274</v>
      </c>
      <c r="E453" s="12">
        <v>2</v>
      </c>
      <c r="F453" s="12">
        <v>1</v>
      </c>
      <c r="G453" s="12">
        <v>1</v>
      </c>
      <c r="H453" s="12" t="s">
        <v>447</v>
      </c>
      <c r="I453" s="12">
        <v>1</v>
      </c>
      <c r="J453" s="12" t="s">
        <v>142</v>
      </c>
      <c r="K453" s="12" t="s">
        <v>1340</v>
      </c>
      <c r="L453" s="23" t="s">
        <v>1965</v>
      </c>
      <c r="M453" s="13" t="s">
        <v>544</v>
      </c>
      <c r="N453" s="13" t="s">
        <v>1342</v>
      </c>
      <c r="O453" s="12" t="s">
        <v>2211</v>
      </c>
      <c r="P453" s="12" t="s">
        <v>1342</v>
      </c>
      <c r="Q453" s="12" t="s">
        <v>1342</v>
      </c>
      <c r="R453" s="13" t="s">
        <v>1342</v>
      </c>
      <c r="S453" s="13" t="s">
        <v>1342</v>
      </c>
      <c r="T453" s="23" t="s">
        <v>1342</v>
      </c>
      <c r="U453" s="13" t="s">
        <v>1342</v>
      </c>
      <c r="V453" s="13" t="s">
        <v>1342</v>
      </c>
      <c r="W453" s="13" t="s">
        <v>1342</v>
      </c>
      <c r="X453" s="12" t="str">
        <f>VLOOKUP($D453,global_toc!$C:$K,7,FALSE)</f>
        <v>81NOV19X_</v>
      </c>
      <c r="Y453" s="12" t="str">
        <f>VLOOKUP($D453,global_toc!$C:$K,8,FALSE)</f>
        <v>81NOV19X_</v>
      </c>
      <c r="Z453" s="12">
        <f>VLOOKUP($D453,global_toc!$C:$K,9,FALSE)</f>
        <v>1</v>
      </c>
      <c r="AA453" s="19" t="str">
        <f t="shared" si="19"/>
        <v>Clock epochs (JD,fraction)</v>
      </c>
    </row>
    <row r="454" spans="1:27" x14ac:dyDescent="0.2">
      <c r="A454" s="12">
        <v>31</v>
      </c>
      <c r="B454" s="12">
        <v>1</v>
      </c>
      <c r="C454" s="12" t="str">
        <f t="shared" si="20"/>
        <v>CLCKFL 3</v>
      </c>
      <c r="D454" s="12" t="s">
        <v>216</v>
      </c>
      <c r="E454" s="12">
        <v>1</v>
      </c>
      <c r="F454" s="12">
        <v>1</v>
      </c>
      <c r="G454" s="12">
        <v>1</v>
      </c>
      <c r="H454" s="12" t="s">
        <v>544</v>
      </c>
      <c r="I454" s="12">
        <v>2</v>
      </c>
      <c r="J454" s="12" t="s">
        <v>149</v>
      </c>
      <c r="K454" s="12" t="s">
        <v>1340</v>
      </c>
      <c r="L454" s="23" t="s">
        <v>1965</v>
      </c>
      <c r="M454" s="13" t="s">
        <v>544</v>
      </c>
      <c r="N454" s="13" t="s">
        <v>1342</v>
      </c>
      <c r="O454" s="12" t="s">
        <v>2211</v>
      </c>
      <c r="P454" s="12" t="s">
        <v>1342</v>
      </c>
      <c r="Q454" s="12" t="s">
        <v>1342</v>
      </c>
      <c r="R454" s="13" t="s">
        <v>1342</v>
      </c>
      <c r="S454" s="13" t="s">
        <v>1342</v>
      </c>
      <c r="T454" s="23" t="s">
        <v>1342</v>
      </c>
      <c r="U454" s="13" t="s">
        <v>1342</v>
      </c>
      <c r="V454" s="13" t="s">
        <v>1342</v>
      </c>
      <c r="W454" s="13" t="s">
        <v>1342</v>
      </c>
      <c r="X454" s="12" t="str">
        <f>VLOOKUP($D454,global_toc!$C:$K,7,FALSE)</f>
        <v>83AUG30X_</v>
      </c>
      <c r="Y454" s="12" t="str">
        <f>VLOOKUP($D454,global_toc!$C:$K,8,FALSE)</f>
        <v>89SEP29DX</v>
      </c>
      <c r="Z454" s="12">
        <f>VLOOKUP($D454,global_toc!$C:$K,9,FALSE)</f>
        <v>11</v>
      </c>
      <c r="AA454" s="19" t="str">
        <f t="shared" ref="AA454:AA507" si="21">IF(T454="-",J454,T454)</f>
        <v>List of clock flags</v>
      </c>
    </row>
    <row r="455" spans="1:27" x14ac:dyDescent="0.2">
      <c r="A455" s="12">
        <v>32</v>
      </c>
      <c r="B455" s="12">
        <v>1</v>
      </c>
      <c r="C455" s="12" t="str">
        <f t="shared" si="20"/>
        <v>CLCKFL 4</v>
      </c>
      <c r="D455" s="12" t="s">
        <v>229</v>
      </c>
      <c r="E455" s="12">
        <v>2</v>
      </c>
      <c r="F455" s="12">
        <v>1</v>
      </c>
      <c r="G455" s="12">
        <v>1</v>
      </c>
      <c r="H455" s="12" t="s">
        <v>544</v>
      </c>
      <c r="I455" s="12">
        <v>2</v>
      </c>
      <c r="J455" s="12" t="s">
        <v>149</v>
      </c>
      <c r="K455" s="12" t="s">
        <v>1340</v>
      </c>
      <c r="L455" s="23" t="s">
        <v>1965</v>
      </c>
      <c r="M455" s="13" t="s">
        <v>544</v>
      </c>
      <c r="N455" s="13" t="s">
        <v>1342</v>
      </c>
      <c r="O455" s="12" t="s">
        <v>2211</v>
      </c>
      <c r="P455" s="12" t="s">
        <v>1342</v>
      </c>
      <c r="Q455" s="12" t="s">
        <v>1342</v>
      </c>
      <c r="R455" s="13" t="s">
        <v>1342</v>
      </c>
      <c r="S455" s="13" t="s">
        <v>1342</v>
      </c>
      <c r="T455" s="23" t="s">
        <v>1342</v>
      </c>
      <c r="U455" s="13" t="s">
        <v>1342</v>
      </c>
      <c r="V455" s="13" t="s">
        <v>1342</v>
      </c>
      <c r="W455" s="13" t="s">
        <v>1342</v>
      </c>
      <c r="X455" s="12" t="str">
        <f>VLOOKUP($D455,global_toc!$C:$K,7,FALSE)</f>
        <v>80DEC19XA</v>
      </c>
      <c r="Y455" s="12" t="str">
        <f>VLOOKUP($D455,global_toc!$C:$K,8,FALSE)</f>
        <v>88OCT14XI</v>
      </c>
      <c r="Z455" s="12">
        <f>VLOOKUP($D455,global_toc!$C:$K,9,FALSE)</f>
        <v>33</v>
      </c>
      <c r="AA455" s="19" t="str">
        <f t="shared" si="21"/>
        <v>List of clock flags</v>
      </c>
    </row>
    <row r="456" spans="1:27" x14ac:dyDescent="0.2">
      <c r="A456" s="12">
        <v>33</v>
      </c>
      <c r="B456" s="12">
        <v>1</v>
      </c>
      <c r="C456" s="12" t="str">
        <f t="shared" si="20"/>
        <v>CLCKFL 5</v>
      </c>
      <c r="D456" s="12" t="s">
        <v>233</v>
      </c>
      <c r="E456" s="12">
        <v>1</v>
      </c>
      <c r="F456" s="12">
        <v>1</v>
      </c>
      <c r="G456" s="12">
        <v>1</v>
      </c>
      <c r="H456" s="12" t="s">
        <v>544</v>
      </c>
      <c r="I456" s="12">
        <v>2</v>
      </c>
      <c r="J456" s="12" t="s">
        <v>149</v>
      </c>
      <c r="K456" s="12" t="s">
        <v>1340</v>
      </c>
      <c r="L456" s="23" t="s">
        <v>1965</v>
      </c>
      <c r="M456" s="13" t="s">
        <v>544</v>
      </c>
      <c r="N456" s="13" t="s">
        <v>1342</v>
      </c>
      <c r="O456" s="12" t="s">
        <v>2211</v>
      </c>
      <c r="P456" s="12" t="s">
        <v>1342</v>
      </c>
      <c r="Q456" s="12" t="s">
        <v>1342</v>
      </c>
      <c r="R456" s="13" t="s">
        <v>1342</v>
      </c>
      <c r="S456" s="13" t="s">
        <v>1342</v>
      </c>
      <c r="T456" s="23" t="s">
        <v>1342</v>
      </c>
      <c r="U456" s="13" t="s">
        <v>1342</v>
      </c>
      <c r="V456" s="13" t="s">
        <v>1342</v>
      </c>
      <c r="W456" s="13" t="s">
        <v>1342</v>
      </c>
      <c r="X456" s="12" t="str">
        <f>VLOOKUP($D456,global_toc!$C:$K,7,FALSE)</f>
        <v>80OCT19X_</v>
      </c>
      <c r="Y456" s="12" t="str">
        <f>VLOOKUP($D456,global_toc!$C:$K,8,FALSE)</f>
        <v>91JAN30X_</v>
      </c>
      <c r="Z456" s="12">
        <f>VLOOKUP($D456,global_toc!$C:$K,9,FALSE)</f>
        <v>17</v>
      </c>
      <c r="AA456" s="19" t="str">
        <f t="shared" si="21"/>
        <v>List of clock flags</v>
      </c>
    </row>
    <row r="457" spans="1:27" x14ac:dyDescent="0.2">
      <c r="A457" s="12">
        <v>34</v>
      </c>
      <c r="B457" s="12">
        <v>1</v>
      </c>
      <c r="C457" s="12" t="str">
        <f t="shared" si="20"/>
        <v>CLCKFL 6</v>
      </c>
      <c r="D457" s="12" t="s">
        <v>240</v>
      </c>
      <c r="E457" s="12">
        <v>1</v>
      </c>
      <c r="F457" s="12">
        <v>1</v>
      </c>
      <c r="G457" s="12">
        <v>1</v>
      </c>
      <c r="H457" s="12" t="s">
        <v>544</v>
      </c>
      <c r="I457" s="12">
        <v>2</v>
      </c>
      <c r="J457" s="12" t="s">
        <v>149</v>
      </c>
      <c r="K457" s="12" t="s">
        <v>1340</v>
      </c>
      <c r="L457" s="23" t="s">
        <v>1965</v>
      </c>
      <c r="M457" s="13" t="s">
        <v>544</v>
      </c>
      <c r="N457" s="13" t="s">
        <v>1342</v>
      </c>
      <c r="O457" s="12" t="s">
        <v>2211</v>
      </c>
      <c r="P457" s="12" t="s">
        <v>1342</v>
      </c>
      <c r="Q457" s="12" t="s">
        <v>1342</v>
      </c>
      <c r="R457" s="13" t="s">
        <v>1342</v>
      </c>
      <c r="S457" s="13" t="s">
        <v>1342</v>
      </c>
      <c r="T457" s="23" t="s">
        <v>1342</v>
      </c>
      <c r="U457" s="13" t="s">
        <v>1342</v>
      </c>
      <c r="V457" s="13" t="s">
        <v>1342</v>
      </c>
      <c r="W457" s="13" t="s">
        <v>1342</v>
      </c>
      <c r="X457" s="12" t="str">
        <f>VLOOKUP($D457,global_toc!$C:$K,7,FALSE)</f>
        <v>82JUN16X_</v>
      </c>
      <c r="Y457" s="12" t="str">
        <f>VLOOKUP($D457,global_toc!$C:$K,8,FALSE)</f>
        <v>92MAY05XH</v>
      </c>
      <c r="Z457" s="12">
        <f>VLOOKUP($D457,global_toc!$C:$K,9,FALSE)</f>
        <v>24</v>
      </c>
      <c r="AA457" s="19" t="str">
        <f t="shared" si="21"/>
        <v>List of clock flags</v>
      </c>
    </row>
    <row r="458" spans="1:27" x14ac:dyDescent="0.2">
      <c r="A458" s="12">
        <v>35</v>
      </c>
      <c r="B458" s="12">
        <v>1</v>
      </c>
      <c r="C458" s="12" t="str">
        <f t="shared" si="20"/>
        <v>CLCKFL 7</v>
      </c>
      <c r="D458" s="12" t="s">
        <v>256</v>
      </c>
      <c r="E458" s="12">
        <v>1</v>
      </c>
      <c r="F458" s="12">
        <v>1</v>
      </c>
      <c r="G458" s="12">
        <v>1</v>
      </c>
      <c r="H458" s="12" t="s">
        <v>544</v>
      </c>
      <c r="I458" s="12">
        <v>2</v>
      </c>
      <c r="J458" s="12" t="s">
        <v>149</v>
      </c>
      <c r="K458" s="12" t="s">
        <v>1340</v>
      </c>
      <c r="L458" s="23" t="s">
        <v>1965</v>
      </c>
      <c r="M458" s="13" t="s">
        <v>544</v>
      </c>
      <c r="N458" s="13" t="s">
        <v>1342</v>
      </c>
      <c r="O458" s="12" t="s">
        <v>2211</v>
      </c>
      <c r="P458" s="12" t="s">
        <v>1342</v>
      </c>
      <c r="Q458" s="12" t="s">
        <v>1342</v>
      </c>
      <c r="R458" s="13" t="s">
        <v>1342</v>
      </c>
      <c r="S458" s="13" t="s">
        <v>1342</v>
      </c>
      <c r="T458" s="23" t="s">
        <v>1342</v>
      </c>
      <c r="U458" s="13" t="s">
        <v>1342</v>
      </c>
      <c r="V458" s="13" t="s">
        <v>1342</v>
      </c>
      <c r="W458" s="13" t="s">
        <v>1342</v>
      </c>
      <c r="X458" s="12" t="str">
        <f>VLOOKUP($D458,global_toc!$C:$K,7,FALSE)</f>
        <v>81NOV18X_</v>
      </c>
      <c r="Y458" s="12" t="str">
        <f>VLOOKUP($D458,global_toc!$C:$K,8,FALSE)</f>
        <v>86OCT16X_</v>
      </c>
      <c r="Z458" s="12">
        <f>VLOOKUP($D458,global_toc!$C:$K,9,FALSE)</f>
        <v>13</v>
      </c>
      <c r="AA458" s="19" t="str">
        <f t="shared" si="21"/>
        <v>List of clock flags</v>
      </c>
    </row>
    <row r="459" spans="1:27" x14ac:dyDescent="0.2">
      <c r="A459" s="12">
        <v>36</v>
      </c>
      <c r="B459" s="12">
        <v>1</v>
      </c>
      <c r="C459" s="12" t="str">
        <f t="shared" si="20"/>
        <v>CLCKFL 8</v>
      </c>
      <c r="D459" s="12" t="s">
        <v>276</v>
      </c>
      <c r="E459" s="12">
        <v>1</v>
      </c>
      <c r="F459" s="12">
        <v>1</v>
      </c>
      <c r="G459" s="12">
        <v>1</v>
      </c>
      <c r="H459" s="12" t="s">
        <v>544</v>
      </c>
      <c r="I459" s="12">
        <v>2</v>
      </c>
      <c r="J459" s="12" t="s">
        <v>149</v>
      </c>
      <c r="K459" s="12" t="s">
        <v>1340</v>
      </c>
      <c r="L459" s="23" t="s">
        <v>1965</v>
      </c>
      <c r="M459" s="13" t="s">
        <v>544</v>
      </c>
      <c r="N459" s="13" t="s">
        <v>1342</v>
      </c>
      <c r="O459" s="12" t="s">
        <v>2211</v>
      </c>
      <c r="P459" s="12" t="s">
        <v>1342</v>
      </c>
      <c r="Q459" s="12" t="s">
        <v>1342</v>
      </c>
      <c r="R459" s="13" t="s">
        <v>1342</v>
      </c>
      <c r="S459" s="13" t="s">
        <v>1342</v>
      </c>
      <c r="T459" s="23" t="s">
        <v>1342</v>
      </c>
      <c r="U459" s="13" t="s">
        <v>1342</v>
      </c>
      <c r="V459" s="13" t="s">
        <v>1342</v>
      </c>
      <c r="W459" s="13" t="s">
        <v>1342</v>
      </c>
      <c r="X459" s="12" t="str">
        <f>VLOOKUP($D459,global_toc!$C:$K,7,FALSE)</f>
        <v>81NOV19X_</v>
      </c>
      <c r="Y459" s="12" t="str">
        <f>VLOOKUP($D459,global_toc!$C:$K,8,FALSE)</f>
        <v>81NOV19X_</v>
      </c>
      <c r="Z459" s="12">
        <f>VLOOKUP($D459,global_toc!$C:$K,9,FALSE)</f>
        <v>1</v>
      </c>
      <c r="AA459" s="19" t="str">
        <f t="shared" si="21"/>
        <v>List of clock flags</v>
      </c>
    </row>
    <row r="460" spans="1:27" x14ac:dyDescent="0.2">
      <c r="A460" s="12">
        <v>39</v>
      </c>
      <c r="B460" s="12">
        <v>1</v>
      </c>
      <c r="C460" s="12" t="str">
        <f t="shared" si="20"/>
        <v>DELTFLAG</v>
      </c>
      <c r="D460" s="14" t="s">
        <v>1363</v>
      </c>
      <c r="E460" s="12">
        <v>1</v>
      </c>
      <c r="F460" s="12">
        <v>1</v>
      </c>
      <c r="G460" s="12">
        <v>1</v>
      </c>
      <c r="H460" s="12" t="s">
        <v>544</v>
      </c>
      <c r="I460" s="12"/>
      <c r="J460" s="12" t="s">
        <v>2377</v>
      </c>
      <c r="K460" s="12" t="s">
        <v>1340</v>
      </c>
      <c r="L460" s="23" t="s">
        <v>1342</v>
      </c>
      <c r="M460" s="13" t="s">
        <v>1978</v>
      </c>
      <c r="N460" s="13" t="s">
        <v>1342</v>
      </c>
      <c r="O460" s="12" t="s">
        <v>2211</v>
      </c>
      <c r="P460" s="12" t="s">
        <v>1342</v>
      </c>
      <c r="Q460" s="12" t="s">
        <v>1342</v>
      </c>
      <c r="R460" s="13" t="s">
        <v>1342</v>
      </c>
      <c r="S460" s="13" t="s">
        <v>1342</v>
      </c>
      <c r="T460" s="23" t="s">
        <v>1342</v>
      </c>
      <c r="U460" s="13" t="s">
        <v>1342</v>
      </c>
      <c r="V460" s="13" t="s">
        <v>1342</v>
      </c>
      <c r="W460" s="13" t="s">
        <v>1342</v>
      </c>
      <c r="X460" s="12" t="str">
        <f>VLOOKUP($D460,global_toc!$C:$K,7,FALSE)</f>
        <v>79AUG03XX</v>
      </c>
      <c r="Y460" s="12" t="str">
        <f>VLOOKUP($D460,global_toc!$C:$K,8,FALSE)</f>
        <v>11JUN23XF</v>
      </c>
      <c r="Z460" s="12">
        <f>VLOOKUP($D460,global_toc!$C:$K,9,FALSE)</f>
        <v>3326</v>
      </c>
      <c r="AA460" s="19" t="str">
        <f t="shared" si="21"/>
        <v xml:space="preserve">Delay type  1=grp  2=phs. </v>
      </c>
    </row>
    <row r="461" spans="1:27" x14ac:dyDescent="0.2">
      <c r="A461" s="12">
        <v>41</v>
      </c>
      <c r="B461" s="12">
        <v>1</v>
      </c>
      <c r="C461" s="12" t="str">
        <f t="shared" si="20"/>
        <v>DNP DATA</v>
      </c>
      <c r="D461" s="12" t="s">
        <v>169</v>
      </c>
      <c r="E461" s="12">
        <v>1</v>
      </c>
      <c r="F461" s="12">
        <v>1</v>
      </c>
      <c r="G461" s="12">
        <v>1</v>
      </c>
      <c r="H461" s="12" t="s">
        <v>447</v>
      </c>
      <c r="I461" s="12">
        <v>1</v>
      </c>
      <c r="J461" s="12" t="s">
        <v>1782</v>
      </c>
      <c r="K461" s="12" t="s">
        <v>1340</v>
      </c>
      <c r="L461" s="23" t="s">
        <v>1342</v>
      </c>
      <c r="M461" s="13" t="s">
        <v>544</v>
      </c>
      <c r="N461" s="13" t="s">
        <v>1342</v>
      </c>
      <c r="O461" s="12" t="s">
        <v>2211</v>
      </c>
      <c r="P461" s="12" t="s">
        <v>1342</v>
      </c>
      <c r="Q461" s="12" t="s">
        <v>1342</v>
      </c>
      <c r="R461" s="13" t="s">
        <v>1342</v>
      </c>
      <c r="S461" s="13" t="s">
        <v>1342</v>
      </c>
      <c r="T461" s="23" t="s">
        <v>1342</v>
      </c>
      <c r="U461" s="13" t="s">
        <v>1342</v>
      </c>
      <c r="V461" s="13" t="s">
        <v>1342</v>
      </c>
      <c r="W461" s="13" t="s">
        <v>1342</v>
      </c>
      <c r="X461" s="12" t="str">
        <f>VLOOKUP($D461,global_toc!$C:$K,7,FALSE)</f>
        <v>89FEB22DX</v>
      </c>
      <c r="Y461" s="12" t="str">
        <f>VLOOKUP($D461,global_toc!$C:$K,8,FALSE)</f>
        <v>08MAY15XF</v>
      </c>
      <c r="Z461" s="12">
        <f>VLOOKUP($D461,global_toc!$C:$K,9,FALSE)</f>
        <v>136</v>
      </c>
      <c r="AA461" s="19" t="str">
        <f t="shared" si="21"/>
        <v>Diurnal polar motion scale fact.</v>
      </c>
    </row>
    <row r="462" spans="1:27" x14ac:dyDescent="0.2">
      <c r="A462" s="12">
        <v>42</v>
      </c>
      <c r="B462" s="12">
        <v>1</v>
      </c>
      <c r="C462" s="12" t="str">
        <f t="shared" si="20"/>
        <v>EARTHRAD</v>
      </c>
      <c r="D462" s="14" t="s">
        <v>475</v>
      </c>
      <c r="E462" s="12">
        <v>1</v>
      </c>
      <c r="F462" s="12">
        <v>1</v>
      </c>
      <c r="G462" s="12">
        <v>1</v>
      </c>
      <c r="H462" s="12" t="s">
        <v>447</v>
      </c>
      <c r="I462" s="12">
        <v>1</v>
      </c>
      <c r="J462" s="12" t="s">
        <v>476</v>
      </c>
      <c r="K462" s="12" t="s">
        <v>1340</v>
      </c>
      <c r="L462" s="23" t="s">
        <v>1964</v>
      </c>
      <c r="M462" s="13" t="s">
        <v>544</v>
      </c>
      <c r="N462" s="13" t="s">
        <v>1342</v>
      </c>
      <c r="O462" s="12" t="s">
        <v>2211</v>
      </c>
      <c r="P462" s="12" t="s">
        <v>1342</v>
      </c>
      <c r="Q462" s="12" t="s">
        <v>1342</v>
      </c>
      <c r="R462" s="13" t="s">
        <v>1342</v>
      </c>
      <c r="S462" s="13" t="s">
        <v>1342</v>
      </c>
      <c r="T462" s="23" t="s">
        <v>1966</v>
      </c>
      <c r="U462" s="13" t="s">
        <v>1342</v>
      </c>
      <c r="V462" s="13" t="s">
        <v>1342</v>
      </c>
      <c r="W462" s="13" t="s">
        <v>1342</v>
      </c>
      <c r="X462" s="12" t="str">
        <f>VLOOKUP($D462,global_toc!$C:$K,7,FALSE)</f>
        <v>79AUG03XX</v>
      </c>
      <c r="Y462" s="12" t="str">
        <f>VLOOKUP($D462,global_toc!$C:$K,8,FALSE)</f>
        <v>11OCT17XA</v>
      </c>
      <c r="Z462" s="12">
        <f>VLOOKUP($D462,global_toc!$C:$K,9,FALSE)</f>
        <v>5029</v>
      </c>
      <c r="AA462" s="19" t="str">
        <f t="shared" si="21"/>
        <v>constant</v>
      </c>
    </row>
    <row r="463" spans="1:27" ht="12.75" customHeight="1" x14ac:dyDescent="0.2">
      <c r="A463" s="12">
        <v>43</v>
      </c>
      <c r="B463" s="12">
        <v>1</v>
      </c>
      <c r="C463" s="12" t="str">
        <f t="shared" si="20"/>
        <v>E-FLAT</v>
      </c>
      <c r="D463" s="14" t="s">
        <v>481</v>
      </c>
      <c r="E463" s="12">
        <v>1</v>
      </c>
      <c r="F463" s="12">
        <v>1</v>
      </c>
      <c r="G463" s="12">
        <v>1</v>
      </c>
      <c r="H463" s="12" t="s">
        <v>447</v>
      </c>
      <c r="I463" s="12">
        <v>1</v>
      </c>
      <c r="J463" s="12" t="s">
        <v>482</v>
      </c>
      <c r="K463" s="12" t="s">
        <v>1340</v>
      </c>
      <c r="L463" s="23" t="s">
        <v>1964</v>
      </c>
      <c r="M463" s="13" t="s">
        <v>544</v>
      </c>
      <c r="N463" s="13" t="s">
        <v>1342</v>
      </c>
      <c r="O463" s="12" t="s">
        <v>2211</v>
      </c>
      <c r="P463" s="12" t="s">
        <v>1342</v>
      </c>
      <c r="Q463" s="12" t="s">
        <v>1342</v>
      </c>
      <c r="R463" s="13" t="s">
        <v>1342</v>
      </c>
      <c r="S463" s="13" t="s">
        <v>1342</v>
      </c>
      <c r="T463" s="23" t="s">
        <v>1342</v>
      </c>
      <c r="U463" s="13" t="s">
        <v>1342</v>
      </c>
      <c r="V463" s="13" t="s">
        <v>1342</v>
      </c>
      <c r="W463" s="13" t="s">
        <v>1342</v>
      </c>
      <c r="X463" s="12" t="str">
        <f>VLOOKUP($D463,global_toc!$C:$K,7,FALSE)</f>
        <v>79AUG03XX</v>
      </c>
      <c r="Y463" s="12" t="str">
        <f>VLOOKUP($D463,global_toc!$C:$K,8,FALSE)</f>
        <v>11OCT17XA</v>
      </c>
      <c r="Z463" s="12">
        <f>VLOOKUP($D463,global_toc!$C:$K,9,FALSE)</f>
        <v>5029</v>
      </c>
      <c r="AA463" s="19" t="str">
        <f t="shared" si="21"/>
        <v>Earth flattening con (unitless).</v>
      </c>
    </row>
    <row r="464" spans="1:27" x14ac:dyDescent="0.2">
      <c r="A464" s="12">
        <v>44</v>
      </c>
      <c r="B464" s="12">
        <v>1</v>
      </c>
      <c r="C464" s="12" t="str">
        <f t="shared" si="20"/>
        <v>EL-CUT</v>
      </c>
      <c r="D464" s="14" t="s">
        <v>696</v>
      </c>
      <c r="E464" s="12">
        <v>8</v>
      </c>
      <c r="F464" s="12">
        <v>1</v>
      </c>
      <c r="G464" s="12">
        <v>1</v>
      </c>
      <c r="H464" s="12" t="s">
        <v>589</v>
      </c>
      <c r="I464" s="12">
        <v>4</v>
      </c>
      <c r="J464" s="12" t="s">
        <v>697</v>
      </c>
      <c r="K464" s="12" t="s">
        <v>1340</v>
      </c>
      <c r="L464" s="23" t="s">
        <v>1342</v>
      </c>
      <c r="M464" s="13" t="s">
        <v>544</v>
      </c>
      <c r="N464" s="13" t="s">
        <v>1342</v>
      </c>
      <c r="O464" s="12" t="s">
        <v>2211</v>
      </c>
      <c r="P464" s="12" t="s">
        <v>1342</v>
      </c>
      <c r="Q464" s="12" t="s">
        <v>1342</v>
      </c>
      <c r="R464" s="13" t="s">
        <v>1342</v>
      </c>
      <c r="S464" s="13" t="s">
        <v>1342</v>
      </c>
      <c r="T464" s="23" t="s">
        <v>1342</v>
      </c>
      <c r="U464" s="13" t="s">
        <v>1342</v>
      </c>
      <c r="V464" s="13" t="s">
        <v>1342</v>
      </c>
      <c r="W464" s="13" t="s">
        <v>1342</v>
      </c>
      <c r="X464" s="12" t="str">
        <f>VLOOKUP($D464,global_toc!$C:$K,7,FALSE)</f>
        <v>79AUG03XX</v>
      </c>
      <c r="Y464" s="12" t="str">
        <f>VLOOKUP($D464,global_toc!$C:$K,8,FALSE)</f>
        <v>11OCT17XA</v>
      </c>
      <c r="Z464" s="12">
        <f>VLOOKUP($D464,global_toc!$C:$K,9,FALSE)</f>
        <v>4528</v>
      </c>
      <c r="AA464" s="19" t="str">
        <f t="shared" si="21"/>
        <v>Solution elevation cutoff data.</v>
      </c>
    </row>
    <row r="465" spans="1:27" x14ac:dyDescent="0.2">
      <c r="A465" s="12">
        <v>45</v>
      </c>
      <c r="B465" s="12">
        <v>1</v>
      </c>
      <c r="C465" s="12" t="str">
        <f t="shared" si="20"/>
        <v>EMS/MMS</v>
      </c>
      <c r="D465" s="14" t="s">
        <v>477</v>
      </c>
      <c r="E465" s="12">
        <v>1</v>
      </c>
      <c r="F465" s="12">
        <v>1</v>
      </c>
      <c r="G465" s="12">
        <v>1</v>
      </c>
      <c r="H465" s="12" t="s">
        <v>447</v>
      </c>
      <c r="I465" s="12">
        <v>1</v>
      </c>
      <c r="J465" s="12" t="s">
        <v>478</v>
      </c>
      <c r="K465" s="12" t="s">
        <v>1340</v>
      </c>
      <c r="L465" s="23" t="s">
        <v>1964</v>
      </c>
      <c r="M465" s="13" t="s">
        <v>544</v>
      </c>
      <c r="N465" s="13" t="s">
        <v>1342</v>
      </c>
      <c r="O465" s="12" t="s">
        <v>2211</v>
      </c>
      <c r="P465" s="12" t="s">
        <v>1342</v>
      </c>
      <c r="Q465" s="12" t="s">
        <v>1342</v>
      </c>
      <c r="R465" s="13" t="s">
        <v>1342</v>
      </c>
      <c r="S465" s="13" t="s">
        <v>1342</v>
      </c>
      <c r="T465" s="23" t="s">
        <v>1342</v>
      </c>
      <c r="U465" s="13" t="s">
        <v>1342</v>
      </c>
      <c r="V465" s="13" t="s">
        <v>1342</v>
      </c>
      <c r="W465" s="13" t="s">
        <v>1342</v>
      </c>
      <c r="X465" s="12" t="str">
        <f>VLOOKUP($D465,global_toc!$C:$K,7,FALSE)</f>
        <v>79AUG03XX</v>
      </c>
      <c r="Y465" s="12" t="str">
        <f>VLOOKUP($D465,global_toc!$C:$K,8,FALSE)</f>
        <v>11OCT17XA</v>
      </c>
      <c r="Z465" s="12">
        <f>VLOOKUP($D465,global_toc!$C:$K,9,FALSE)</f>
        <v>5029</v>
      </c>
      <c r="AA465" s="19" t="str">
        <f t="shared" si="21"/>
        <v>The Earth-Moon mass ratio.</v>
      </c>
    </row>
    <row r="466" spans="1:27" x14ac:dyDescent="0.2">
      <c r="A466" s="12">
        <v>46</v>
      </c>
      <c r="B466" s="12">
        <v>1</v>
      </c>
      <c r="C466" s="12" t="str">
        <f t="shared" si="20"/>
        <v>EOPSCALE</v>
      </c>
      <c r="D466" s="14" t="s">
        <v>661</v>
      </c>
      <c r="E466" s="12">
        <v>4</v>
      </c>
      <c r="F466" s="12">
        <v>1</v>
      </c>
      <c r="G466" s="12">
        <v>1</v>
      </c>
      <c r="H466" s="12" t="s">
        <v>589</v>
      </c>
      <c r="I466" s="12">
        <v>5</v>
      </c>
      <c r="J466" s="12" t="s">
        <v>662</v>
      </c>
      <c r="K466" s="12" t="s">
        <v>1340</v>
      </c>
      <c r="L466" s="23" t="s">
        <v>1342</v>
      </c>
      <c r="M466" s="13" t="s">
        <v>544</v>
      </c>
      <c r="N466" s="13" t="s">
        <v>1342</v>
      </c>
      <c r="O466" s="12" t="s">
        <v>2211</v>
      </c>
      <c r="P466" s="12" t="s">
        <v>1342</v>
      </c>
      <c r="Q466" s="12" t="s">
        <v>1342</v>
      </c>
      <c r="R466" s="13" t="s">
        <v>1342</v>
      </c>
      <c r="S466" s="13" t="s">
        <v>1342</v>
      </c>
      <c r="T466" s="23" t="s">
        <v>1342</v>
      </c>
      <c r="U466" s="13" t="s">
        <v>1342</v>
      </c>
      <c r="V466" s="13" t="s">
        <v>1342</v>
      </c>
      <c r="W466" s="13" t="s">
        <v>1342</v>
      </c>
      <c r="X466" s="12" t="str">
        <f>VLOOKUP($D466,global_toc!$C:$K,7,FALSE)</f>
        <v>79AUG03XX</v>
      </c>
      <c r="Y466" s="12" t="str">
        <f>VLOOKUP($D466,global_toc!$C:$K,8,FALSE)</f>
        <v>11OCT17XA</v>
      </c>
      <c r="Z466" s="12">
        <f>VLOOKUP($D466,global_toc!$C:$K,9,FALSE)</f>
        <v>5029</v>
      </c>
      <c r="AA466" s="19" t="str">
        <f t="shared" si="21"/>
        <v>Time scale of EOP table epochs.</v>
      </c>
    </row>
    <row r="467" spans="1:27" x14ac:dyDescent="0.2">
      <c r="A467" s="12">
        <v>47</v>
      </c>
      <c r="B467" s="12">
        <v>1</v>
      </c>
      <c r="C467" s="12" t="str">
        <f t="shared" si="20"/>
        <v>EPHEPOCH</v>
      </c>
      <c r="D467" s="12" t="s">
        <v>179</v>
      </c>
      <c r="E467" s="12">
        <v>1</v>
      </c>
      <c r="F467" s="12">
        <v>1</v>
      </c>
      <c r="G467" s="12">
        <v>1</v>
      </c>
      <c r="H467" s="12" t="s">
        <v>544</v>
      </c>
      <c r="I467" s="12">
        <v>2</v>
      </c>
      <c r="J467" s="12" t="s">
        <v>2361</v>
      </c>
      <c r="K467" s="12" t="s">
        <v>1340</v>
      </c>
      <c r="L467" s="23" t="s">
        <v>1342</v>
      </c>
      <c r="M467" s="13" t="s">
        <v>544</v>
      </c>
      <c r="N467" s="13" t="s">
        <v>1342</v>
      </c>
      <c r="O467" s="12" t="s">
        <v>2211</v>
      </c>
      <c r="P467" s="12" t="s">
        <v>1342</v>
      </c>
      <c r="Q467" s="12" t="s">
        <v>1342</v>
      </c>
      <c r="R467" s="13" t="s">
        <v>1342</v>
      </c>
      <c r="S467" s="13" t="s">
        <v>1342</v>
      </c>
      <c r="T467" s="23" t="s">
        <v>1342</v>
      </c>
      <c r="U467" s="13" t="s">
        <v>1342</v>
      </c>
      <c r="V467" s="13" t="s">
        <v>1342</v>
      </c>
      <c r="W467" s="13" t="s">
        <v>1342</v>
      </c>
      <c r="X467" s="12" t="str">
        <f>VLOOKUP($D467,global_toc!$C:$K,7,FALSE)</f>
        <v>79AUG03XX</v>
      </c>
      <c r="Y467" s="12" t="str">
        <f>VLOOKUP($D467,global_toc!$C:$K,8,FALSE)</f>
        <v>08MAY15XF</v>
      </c>
      <c r="Z467" s="12">
        <f>VLOOKUP($D467,global_toc!$C:$K,9,FALSE)</f>
        <v>3230</v>
      </c>
      <c r="AA467" s="19" t="str">
        <f t="shared" si="21"/>
        <v>JPL EPOCH 1950 or 2000 .</v>
      </c>
    </row>
    <row r="468" spans="1:27" x14ac:dyDescent="0.2">
      <c r="A468" s="12">
        <v>48</v>
      </c>
      <c r="B468" s="12">
        <v>1</v>
      </c>
      <c r="C468" s="12" t="str">
        <f t="shared" ref="C468:C507" si="22">IF(R468="-",D468,R468)</f>
        <v>EPNAMES</v>
      </c>
      <c r="D468" s="12" t="s">
        <v>1216</v>
      </c>
      <c r="E468" s="12">
        <v>4</v>
      </c>
      <c r="F468" s="12">
        <v>3</v>
      </c>
      <c r="G468" s="12">
        <v>1</v>
      </c>
      <c r="H468" s="12" t="s">
        <v>589</v>
      </c>
      <c r="I468" s="12">
        <v>3</v>
      </c>
      <c r="J468" s="12" t="s">
        <v>162</v>
      </c>
      <c r="K468" s="12" t="s">
        <v>1340</v>
      </c>
      <c r="L468" s="23" t="s">
        <v>1342</v>
      </c>
      <c r="M468" s="13" t="s">
        <v>544</v>
      </c>
      <c r="N468" s="13" t="s">
        <v>1342</v>
      </c>
      <c r="O468" s="12" t="s">
        <v>2211</v>
      </c>
      <c r="P468" s="12" t="s">
        <v>1342</v>
      </c>
      <c r="Q468" s="12" t="s">
        <v>1342</v>
      </c>
      <c r="R468" s="13" t="s">
        <v>1342</v>
      </c>
      <c r="S468" s="13" t="s">
        <v>1342</v>
      </c>
      <c r="T468" s="23" t="s">
        <v>1342</v>
      </c>
      <c r="U468" s="13" t="s">
        <v>1342</v>
      </c>
      <c r="V468" s="13" t="s">
        <v>1342</v>
      </c>
      <c r="W468" s="13" t="s">
        <v>1342</v>
      </c>
      <c r="X468" s="12" t="str">
        <f>VLOOKUP($D468,global_toc!$C:$K,7,FALSE)</f>
        <v>79AUG03XX</v>
      </c>
      <c r="Y468" s="12" t="str">
        <f>VLOOKUP($D468,global_toc!$C:$K,8,FALSE)</f>
        <v>10MAR04XE</v>
      </c>
      <c r="Z468" s="12">
        <f>VLOOKUP($D468,global_toc!$C:$K,9,FALSE)</f>
        <v>1488</v>
      </c>
      <c r="AA468" s="19" t="str">
        <f t="shared" si="21"/>
        <v>Site names for clock-atm epochs</v>
      </c>
    </row>
    <row r="469" spans="1:27" x14ac:dyDescent="0.2">
      <c r="A469" s="12">
        <v>50</v>
      </c>
      <c r="B469" s="12">
        <v>1</v>
      </c>
      <c r="C469" s="12" t="str">
        <f t="shared" si="22"/>
        <v>GAUSS</v>
      </c>
      <c r="D469" s="14" t="s">
        <v>463</v>
      </c>
      <c r="E469" s="12">
        <v>1</v>
      </c>
      <c r="F469" s="12">
        <v>1</v>
      </c>
      <c r="G469" s="12">
        <v>1</v>
      </c>
      <c r="H469" s="12" t="s">
        <v>447</v>
      </c>
      <c r="I469" s="12">
        <v>1</v>
      </c>
      <c r="J469" s="12" t="s">
        <v>464</v>
      </c>
      <c r="K469" s="12" t="s">
        <v>1340</v>
      </c>
      <c r="L469" s="23" t="s">
        <v>1964</v>
      </c>
      <c r="M469" s="13" t="s">
        <v>544</v>
      </c>
      <c r="N469" s="13" t="s">
        <v>1342</v>
      </c>
      <c r="O469" s="12" t="s">
        <v>2211</v>
      </c>
      <c r="P469" s="12" t="s">
        <v>1342</v>
      </c>
      <c r="Q469" s="12" t="s">
        <v>1342</v>
      </c>
      <c r="R469" s="13" t="s">
        <v>1342</v>
      </c>
      <c r="S469" s="13" t="s">
        <v>1342</v>
      </c>
      <c r="T469" s="23" t="s">
        <v>1342</v>
      </c>
      <c r="U469" s="13" t="s">
        <v>1342</v>
      </c>
      <c r="V469" s="13" t="s">
        <v>1342</v>
      </c>
      <c r="W469" s="13" t="s">
        <v>1342</v>
      </c>
      <c r="X469" s="12" t="str">
        <f>VLOOKUP($D469,global_toc!$C:$K,7,FALSE)</f>
        <v>79AUG03XX</v>
      </c>
      <c r="Y469" s="12" t="str">
        <f>VLOOKUP($D469,global_toc!$C:$K,8,FALSE)</f>
        <v>11OCT17XA</v>
      </c>
      <c r="Z469" s="12">
        <f>VLOOKUP($D469,global_toc!$C:$K,9,FALSE)</f>
        <v>5029</v>
      </c>
      <c r="AA469" s="19" t="str">
        <f t="shared" si="21"/>
        <v>Gauss's constant (rad).</v>
      </c>
    </row>
    <row r="470" spans="1:27" x14ac:dyDescent="0.2">
      <c r="A470" s="12">
        <v>51</v>
      </c>
      <c r="B470" s="12">
        <v>1</v>
      </c>
      <c r="C470" s="12" t="str">
        <f t="shared" si="22"/>
        <v>GMEARTH</v>
      </c>
      <c r="D470" s="14" t="s">
        <v>469</v>
      </c>
      <c r="E470" s="12">
        <v>1</v>
      </c>
      <c r="F470" s="12">
        <v>1</v>
      </c>
      <c r="G470" s="12">
        <v>1</v>
      </c>
      <c r="H470" s="12" t="s">
        <v>447</v>
      </c>
      <c r="I470" s="12">
        <v>1</v>
      </c>
      <c r="J470" s="12" t="s">
        <v>470</v>
      </c>
      <c r="K470" s="12" t="s">
        <v>1340</v>
      </c>
      <c r="L470" s="23" t="s">
        <v>1964</v>
      </c>
      <c r="M470" s="13" t="s">
        <v>544</v>
      </c>
      <c r="N470" s="13" t="s">
        <v>1342</v>
      </c>
      <c r="O470" s="12" t="s">
        <v>2211</v>
      </c>
      <c r="P470" s="12" t="s">
        <v>1342</v>
      </c>
      <c r="Q470" s="12" t="s">
        <v>1342</v>
      </c>
      <c r="R470" s="13" t="s">
        <v>1342</v>
      </c>
      <c r="S470" s="13" t="s">
        <v>1342</v>
      </c>
      <c r="T470" s="23" t="s">
        <v>1342</v>
      </c>
      <c r="U470" s="13" t="s">
        <v>1342</v>
      </c>
      <c r="V470" s="13" t="s">
        <v>1342</v>
      </c>
      <c r="W470" s="13" t="s">
        <v>1342</v>
      </c>
      <c r="X470" s="12" t="str">
        <f>VLOOKUP($D470,global_toc!$C:$K,7,FALSE)</f>
        <v>79AUG03XX</v>
      </c>
      <c r="Y470" s="12" t="str">
        <f>VLOOKUP($D470,global_toc!$C:$K,8,FALSE)</f>
        <v>11OCT17XA</v>
      </c>
      <c r="Z470" s="12">
        <f>VLOOKUP($D470,global_toc!$C:$K,9,FALSE)</f>
        <v>4924</v>
      </c>
      <c r="AA470" s="19" t="str">
        <f t="shared" si="21"/>
        <v>GM of the Earth (m^3/sec^2).</v>
      </c>
    </row>
    <row r="471" spans="1:27" x14ac:dyDescent="0.2">
      <c r="A471" s="12">
        <v>52</v>
      </c>
      <c r="B471" s="12">
        <v>1</v>
      </c>
      <c r="C471" s="12" t="str">
        <f t="shared" si="22"/>
        <v>GMMOON</v>
      </c>
      <c r="D471" s="14" t="s">
        <v>471</v>
      </c>
      <c r="E471" s="12">
        <v>1</v>
      </c>
      <c r="F471" s="12">
        <v>1</v>
      </c>
      <c r="G471" s="12">
        <v>1</v>
      </c>
      <c r="H471" s="12" t="s">
        <v>447</v>
      </c>
      <c r="I471" s="12">
        <v>1</v>
      </c>
      <c r="J471" s="12" t="s">
        <v>472</v>
      </c>
      <c r="K471" s="12" t="s">
        <v>1340</v>
      </c>
      <c r="L471" s="23" t="s">
        <v>1964</v>
      </c>
      <c r="M471" s="13" t="s">
        <v>544</v>
      </c>
      <c r="N471" s="13" t="s">
        <v>1342</v>
      </c>
      <c r="O471" s="12" t="s">
        <v>2211</v>
      </c>
      <c r="P471" s="12" t="s">
        <v>1342</v>
      </c>
      <c r="Q471" s="12" t="s">
        <v>1342</v>
      </c>
      <c r="R471" s="13" t="s">
        <v>1342</v>
      </c>
      <c r="S471" s="13" t="s">
        <v>1342</v>
      </c>
      <c r="T471" s="23" t="s">
        <v>1342</v>
      </c>
      <c r="U471" s="13" t="s">
        <v>1342</v>
      </c>
      <c r="V471" s="13" t="s">
        <v>1342</v>
      </c>
      <c r="W471" s="13" t="s">
        <v>1342</v>
      </c>
      <c r="X471" s="12" t="str">
        <f>VLOOKUP($D471,global_toc!$C:$K,7,FALSE)</f>
        <v>79AUG03XX</v>
      </c>
      <c r="Y471" s="12" t="str">
        <f>VLOOKUP($D471,global_toc!$C:$K,8,FALSE)</f>
        <v>11OCT17XA</v>
      </c>
      <c r="Z471" s="12">
        <f>VLOOKUP($D471,global_toc!$C:$K,9,FALSE)</f>
        <v>5029</v>
      </c>
      <c r="AA471" s="19" t="str">
        <f t="shared" si="21"/>
        <v>GM of the Moon (m^3/sec^2).</v>
      </c>
    </row>
    <row r="472" spans="1:27" x14ac:dyDescent="0.2">
      <c r="A472" s="12">
        <v>53</v>
      </c>
      <c r="B472" s="12">
        <v>1</v>
      </c>
      <c r="C472" s="12" t="str">
        <f t="shared" si="22"/>
        <v>GMSUN</v>
      </c>
      <c r="D472" s="14" t="s">
        <v>467</v>
      </c>
      <c r="E472" s="12">
        <v>1</v>
      </c>
      <c r="F472" s="12">
        <v>1</v>
      </c>
      <c r="G472" s="12">
        <v>1</v>
      </c>
      <c r="H472" s="12" t="s">
        <v>447</v>
      </c>
      <c r="I472" s="12">
        <v>1</v>
      </c>
      <c r="J472" s="12" t="s">
        <v>468</v>
      </c>
      <c r="K472" s="12" t="s">
        <v>1340</v>
      </c>
      <c r="L472" s="23" t="s">
        <v>1964</v>
      </c>
      <c r="M472" s="13" t="s">
        <v>544</v>
      </c>
      <c r="N472" s="13" t="s">
        <v>1342</v>
      </c>
      <c r="O472" s="12" t="s">
        <v>2211</v>
      </c>
      <c r="P472" s="12" t="s">
        <v>1342</v>
      </c>
      <c r="Q472" s="12" t="s">
        <v>1342</v>
      </c>
      <c r="R472" s="13" t="s">
        <v>1342</v>
      </c>
      <c r="S472" s="13" t="s">
        <v>1342</v>
      </c>
      <c r="T472" s="23" t="s">
        <v>1342</v>
      </c>
      <c r="U472" s="13" t="s">
        <v>1342</v>
      </c>
      <c r="V472" s="13" t="s">
        <v>1342</v>
      </c>
      <c r="W472" s="13" t="s">
        <v>1342</v>
      </c>
      <c r="X472" s="12" t="str">
        <f>VLOOKUP($D472,global_toc!$C:$K,7,FALSE)</f>
        <v>79AUG03XX</v>
      </c>
      <c r="Y472" s="12" t="str">
        <f>VLOOKUP($D472,global_toc!$C:$K,8,FALSE)</f>
        <v>11OCT17XA</v>
      </c>
      <c r="Z472" s="12">
        <f>VLOOKUP($D472,global_toc!$C:$K,9,FALSE)</f>
        <v>5029</v>
      </c>
      <c r="AA472" s="19" t="str">
        <f t="shared" si="21"/>
        <v>GM of the Sun (m^3/sec^2).</v>
      </c>
    </row>
    <row r="473" spans="1:27" x14ac:dyDescent="0.2">
      <c r="A473" s="12">
        <v>54</v>
      </c>
      <c r="B473" s="12">
        <v>1</v>
      </c>
      <c r="C473" s="12" t="str">
        <f t="shared" si="22"/>
        <v>HALF PI</v>
      </c>
      <c r="D473" s="14" t="s">
        <v>457</v>
      </c>
      <c r="E473" s="12">
        <v>1</v>
      </c>
      <c r="F473" s="12">
        <v>1</v>
      </c>
      <c r="G473" s="12">
        <v>1</v>
      </c>
      <c r="H473" s="12" t="s">
        <v>447</v>
      </c>
      <c r="I473" s="12">
        <v>1</v>
      </c>
      <c r="J473" s="12" t="s">
        <v>458</v>
      </c>
      <c r="K473" s="12" t="s">
        <v>1340</v>
      </c>
      <c r="L473" s="23" t="s">
        <v>1964</v>
      </c>
      <c r="M473" s="13" t="s">
        <v>544</v>
      </c>
      <c r="N473" s="13" t="s">
        <v>1342</v>
      </c>
      <c r="O473" s="12" t="s">
        <v>2211</v>
      </c>
      <c r="P473" s="12" t="s">
        <v>1342</v>
      </c>
      <c r="Q473" s="12" t="s">
        <v>1342</v>
      </c>
      <c r="R473" s="13" t="s">
        <v>1342</v>
      </c>
      <c r="S473" s="13" t="s">
        <v>1342</v>
      </c>
      <c r="T473" s="23" t="s">
        <v>1342</v>
      </c>
      <c r="U473" s="13" t="s">
        <v>1342</v>
      </c>
      <c r="V473" s="13" t="s">
        <v>1342</v>
      </c>
      <c r="W473" s="13" t="s">
        <v>1342</v>
      </c>
      <c r="X473" s="12" t="str">
        <f>VLOOKUP($D473,global_toc!$C:$K,7,FALSE)</f>
        <v>79AUG03XX</v>
      </c>
      <c r="Y473" s="12" t="str">
        <f>VLOOKUP($D473,global_toc!$C:$K,8,FALSE)</f>
        <v>11OCT17XA</v>
      </c>
      <c r="Z473" s="12">
        <f>VLOOKUP($D473,global_toc!$C:$K,9,FALSE)</f>
        <v>5029</v>
      </c>
      <c r="AA473" s="19" t="str">
        <f t="shared" si="21"/>
        <v>Half pi - to 17 digits accuracy.</v>
      </c>
    </row>
    <row r="474" spans="1:27" x14ac:dyDescent="0.2">
      <c r="A474" s="12">
        <v>57</v>
      </c>
      <c r="B474" s="12">
        <v>1</v>
      </c>
      <c r="C474" s="12" t="str">
        <f t="shared" si="22"/>
        <v>LIMSTOPS</v>
      </c>
      <c r="D474" s="12" t="s">
        <v>220</v>
      </c>
      <c r="E474" s="12">
        <v>2</v>
      </c>
      <c r="F474" s="12">
        <v>2</v>
      </c>
      <c r="G474" s="12">
        <v>3</v>
      </c>
      <c r="H474" s="12" t="s">
        <v>447</v>
      </c>
      <c r="I474" s="12">
        <v>1</v>
      </c>
      <c r="J474" s="12" t="s">
        <v>222</v>
      </c>
      <c r="K474" s="12" t="s">
        <v>1340</v>
      </c>
      <c r="L474" s="23" t="s">
        <v>1342</v>
      </c>
      <c r="M474" s="13" t="s">
        <v>544</v>
      </c>
      <c r="N474" s="13" t="s">
        <v>1342</v>
      </c>
      <c r="O474" s="12" t="s">
        <v>2211</v>
      </c>
      <c r="P474" s="12" t="s">
        <v>1342</v>
      </c>
      <c r="Q474" s="12" t="s">
        <v>1342</v>
      </c>
      <c r="R474" s="13" t="s">
        <v>1342</v>
      </c>
      <c r="S474" s="13" t="s">
        <v>1342</v>
      </c>
      <c r="T474" s="23" t="s">
        <v>1342</v>
      </c>
      <c r="U474" s="13" t="s">
        <v>1342</v>
      </c>
      <c r="V474" s="13" t="s">
        <v>1342</v>
      </c>
      <c r="W474" s="13" t="s">
        <v>1342</v>
      </c>
      <c r="X474" s="12" t="str">
        <f>VLOOKUP($D474,global_toc!$C:$K,7,FALSE)</f>
        <v>89FEB22DX</v>
      </c>
      <c r="Y474" s="12" t="str">
        <f>VLOOKUP($D474,global_toc!$C:$K,8,FALSE)</f>
        <v>96AUG26XA</v>
      </c>
      <c r="Z474" s="12">
        <f>VLOOKUP($D474,global_toc!$C:$K,9,FALSE)</f>
        <v>7</v>
      </c>
      <c r="AA474" s="19" t="str">
        <f t="shared" si="21"/>
        <v>Antenna limit stops (deg).</v>
      </c>
    </row>
    <row r="475" spans="1:27" x14ac:dyDescent="0.2">
      <c r="A475" s="12">
        <v>61</v>
      </c>
      <c r="B475" s="12">
        <v>1</v>
      </c>
      <c r="C475" s="12" t="str">
        <f t="shared" si="22"/>
        <v>MARISTAT</v>
      </c>
      <c r="D475" s="12" t="s">
        <v>160</v>
      </c>
      <c r="E475" s="12">
        <v>4</v>
      </c>
      <c r="F475" s="12">
        <v>4</v>
      </c>
      <c r="G475" s="12">
        <v>1</v>
      </c>
      <c r="H475" s="12" t="s">
        <v>589</v>
      </c>
      <c r="I475" s="12">
        <v>3</v>
      </c>
      <c r="J475" s="12" t="s">
        <v>161</v>
      </c>
      <c r="K475" s="12" t="s">
        <v>1340</v>
      </c>
      <c r="L475" s="23" t="s">
        <v>1965</v>
      </c>
      <c r="M475" s="13" t="s">
        <v>544</v>
      </c>
      <c r="N475" s="13" t="s">
        <v>1342</v>
      </c>
      <c r="O475" s="12" t="s">
        <v>2211</v>
      </c>
      <c r="P475" s="12" t="s">
        <v>1342</v>
      </c>
      <c r="Q475" s="12" t="s">
        <v>1342</v>
      </c>
      <c r="R475" s="13" t="s">
        <v>1342</v>
      </c>
      <c r="S475" s="13" t="s">
        <v>1342</v>
      </c>
      <c r="T475" s="23" t="s">
        <v>1342</v>
      </c>
      <c r="U475" s="13" t="s">
        <v>1342</v>
      </c>
      <c r="V475" s="13" t="s">
        <v>1342</v>
      </c>
      <c r="W475" s="13" t="s">
        <v>1342</v>
      </c>
      <c r="X475" s="12" t="str">
        <f>VLOOKUP($D475,global_toc!$C:$K,7,FALSE)</f>
        <v>83MAY11X_</v>
      </c>
      <c r="Y475" s="12" t="str">
        <f>VLOOKUP($D475,global_toc!$C:$K,8,FALSE)</f>
        <v>06JAN18XG</v>
      </c>
      <c r="Z475" s="12">
        <f>VLOOKUP($D475,global_toc!$C:$K,9,FALSE)</f>
        <v>1238</v>
      </c>
      <c r="AA475" s="19" t="str">
        <f t="shared" si="21"/>
        <v>Stations with Marini calib</v>
      </c>
    </row>
    <row r="476" spans="1:27" x14ac:dyDescent="0.2">
      <c r="A476" s="12">
        <v>62</v>
      </c>
      <c r="B476" s="12">
        <v>1</v>
      </c>
      <c r="C476" s="12" t="str">
        <f t="shared" si="22"/>
        <v>MCALNAMS</v>
      </c>
      <c r="D476" s="14" t="s">
        <v>722</v>
      </c>
      <c r="E476" s="12">
        <v>4</v>
      </c>
      <c r="F476" s="12">
        <v>15</v>
      </c>
      <c r="G476" s="12">
        <v>1</v>
      </c>
      <c r="H476" s="12" t="s">
        <v>589</v>
      </c>
      <c r="I476" s="12">
        <v>4</v>
      </c>
      <c r="J476" s="12" t="s">
        <v>723</v>
      </c>
      <c r="K476" s="12" t="s">
        <v>1340</v>
      </c>
      <c r="L476" s="21" t="s">
        <v>1346</v>
      </c>
      <c r="M476" s="13" t="s">
        <v>544</v>
      </c>
      <c r="N476" s="13" t="s">
        <v>1342</v>
      </c>
      <c r="O476" s="12" t="s">
        <v>2211</v>
      </c>
      <c r="P476" s="12" t="s">
        <v>1342</v>
      </c>
      <c r="Q476" s="12" t="s">
        <v>1342</v>
      </c>
      <c r="R476" s="13" t="s">
        <v>1342</v>
      </c>
      <c r="S476" s="13" t="s">
        <v>1342</v>
      </c>
      <c r="T476" s="23" t="s">
        <v>1342</v>
      </c>
      <c r="U476" s="13" t="s">
        <v>1342</v>
      </c>
      <c r="V476" s="13" t="s">
        <v>1342</v>
      </c>
      <c r="W476" s="13" t="s">
        <v>1342</v>
      </c>
      <c r="X476" s="12" t="str">
        <f>VLOOKUP($D476,global_toc!$C:$K,7,FALSE)</f>
        <v>79AUG03XX</v>
      </c>
      <c r="Y476" s="12" t="str">
        <f>VLOOKUP($D476,global_toc!$C:$K,8,FALSE)</f>
        <v>11OCT17XA</v>
      </c>
      <c r="Z476" s="12">
        <f>VLOOKUP($D476,global_toc!$C:$K,9,FALSE)</f>
        <v>2370</v>
      </c>
      <c r="AA476" s="19" t="str">
        <f t="shared" si="21"/>
        <v>Mode calibrations names</v>
      </c>
    </row>
    <row r="477" spans="1:27" x14ac:dyDescent="0.2">
      <c r="A477" s="12">
        <v>63</v>
      </c>
      <c r="B477" s="12">
        <v>1</v>
      </c>
      <c r="C477" s="12" t="str">
        <f t="shared" si="22"/>
        <v>MCALSTAT</v>
      </c>
      <c r="D477" s="14" t="s">
        <v>584</v>
      </c>
      <c r="E477" s="12">
        <v>2</v>
      </c>
      <c r="F477" s="12">
        <v>1</v>
      </c>
      <c r="G477" s="12">
        <v>1</v>
      </c>
      <c r="H477" s="12" t="s">
        <v>544</v>
      </c>
      <c r="I477" s="12">
        <v>4</v>
      </c>
      <c r="J477" s="12" t="s">
        <v>585</v>
      </c>
      <c r="K477" s="12" t="s">
        <v>1340</v>
      </c>
      <c r="L477" s="23" t="s">
        <v>1342</v>
      </c>
      <c r="M477" s="13" t="s">
        <v>544</v>
      </c>
      <c r="N477" s="13" t="s">
        <v>1342</v>
      </c>
      <c r="O477" s="12" t="s">
        <v>2211</v>
      </c>
      <c r="P477" s="12" t="s">
        <v>1342</v>
      </c>
      <c r="Q477" s="12" t="s">
        <v>1342</v>
      </c>
      <c r="R477" s="13" t="s">
        <v>1342</v>
      </c>
      <c r="S477" s="13" t="s">
        <v>1342</v>
      </c>
      <c r="T477" s="23" t="s">
        <v>1342</v>
      </c>
      <c r="U477" s="13" t="s">
        <v>1342</v>
      </c>
      <c r="V477" s="13" t="s">
        <v>1342</v>
      </c>
      <c r="W477" s="13" t="s">
        <v>1342</v>
      </c>
      <c r="X477" s="12" t="str">
        <f>VLOOKUP($D477,global_toc!$C:$K,7,FALSE)</f>
        <v>79AUG03XX</v>
      </c>
      <c r="Y477" s="12" t="str">
        <f>VLOOKUP($D477,global_toc!$C:$K,8,FALSE)</f>
        <v>11OCT17XA</v>
      </c>
      <c r="Z477" s="12">
        <f>VLOOKUP($D477,global_toc!$C:$K,9,FALSE)</f>
        <v>2370</v>
      </c>
      <c r="AA477" s="19" t="str">
        <f t="shared" si="21"/>
        <v>Mode calibrations status</v>
      </c>
    </row>
    <row r="478" spans="1:27" x14ac:dyDescent="0.2">
      <c r="A478" s="12">
        <v>64</v>
      </c>
      <c r="B478" s="12">
        <v>1</v>
      </c>
      <c r="C478" s="12" t="str">
        <f t="shared" si="22"/>
        <v>MEANCABL</v>
      </c>
      <c r="D478" s="14" t="s">
        <v>523</v>
      </c>
      <c r="E478" s="12">
        <v>11</v>
      </c>
      <c r="F478" s="12">
        <v>1</v>
      </c>
      <c r="G478" s="12">
        <v>1</v>
      </c>
      <c r="H478" s="12" t="s">
        <v>447</v>
      </c>
      <c r="I478" s="12">
        <v>3</v>
      </c>
      <c r="J478" s="12" t="s">
        <v>524</v>
      </c>
      <c r="K478" s="12" t="s">
        <v>1340</v>
      </c>
      <c r="L478" s="23" t="s">
        <v>1342</v>
      </c>
      <c r="M478" s="13" t="s">
        <v>544</v>
      </c>
      <c r="N478" s="13" t="s">
        <v>1342</v>
      </c>
      <c r="O478" s="12" t="s">
        <v>2211</v>
      </c>
      <c r="P478" s="12" t="s">
        <v>1342</v>
      </c>
      <c r="Q478" s="12" t="s">
        <v>1342</v>
      </c>
      <c r="R478" s="13" t="s">
        <v>1342</v>
      </c>
      <c r="S478" s="13" t="s">
        <v>1342</v>
      </c>
      <c r="T478" s="23" t="s">
        <v>1342</v>
      </c>
      <c r="U478" s="13" t="s">
        <v>1342</v>
      </c>
      <c r="V478" s="13" t="s">
        <v>1342</v>
      </c>
      <c r="W478" s="13" t="s">
        <v>1342</v>
      </c>
      <c r="X478" s="12" t="str">
        <f>VLOOKUP($D478,global_toc!$C:$K,7,FALSE)</f>
        <v>92JUN08XN</v>
      </c>
      <c r="Y478" s="12" t="str">
        <f>VLOOKUP($D478,global_toc!$C:$K,8,FALSE)</f>
        <v>11OCT17XA</v>
      </c>
      <c r="Z478" s="12">
        <f>VLOOKUP($D478,global_toc!$C:$K,9,FALSE)</f>
        <v>2700</v>
      </c>
      <c r="AA478" s="19" t="str">
        <f t="shared" si="21"/>
        <v>Mean cable calibration (seconds)</v>
      </c>
    </row>
    <row r="479" spans="1:27" x14ac:dyDescent="0.2">
      <c r="A479" s="12">
        <v>70</v>
      </c>
      <c r="B479" s="12">
        <v>1</v>
      </c>
      <c r="C479" s="12" t="str">
        <f t="shared" si="22"/>
        <v>PI</v>
      </c>
      <c r="D479" s="14" t="s">
        <v>455</v>
      </c>
      <c r="E479" s="12">
        <v>1</v>
      </c>
      <c r="F479" s="12">
        <v>1</v>
      </c>
      <c r="G479" s="12">
        <v>1</v>
      </c>
      <c r="H479" s="12" t="s">
        <v>447</v>
      </c>
      <c r="I479" s="12">
        <v>1</v>
      </c>
      <c r="J479" s="12" t="s">
        <v>456</v>
      </c>
      <c r="K479" s="12" t="s">
        <v>1340</v>
      </c>
      <c r="L479" s="23" t="s">
        <v>1964</v>
      </c>
      <c r="M479" s="13" t="s">
        <v>544</v>
      </c>
      <c r="N479" s="13" t="s">
        <v>1342</v>
      </c>
      <c r="O479" s="12" t="s">
        <v>2211</v>
      </c>
      <c r="P479" s="12" t="s">
        <v>1342</v>
      </c>
      <c r="Q479" s="12" t="s">
        <v>1342</v>
      </c>
      <c r="R479" s="13" t="s">
        <v>1342</v>
      </c>
      <c r="S479" s="13" t="s">
        <v>1342</v>
      </c>
      <c r="T479" s="23" t="s">
        <v>1342</v>
      </c>
      <c r="U479" s="13" t="s">
        <v>1342</v>
      </c>
      <c r="V479" s="13" t="s">
        <v>1342</v>
      </c>
      <c r="W479" s="13" t="s">
        <v>1342</v>
      </c>
      <c r="X479" s="12" t="str">
        <f>VLOOKUP($D479,global_toc!$C:$K,7,FALSE)</f>
        <v>79AUG03XX</v>
      </c>
      <c r="Y479" s="12" t="str">
        <f>VLOOKUP($D479,global_toc!$C:$K,8,FALSE)</f>
        <v>11OCT17XA</v>
      </c>
      <c r="Z479" s="12">
        <f>VLOOKUP($D479,global_toc!$C:$K,9,FALSE)</f>
        <v>5029</v>
      </c>
      <c r="AA479" s="19" t="str">
        <f t="shared" si="21"/>
        <v>Pi - to 17 digits accuracy.</v>
      </c>
    </row>
    <row r="480" spans="1:27" x14ac:dyDescent="0.2">
      <c r="A480" s="12">
        <v>71</v>
      </c>
      <c r="B480" s="12">
        <v>1</v>
      </c>
      <c r="C480" s="12" t="str">
        <f t="shared" si="22"/>
        <v>PRT FLAG</v>
      </c>
      <c r="D480" s="14" t="s">
        <v>582</v>
      </c>
      <c r="E480" s="12">
        <v>1</v>
      </c>
      <c r="F480" s="12">
        <v>1</v>
      </c>
      <c r="G480" s="12">
        <v>1</v>
      </c>
      <c r="H480" s="12" t="s">
        <v>544</v>
      </c>
      <c r="I480" s="12">
        <v>4</v>
      </c>
      <c r="J480" s="12" t="s">
        <v>583</v>
      </c>
      <c r="K480" s="12" t="s">
        <v>1340</v>
      </c>
      <c r="L480" s="23" t="s">
        <v>1342</v>
      </c>
      <c r="M480" s="13" t="s">
        <v>544</v>
      </c>
      <c r="N480" s="13" t="s">
        <v>1342</v>
      </c>
      <c r="O480" s="12" t="s">
        <v>2211</v>
      </c>
      <c r="P480" s="12" t="s">
        <v>1342</v>
      </c>
      <c r="Q480" s="12" t="s">
        <v>1342</v>
      </c>
      <c r="R480" s="13" t="s">
        <v>1342</v>
      </c>
      <c r="S480" s="13" t="s">
        <v>1342</v>
      </c>
      <c r="T480" s="23" t="s">
        <v>1342</v>
      </c>
      <c r="U480" s="13" t="s">
        <v>1342</v>
      </c>
      <c r="V480" s="13" t="s">
        <v>1342</v>
      </c>
      <c r="W480" s="13" t="s">
        <v>1342</v>
      </c>
      <c r="X480" s="12" t="str">
        <f>VLOOKUP($D480,global_toc!$C:$K,7,FALSE)</f>
        <v>79AUG03XX</v>
      </c>
      <c r="Y480" s="12" t="str">
        <f>VLOOKUP($D480,global_toc!$C:$K,8,FALSE)</f>
        <v>11OCT17XA</v>
      </c>
      <c r="Z480" s="12">
        <f>VLOOKUP($D480,global_toc!$C:$K,9,FALSE)</f>
        <v>3477</v>
      </c>
      <c r="AA480" s="19" t="str">
        <f t="shared" si="21"/>
        <v>Atmosphere partial to be applied</v>
      </c>
    </row>
    <row r="481" spans="1:27" x14ac:dyDescent="0.2">
      <c r="A481" s="12">
        <v>72</v>
      </c>
      <c r="B481" s="12">
        <v>1</v>
      </c>
      <c r="C481" s="12" t="str">
        <f t="shared" si="22"/>
        <v>RAD ASEC</v>
      </c>
      <c r="D481" s="12" t="s">
        <v>1748</v>
      </c>
      <c r="E481" s="12">
        <v>1</v>
      </c>
      <c r="F481" s="12">
        <v>1</v>
      </c>
      <c r="G481" s="12">
        <v>1</v>
      </c>
      <c r="H481" s="12" t="s">
        <v>447</v>
      </c>
      <c r="I481" s="12">
        <v>1</v>
      </c>
      <c r="J481" s="12" t="s">
        <v>2363</v>
      </c>
      <c r="K481" s="12" t="s">
        <v>1340</v>
      </c>
      <c r="L481" s="23" t="s">
        <v>1964</v>
      </c>
      <c r="M481" s="13" t="s">
        <v>544</v>
      </c>
      <c r="N481" s="13" t="s">
        <v>1342</v>
      </c>
      <c r="O481" s="12" t="s">
        <v>2211</v>
      </c>
      <c r="P481" s="12" t="s">
        <v>1342</v>
      </c>
      <c r="Q481" s="12" t="s">
        <v>1342</v>
      </c>
      <c r="R481" s="13" t="s">
        <v>1342</v>
      </c>
      <c r="S481" s="13" t="s">
        <v>1342</v>
      </c>
      <c r="T481" s="23" t="s">
        <v>1342</v>
      </c>
      <c r="U481" s="13" t="s">
        <v>1342</v>
      </c>
      <c r="V481" s="13" t="s">
        <v>1342</v>
      </c>
      <c r="W481" s="13" t="s">
        <v>1342</v>
      </c>
      <c r="X481" s="12" t="str">
        <f>VLOOKUP($D481,global_toc!$C:$K,7,FALSE)</f>
        <v>08APR17XF</v>
      </c>
      <c r="Y481" s="12" t="str">
        <f>VLOOKUP($D481,global_toc!$C:$K,8,FALSE)</f>
        <v>11JUN23XF</v>
      </c>
      <c r="Z481" s="12">
        <f>VLOOKUP($D481,global_toc!$C:$K,9,FALSE)</f>
        <v>26</v>
      </c>
      <c r="AA481" s="19" t="str">
        <f t="shared" si="21"/>
        <v>Radians per arc second .</v>
      </c>
    </row>
    <row r="482" spans="1:27" x14ac:dyDescent="0.2">
      <c r="A482" s="12">
        <v>73</v>
      </c>
      <c r="B482" s="12">
        <v>1</v>
      </c>
      <c r="C482" s="12" t="str">
        <f t="shared" si="22"/>
        <v>RAD DEG</v>
      </c>
      <c r="D482" s="12" t="s">
        <v>1746</v>
      </c>
      <c r="E482" s="12">
        <v>1</v>
      </c>
      <c r="F482" s="12">
        <v>1</v>
      </c>
      <c r="G482" s="12">
        <v>1</v>
      </c>
      <c r="H482" s="12" t="s">
        <v>447</v>
      </c>
      <c r="I482" s="12">
        <v>1</v>
      </c>
      <c r="J482" s="12" t="s">
        <v>2370</v>
      </c>
      <c r="K482" s="12" t="s">
        <v>1340</v>
      </c>
      <c r="L482" s="23" t="s">
        <v>1964</v>
      </c>
      <c r="M482" s="13" t="s">
        <v>544</v>
      </c>
      <c r="N482" s="13" t="s">
        <v>1342</v>
      </c>
      <c r="O482" s="12" t="s">
        <v>2211</v>
      </c>
      <c r="P482" s="12" t="s">
        <v>1342</v>
      </c>
      <c r="Q482" s="12" t="s">
        <v>1342</v>
      </c>
      <c r="R482" s="13" t="s">
        <v>1342</v>
      </c>
      <c r="S482" s="13" t="s">
        <v>1342</v>
      </c>
      <c r="T482" s="23" t="s">
        <v>1342</v>
      </c>
      <c r="U482" s="13" t="s">
        <v>1342</v>
      </c>
      <c r="V482" s="13" t="s">
        <v>1342</v>
      </c>
      <c r="W482" s="13" t="s">
        <v>1342</v>
      </c>
      <c r="X482" s="12" t="str">
        <f>VLOOKUP($D482,global_toc!$C:$K,7,FALSE)</f>
        <v>08APR17XF</v>
      </c>
      <c r="Y482" s="12" t="str">
        <f>VLOOKUP($D482,global_toc!$C:$K,8,FALSE)</f>
        <v>11JUN23XF</v>
      </c>
      <c r="Z482" s="12">
        <f>VLOOKUP($D482,global_toc!$C:$K,9,FALSE)</f>
        <v>26</v>
      </c>
      <c r="AA482" s="19" t="str">
        <f t="shared" si="21"/>
        <v>Radians per degree .</v>
      </c>
    </row>
    <row r="483" spans="1:27" x14ac:dyDescent="0.2">
      <c r="A483" s="12">
        <v>74</v>
      </c>
      <c r="B483" s="12">
        <v>1</v>
      </c>
      <c r="C483" s="12" t="str">
        <f t="shared" si="22"/>
        <v>RAD TSEC</v>
      </c>
      <c r="D483" s="12" t="s">
        <v>1749</v>
      </c>
      <c r="E483" s="12">
        <v>1</v>
      </c>
      <c r="F483" s="12">
        <v>1</v>
      </c>
      <c r="G483" s="12">
        <v>1</v>
      </c>
      <c r="H483" s="12" t="s">
        <v>447</v>
      </c>
      <c r="I483" s="12">
        <v>1</v>
      </c>
      <c r="J483" s="12" t="s">
        <v>2381</v>
      </c>
      <c r="K483" s="12" t="s">
        <v>1340</v>
      </c>
      <c r="L483" s="23" t="s">
        <v>1964</v>
      </c>
      <c r="M483" s="13" t="s">
        <v>544</v>
      </c>
      <c r="N483" s="13" t="s">
        <v>1342</v>
      </c>
      <c r="O483" s="12" t="s">
        <v>2211</v>
      </c>
      <c r="P483" s="12" t="s">
        <v>1342</v>
      </c>
      <c r="Q483" s="12" t="s">
        <v>1342</v>
      </c>
      <c r="R483" s="13" t="s">
        <v>1342</v>
      </c>
      <c r="S483" s="13" t="s">
        <v>1342</v>
      </c>
      <c r="T483" s="23" t="s">
        <v>1342</v>
      </c>
      <c r="U483" s="13" t="s">
        <v>1342</v>
      </c>
      <c r="V483" s="13" t="s">
        <v>1342</v>
      </c>
      <c r="W483" s="13" t="s">
        <v>1342</v>
      </c>
      <c r="X483" s="12" t="str">
        <f>VLOOKUP($D483,global_toc!$C:$K,7,FALSE)</f>
        <v>08APR17XF</v>
      </c>
      <c r="Y483" s="12" t="str">
        <f>VLOOKUP($D483,global_toc!$C:$K,8,FALSE)</f>
        <v>11JUN23XF</v>
      </c>
      <c r="Z483" s="12">
        <f>VLOOKUP($D483,global_toc!$C:$K,9,FALSE)</f>
        <v>26</v>
      </c>
      <c r="AA483" s="19" t="str">
        <f t="shared" si="21"/>
        <v>Radians per time second .</v>
      </c>
    </row>
    <row r="484" spans="1:27" x14ac:dyDescent="0.2">
      <c r="A484" s="12">
        <v>75</v>
      </c>
      <c r="B484" s="12">
        <v>1</v>
      </c>
      <c r="C484" s="12" t="str">
        <f t="shared" si="22"/>
        <v>RAD/ASEC</v>
      </c>
      <c r="D484" s="12" t="s">
        <v>173</v>
      </c>
      <c r="E484" s="12">
        <v>1</v>
      </c>
      <c r="F484" s="12">
        <v>1</v>
      </c>
      <c r="G484" s="12">
        <v>1</v>
      </c>
      <c r="H484" s="12" t="s">
        <v>447</v>
      </c>
      <c r="I484" s="12">
        <v>1</v>
      </c>
      <c r="J484" s="12" t="s">
        <v>2363</v>
      </c>
      <c r="K484" s="12" t="s">
        <v>1340</v>
      </c>
      <c r="L484" s="23" t="s">
        <v>1964</v>
      </c>
      <c r="M484" s="13" t="s">
        <v>544</v>
      </c>
      <c r="N484" s="13" t="s">
        <v>1342</v>
      </c>
      <c r="O484" s="12" t="s">
        <v>2211</v>
      </c>
      <c r="P484" s="12" t="s">
        <v>1342</v>
      </c>
      <c r="Q484" s="12" t="s">
        <v>1342</v>
      </c>
      <c r="R484" s="13" t="s">
        <v>1342</v>
      </c>
      <c r="S484" s="13" t="s">
        <v>1342</v>
      </c>
      <c r="T484" s="23" t="s">
        <v>1342</v>
      </c>
      <c r="U484" s="13" t="s">
        <v>1342</v>
      </c>
      <c r="V484" s="13" t="s">
        <v>1342</v>
      </c>
      <c r="W484" s="13" t="s">
        <v>1342</v>
      </c>
      <c r="X484" s="12" t="str">
        <f>VLOOKUP($D484,global_toc!$C:$K,7,FALSE)</f>
        <v>89FEB22DX</v>
      </c>
      <c r="Y484" s="12" t="str">
        <f>VLOOKUP($D484,global_toc!$C:$K,8,FALSE)</f>
        <v>08MAR13XF</v>
      </c>
      <c r="Z484" s="12">
        <f>VLOOKUP($D484,global_toc!$C:$K,9,FALSE)</f>
        <v>134</v>
      </c>
      <c r="AA484" s="19" t="str">
        <f t="shared" si="21"/>
        <v>Radians per arc second .</v>
      </c>
    </row>
    <row r="485" spans="1:27" x14ac:dyDescent="0.2">
      <c r="A485" s="12">
        <v>76</v>
      </c>
      <c r="B485" s="12">
        <v>1</v>
      </c>
      <c r="C485" s="12" t="str">
        <f t="shared" si="22"/>
        <v>RAD/DEG</v>
      </c>
      <c r="D485" s="14" t="s">
        <v>459</v>
      </c>
      <c r="E485" s="12">
        <v>1</v>
      </c>
      <c r="F485" s="12">
        <v>1</v>
      </c>
      <c r="G485" s="12">
        <v>1</v>
      </c>
      <c r="H485" s="12" t="s">
        <v>447</v>
      </c>
      <c r="I485" s="12">
        <v>1</v>
      </c>
      <c r="J485" s="12" t="s">
        <v>460</v>
      </c>
      <c r="K485" s="12" t="s">
        <v>1340</v>
      </c>
      <c r="L485" s="23" t="s">
        <v>1964</v>
      </c>
      <c r="M485" s="13" t="s">
        <v>544</v>
      </c>
      <c r="N485" s="13" t="s">
        <v>1342</v>
      </c>
      <c r="O485" s="12" t="s">
        <v>2211</v>
      </c>
      <c r="P485" s="12" t="s">
        <v>1342</v>
      </c>
      <c r="Q485" s="12" t="s">
        <v>1342</v>
      </c>
      <c r="R485" s="13" t="s">
        <v>1342</v>
      </c>
      <c r="S485" s="13" t="s">
        <v>1342</v>
      </c>
      <c r="T485" s="23" t="s">
        <v>1342</v>
      </c>
      <c r="U485" s="13" t="s">
        <v>1342</v>
      </c>
      <c r="V485" s="13" t="s">
        <v>1342</v>
      </c>
      <c r="W485" s="13" t="s">
        <v>1342</v>
      </c>
      <c r="X485" s="12" t="str">
        <f>VLOOKUP($D485,global_toc!$C:$K,7,FALSE)</f>
        <v>79AUG03XX</v>
      </c>
      <c r="Y485" s="12" t="str">
        <f>VLOOKUP($D485,global_toc!$C:$K,8,FALSE)</f>
        <v>11OCT17XA</v>
      </c>
      <c r="Z485" s="12">
        <f>VLOOKUP($D485,global_toc!$C:$K,9,FALSE)</f>
        <v>5003</v>
      </c>
      <c r="AA485" s="19" t="str">
        <f t="shared" si="21"/>
        <v>Number of radians per degree.</v>
      </c>
    </row>
    <row r="486" spans="1:27" x14ac:dyDescent="0.2">
      <c r="A486" s="12">
        <v>77</v>
      </c>
      <c r="B486" s="12">
        <v>1</v>
      </c>
      <c r="C486" s="12" t="str">
        <f t="shared" si="22"/>
        <v>RAD/TSEC</v>
      </c>
      <c r="D486" s="12" t="s">
        <v>175</v>
      </c>
      <c r="E486" s="12">
        <v>1</v>
      </c>
      <c r="F486" s="12">
        <v>1</v>
      </c>
      <c r="G486" s="12">
        <v>1</v>
      </c>
      <c r="H486" s="12" t="s">
        <v>447</v>
      </c>
      <c r="I486" s="12">
        <v>1</v>
      </c>
      <c r="J486" s="12" t="s">
        <v>2381</v>
      </c>
      <c r="K486" s="12" t="s">
        <v>1340</v>
      </c>
      <c r="L486" s="23" t="s">
        <v>1964</v>
      </c>
      <c r="M486" s="13" t="s">
        <v>544</v>
      </c>
      <c r="N486" s="13" t="s">
        <v>1342</v>
      </c>
      <c r="O486" s="12" t="s">
        <v>2211</v>
      </c>
      <c r="P486" s="12" t="s">
        <v>1342</v>
      </c>
      <c r="Q486" s="12" t="s">
        <v>1342</v>
      </c>
      <c r="R486" s="13" t="s">
        <v>1342</v>
      </c>
      <c r="S486" s="13" t="s">
        <v>1342</v>
      </c>
      <c r="T486" s="23" t="s">
        <v>1342</v>
      </c>
      <c r="U486" s="13" t="s">
        <v>1342</v>
      </c>
      <c r="V486" s="13" t="s">
        <v>1342</v>
      </c>
      <c r="W486" s="13" t="s">
        <v>1342</v>
      </c>
      <c r="X486" s="12" t="str">
        <f>VLOOKUP($D486,global_toc!$C:$K,7,FALSE)</f>
        <v>89FEB22DX</v>
      </c>
      <c r="Y486" s="12" t="str">
        <f>VLOOKUP($D486,global_toc!$C:$K,8,FALSE)</f>
        <v>08MAR13XF</v>
      </c>
      <c r="Z486" s="12">
        <f>VLOOKUP($D486,global_toc!$C:$K,9,FALSE)</f>
        <v>134</v>
      </c>
      <c r="AA486" s="19" t="str">
        <f t="shared" si="21"/>
        <v>Radians per time second .</v>
      </c>
    </row>
    <row r="487" spans="1:27" x14ac:dyDescent="0.2">
      <c r="A487" s="12">
        <v>79</v>
      </c>
      <c r="B487" s="12">
        <v>1</v>
      </c>
      <c r="C487" s="12" t="str">
        <f t="shared" si="22"/>
        <v>ROTEPOCH</v>
      </c>
      <c r="D487" s="14" t="s">
        <v>509</v>
      </c>
      <c r="E487" s="12">
        <v>2</v>
      </c>
      <c r="F487" s="12">
        <v>2</v>
      </c>
      <c r="G487" s="12">
        <v>1</v>
      </c>
      <c r="H487" s="12" t="s">
        <v>447</v>
      </c>
      <c r="I487" s="12">
        <v>5</v>
      </c>
      <c r="J487" s="12" t="s">
        <v>1677</v>
      </c>
      <c r="K487" s="12" t="s">
        <v>1340</v>
      </c>
      <c r="L487" s="23" t="s">
        <v>1342</v>
      </c>
      <c r="M487" s="13" t="s">
        <v>544</v>
      </c>
      <c r="N487" s="13" t="s">
        <v>1342</v>
      </c>
      <c r="O487" s="12" t="s">
        <v>2211</v>
      </c>
      <c r="P487" s="12" t="s">
        <v>1342</v>
      </c>
      <c r="Q487" s="12" t="s">
        <v>1342</v>
      </c>
      <c r="R487" s="13" t="s">
        <v>1342</v>
      </c>
      <c r="S487" s="13" t="s">
        <v>1342</v>
      </c>
      <c r="T487" s="23" t="s">
        <v>1342</v>
      </c>
      <c r="U487" s="13" t="s">
        <v>1342</v>
      </c>
      <c r="V487" s="13" t="s">
        <v>1342</v>
      </c>
      <c r="W487" s="13" t="s">
        <v>1342</v>
      </c>
      <c r="X487" s="12" t="str">
        <f>VLOOKUP($D487,global_toc!$C:$K,7,FALSE)</f>
        <v>79AUG03XX</v>
      </c>
      <c r="Y487" s="12" t="str">
        <f>VLOOKUP($D487,global_toc!$C:$K,8,FALSE)</f>
        <v>11OCT17XA</v>
      </c>
      <c r="Z487" s="12">
        <f>VLOOKUP($D487,global_toc!$C:$K,9,FALSE)</f>
        <v>5029</v>
      </c>
      <c r="AA487" s="19" t="str">
        <f t="shared" si="21"/>
        <v>UT1 pole interp.reference epochs</v>
      </c>
    </row>
    <row r="488" spans="1:27" x14ac:dyDescent="0.2">
      <c r="A488" s="12">
        <v>80</v>
      </c>
      <c r="B488" s="12">
        <v>1</v>
      </c>
      <c r="C488" s="12" t="str">
        <f t="shared" si="22"/>
        <v>S2FLAG</v>
      </c>
      <c r="D488" s="12" t="s">
        <v>1742</v>
      </c>
      <c r="E488" s="12">
        <v>2</v>
      </c>
      <c r="F488" s="12">
        <v>1</v>
      </c>
      <c r="G488" s="12">
        <v>1</v>
      </c>
      <c r="H488" s="12" t="s">
        <v>589</v>
      </c>
      <c r="I488" s="12">
        <v>3</v>
      </c>
      <c r="J488" s="12" t="s">
        <v>1743</v>
      </c>
      <c r="K488" s="12" t="s">
        <v>1340</v>
      </c>
      <c r="L488" s="23" t="s">
        <v>1342</v>
      </c>
      <c r="M488" s="13" t="s">
        <v>544</v>
      </c>
      <c r="N488" s="13" t="s">
        <v>1342</v>
      </c>
      <c r="O488" s="12" t="s">
        <v>2211</v>
      </c>
      <c r="P488" s="12" t="s">
        <v>1342</v>
      </c>
      <c r="Q488" s="12" t="s">
        <v>1342</v>
      </c>
      <c r="R488" s="13" t="s">
        <v>1342</v>
      </c>
      <c r="S488" s="13" t="s">
        <v>1342</v>
      </c>
      <c r="T488" s="23" t="s">
        <v>1342</v>
      </c>
      <c r="U488" s="13" t="s">
        <v>1342</v>
      </c>
      <c r="V488" s="13" t="s">
        <v>1342</v>
      </c>
      <c r="W488" s="13" t="s">
        <v>1342</v>
      </c>
      <c r="X488" s="12" t="str">
        <f>VLOOKUP($D488,global_toc!$C:$K,7,FALSE)</f>
        <v>02MAR13XG</v>
      </c>
      <c r="Y488" s="12" t="str">
        <f>VLOOKUP($D488,global_toc!$C:$K,8,FALSE)</f>
        <v>06AUG02XG</v>
      </c>
      <c r="Z488" s="12">
        <f>VLOOKUP($D488,global_toc!$C:$K,9,FALSE)</f>
        <v>50</v>
      </c>
      <c r="AA488" s="19" t="str">
        <f t="shared" si="21"/>
        <v>S2 or MKIII Flag</v>
      </c>
    </row>
    <row r="489" spans="1:27" x14ac:dyDescent="0.2">
      <c r="A489" s="12">
        <v>81</v>
      </c>
      <c r="B489" s="12">
        <v>1</v>
      </c>
      <c r="C489" s="12" t="str">
        <f t="shared" si="22"/>
        <v>SIT ELEV</v>
      </c>
      <c r="D489" s="14" t="s">
        <v>521</v>
      </c>
      <c r="E489" s="12">
        <v>11</v>
      </c>
      <c r="F489" s="12">
        <v>1</v>
      </c>
      <c r="G489" s="12">
        <v>1</v>
      </c>
      <c r="H489" s="12" t="s">
        <v>447</v>
      </c>
      <c r="I489" s="12">
        <v>3</v>
      </c>
      <c r="J489" s="12" t="s">
        <v>522</v>
      </c>
      <c r="K489" s="12" t="s">
        <v>1340</v>
      </c>
      <c r="L489" s="23" t="s">
        <v>1967</v>
      </c>
      <c r="M489" s="13" t="s">
        <v>544</v>
      </c>
      <c r="N489" s="13" t="s">
        <v>1342</v>
      </c>
      <c r="O489" s="12" t="s">
        <v>2211</v>
      </c>
      <c r="P489" s="12" t="s">
        <v>1342</v>
      </c>
      <c r="Q489" s="12" t="s">
        <v>1342</v>
      </c>
      <c r="R489" s="13" t="s">
        <v>1342</v>
      </c>
      <c r="S489" s="13" t="s">
        <v>1342</v>
      </c>
      <c r="T489" s="23" t="s">
        <v>1342</v>
      </c>
      <c r="U489" s="13" t="s">
        <v>1342</v>
      </c>
      <c r="V489" s="13" t="s">
        <v>1342</v>
      </c>
      <c r="W489" s="13" t="s">
        <v>1342</v>
      </c>
      <c r="X489" s="12" t="str">
        <f>VLOOKUP($D489,global_toc!$C:$K,7,FALSE)</f>
        <v>80APR11XQ</v>
      </c>
      <c r="Y489" s="12" t="str">
        <f>VLOOKUP($D489,global_toc!$C:$K,8,FALSE)</f>
        <v>07MAY17XE</v>
      </c>
      <c r="Z489" s="12">
        <f>VLOOKUP($D489,global_toc!$C:$K,9,FALSE)</f>
        <v>4136</v>
      </c>
      <c r="AA489" s="19" t="str">
        <f t="shared" si="21"/>
        <v>Height above ellipsoid (meters)</v>
      </c>
    </row>
    <row r="490" spans="1:27" x14ac:dyDescent="0.2">
      <c r="A490" s="12">
        <v>82</v>
      </c>
      <c r="B490" s="12">
        <v>1</v>
      </c>
      <c r="C490" s="12" t="str">
        <f t="shared" si="22"/>
        <v>SIT_KILL</v>
      </c>
      <c r="D490" s="12" t="s">
        <v>211</v>
      </c>
      <c r="E490" s="12">
        <v>5</v>
      </c>
      <c r="F490" s="12">
        <v>1</v>
      </c>
      <c r="G490" s="12">
        <v>1</v>
      </c>
      <c r="H490" s="12" t="s">
        <v>589</v>
      </c>
      <c r="I490" s="12">
        <v>3</v>
      </c>
      <c r="J490" s="12" t="s">
        <v>212</v>
      </c>
      <c r="K490" s="12" t="s">
        <v>1340</v>
      </c>
      <c r="L490" s="23" t="s">
        <v>1342</v>
      </c>
      <c r="M490" s="13" t="s">
        <v>544</v>
      </c>
      <c r="N490" s="13" t="s">
        <v>1342</v>
      </c>
      <c r="O490" s="12" t="s">
        <v>2211</v>
      </c>
      <c r="P490" s="12" t="s">
        <v>1342</v>
      </c>
      <c r="Q490" s="12" t="s">
        <v>1342</v>
      </c>
      <c r="R490" s="13" t="s">
        <v>1342</v>
      </c>
      <c r="S490" s="13" t="s">
        <v>1342</v>
      </c>
      <c r="T490" s="23" t="s">
        <v>1342</v>
      </c>
      <c r="U490" s="13" t="s">
        <v>1342</v>
      </c>
      <c r="V490" s="13" t="s">
        <v>1342</v>
      </c>
      <c r="W490" s="13" t="s">
        <v>1342</v>
      </c>
      <c r="X490" s="12" t="str">
        <f>VLOOKUP($D490,global_toc!$C:$K,7,FALSE)</f>
        <v>80SEP26X_</v>
      </c>
      <c r="Y490" s="12" t="str">
        <f>VLOOKUP($D490,global_toc!$C:$K,8,FALSE)</f>
        <v>00JUL05XE</v>
      </c>
      <c r="Z490" s="12">
        <f>VLOOKUP($D490,global_toc!$C:$K,9,FALSE)</f>
        <v>57</v>
      </c>
      <c r="AA490" s="19" t="str">
        <f t="shared" si="21"/>
        <v>site_killer version date</v>
      </c>
    </row>
    <row r="491" spans="1:27" x14ac:dyDescent="0.2">
      <c r="A491" s="12">
        <v>84</v>
      </c>
      <c r="B491" s="12">
        <v>1</v>
      </c>
      <c r="C491" s="12" t="str">
        <f t="shared" si="22"/>
        <v>SLEWRATS</v>
      </c>
      <c r="D491" s="12" t="s">
        <v>218</v>
      </c>
      <c r="E491" s="12">
        <v>2</v>
      </c>
      <c r="F491" s="12">
        <v>3</v>
      </c>
      <c r="G491" s="12">
        <v>1</v>
      </c>
      <c r="H491" s="12" t="s">
        <v>447</v>
      </c>
      <c r="I491" s="12">
        <v>1</v>
      </c>
      <c r="J491" s="12" t="s">
        <v>219</v>
      </c>
      <c r="K491" s="12" t="s">
        <v>1340</v>
      </c>
      <c r="L491" s="23" t="s">
        <v>1342</v>
      </c>
      <c r="M491" s="13" t="s">
        <v>544</v>
      </c>
      <c r="N491" s="13" t="s">
        <v>1342</v>
      </c>
      <c r="O491" s="12" t="s">
        <v>2211</v>
      </c>
      <c r="P491" s="12" t="s">
        <v>1342</v>
      </c>
      <c r="Q491" s="12" t="s">
        <v>1342</v>
      </c>
      <c r="R491" s="13" t="s">
        <v>1342</v>
      </c>
      <c r="S491" s="13" t="s">
        <v>1342</v>
      </c>
      <c r="T491" s="23" t="s">
        <v>1342</v>
      </c>
      <c r="U491" s="13" t="s">
        <v>1342</v>
      </c>
      <c r="V491" s="13" t="s">
        <v>1342</v>
      </c>
      <c r="W491" s="13" t="s">
        <v>1342</v>
      </c>
      <c r="X491" s="12" t="str">
        <f>VLOOKUP($D491,global_toc!$C:$K,7,FALSE)</f>
        <v>89FEB22DX</v>
      </c>
      <c r="Y491" s="12" t="str">
        <f>VLOOKUP($D491,global_toc!$C:$K,8,FALSE)</f>
        <v>96AUG26XA</v>
      </c>
      <c r="Z491" s="12">
        <f>VLOOKUP($D491,global_toc!$C:$K,9,FALSE)</f>
        <v>7</v>
      </c>
      <c r="AA491" s="19" t="str">
        <f t="shared" si="21"/>
        <v>Antenna slew rates (rad/sec).</v>
      </c>
    </row>
    <row r="492" spans="1:27" x14ac:dyDescent="0.2">
      <c r="A492" s="12">
        <v>85</v>
      </c>
      <c r="B492" s="12">
        <v>1</v>
      </c>
      <c r="C492" s="12" t="str">
        <f t="shared" si="22"/>
        <v>SOL_DATA</v>
      </c>
      <c r="D492" s="12" t="s">
        <v>564</v>
      </c>
      <c r="E492" s="12">
        <v>1</v>
      </c>
      <c r="F492" s="12">
        <v>1</v>
      </c>
      <c r="G492" s="12">
        <v>1</v>
      </c>
      <c r="H492" s="12" t="s">
        <v>544</v>
      </c>
      <c r="I492" s="12">
        <v>2</v>
      </c>
      <c r="J492" s="12" t="s">
        <v>565</v>
      </c>
      <c r="K492" s="12" t="s">
        <v>1340</v>
      </c>
      <c r="L492" s="23" t="s">
        <v>1342</v>
      </c>
      <c r="M492" s="13" t="s">
        <v>544</v>
      </c>
      <c r="N492" s="13" t="s">
        <v>1342</v>
      </c>
      <c r="O492" s="12" t="s">
        <v>2211</v>
      </c>
      <c r="P492" s="12" t="s">
        <v>1342</v>
      </c>
      <c r="Q492" s="12" t="s">
        <v>1342</v>
      </c>
      <c r="R492" s="13" t="s">
        <v>1342</v>
      </c>
      <c r="S492" s="13" t="s">
        <v>1342</v>
      </c>
      <c r="T492" s="23" t="s">
        <v>1342</v>
      </c>
      <c r="U492" s="13" t="s">
        <v>1342</v>
      </c>
      <c r="V492" s="13" t="s">
        <v>1342</v>
      </c>
      <c r="W492" s="13" t="s">
        <v>1342</v>
      </c>
      <c r="X492" s="12" t="str">
        <f>VLOOKUP($D492,global_toc!$C:$K,7,FALSE)</f>
        <v>79AUG03XX</v>
      </c>
      <c r="Y492" s="12" t="str">
        <f>VLOOKUP($D492,global_toc!$C:$K,8,FALSE)</f>
        <v>11OCT17XA</v>
      </c>
      <c r="Z492" s="12">
        <f>VLOOKUP($D492,global_toc!$C:$K,9,FALSE)</f>
        <v>5029</v>
      </c>
      <c r="AA492" s="19" t="str">
        <f t="shared" si="21"/>
        <v>Stnd sol data. IDATYP from SOCOM</v>
      </c>
    </row>
    <row r="493" spans="1:27" x14ac:dyDescent="0.2">
      <c r="A493" s="12">
        <v>86</v>
      </c>
      <c r="B493" s="12">
        <v>1</v>
      </c>
      <c r="C493" s="12" t="str">
        <f t="shared" si="22"/>
        <v>SOLVE_VR</v>
      </c>
      <c r="D493" s="12" t="s">
        <v>230</v>
      </c>
      <c r="E493" s="12">
        <v>1</v>
      </c>
      <c r="F493" s="12">
        <v>1</v>
      </c>
      <c r="G493" s="12">
        <v>1</v>
      </c>
      <c r="H493" s="12" t="s">
        <v>447</v>
      </c>
      <c r="I493" s="12">
        <v>1</v>
      </c>
      <c r="J493" s="12" t="s">
        <v>231</v>
      </c>
      <c r="K493" s="12" t="s">
        <v>1340</v>
      </c>
      <c r="L493" s="23" t="s">
        <v>1342</v>
      </c>
      <c r="M493" s="13" t="s">
        <v>544</v>
      </c>
      <c r="N493" s="13" t="s">
        <v>1342</v>
      </c>
      <c r="O493" s="12" t="s">
        <v>2211</v>
      </c>
      <c r="P493" s="12" t="s">
        <v>1342</v>
      </c>
      <c r="Q493" s="12" t="s">
        <v>1342</v>
      </c>
      <c r="R493" s="13" t="s">
        <v>1342</v>
      </c>
      <c r="S493" s="13" t="s">
        <v>1342</v>
      </c>
      <c r="T493" s="23" t="s">
        <v>1342</v>
      </c>
      <c r="U493" s="13" t="s">
        <v>1342</v>
      </c>
      <c r="V493" s="13" t="s">
        <v>1342</v>
      </c>
      <c r="W493" s="13" t="s">
        <v>1342</v>
      </c>
      <c r="X493" s="12" t="str">
        <f>VLOOKUP($D493,global_toc!$C:$K,7,FALSE)</f>
        <v>94JAN16X_</v>
      </c>
      <c r="Y493" s="12" t="str">
        <f>VLOOKUP($D493,global_toc!$C:$K,8,FALSE)</f>
        <v>94JAN20X_</v>
      </c>
      <c r="Z493" s="12">
        <f>VLOOKUP($D493,global_toc!$C:$K,9,FALSE)</f>
        <v>4</v>
      </c>
      <c r="AA493" s="19" t="str">
        <f t="shared" si="21"/>
        <v>SOLVE system version number</v>
      </c>
    </row>
    <row r="494" spans="1:27" x14ac:dyDescent="0.2">
      <c r="A494" s="12">
        <v>87</v>
      </c>
      <c r="B494" s="12">
        <v>1</v>
      </c>
      <c r="C494" s="12" t="str">
        <f t="shared" si="22"/>
        <v>SUPMET</v>
      </c>
      <c r="D494" s="14" t="s">
        <v>576</v>
      </c>
      <c r="E494" s="12">
        <v>1</v>
      </c>
      <c r="F494" s="12">
        <v>1</v>
      </c>
      <c r="G494" s="12">
        <v>1</v>
      </c>
      <c r="H494" s="12" t="s">
        <v>544</v>
      </c>
      <c r="I494" s="12">
        <v>4</v>
      </c>
      <c r="J494" s="12" t="s">
        <v>577</v>
      </c>
      <c r="K494" s="12" t="s">
        <v>1340</v>
      </c>
      <c r="L494" s="23" t="s">
        <v>1342</v>
      </c>
      <c r="M494" s="13" t="s">
        <v>544</v>
      </c>
      <c r="N494" s="13" t="s">
        <v>1342</v>
      </c>
      <c r="O494" s="12" t="s">
        <v>2211</v>
      </c>
      <c r="P494" s="12" t="s">
        <v>1342</v>
      </c>
      <c r="Q494" s="12" t="s">
        <v>1342</v>
      </c>
      <c r="R494" s="13" t="s">
        <v>1342</v>
      </c>
      <c r="S494" s="13" t="s">
        <v>1342</v>
      </c>
      <c r="T494" s="23" t="s">
        <v>1342</v>
      </c>
      <c r="U494" s="13" t="s">
        <v>1342</v>
      </c>
      <c r="V494" s="13" t="s">
        <v>1342</v>
      </c>
      <c r="W494" s="13" t="s">
        <v>1342</v>
      </c>
      <c r="X494" s="12" t="str">
        <f>VLOOKUP($D494,global_toc!$C:$K,7,FALSE)</f>
        <v>79AUG03XX</v>
      </c>
      <c r="Y494" s="12" t="str">
        <f>VLOOKUP($D494,global_toc!$C:$K,8,FALSE)</f>
        <v>11OCT17XA</v>
      </c>
      <c r="Z494" s="12">
        <f>VLOOKUP($D494,global_toc!$C:$K,9,FALSE)</f>
        <v>2393</v>
      </c>
      <c r="AA494" s="19" t="str">
        <f t="shared" si="21"/>
        <v>Suppression method</v>
      </c>
    </row>
    <row r="495" spans="1:27" x14ac:dyDescent="0.2">
      <c r="A495" s="12">
        <v>88</v>
      </c>
      <c r="B495" s="12">
        <v>1</v>
      </c>
      <c r="C495" s="12" t="str">
        <f t="shared" si="22"/>
        <v>TECTMODL</v>
      </c>
      <c r="D495" s="14" t="s">
        <v>605</v>
      </c>
      <c r="E495" s="12">
        <v>40</v>
      </c>
      <c r="F495" s="12">
        <v>1</v>
      </c>
      <c r="G495" s="12">
        <v>1</v>
      </c>
      <c r="H495" s="12" t="s">
        <v>589</v>
      </c>
      <c r="I495" s="12">
        <v>1</v>
      </c>
      <c r="J495" s="12" t="s">
        <v>606</v>
      </c>
      <c r="K495" s="12" t="s">
        <v>1340</v>
      </c>
      <c r="L495" s="23" t="s">
        <v>1965</v>
      </c>
      <c r="M495" s="13" t="s">
        <v>544</v>
      </c>
      <c r="N495" s="13" t="s">
        <v>1342</v>
      </c>
      <c r="O495" s="12" t="s">
        <v>2211</v>
      </c>
      <c r="P495" s="12" t="s">
        <v>1342</v>
      </c>
      <c r="Q495" s="12" t="s">
        <v>1342</v>
      </c>
      <c r="R495" s="13" t="s">
        <v>1342</v>
      </c>
      <c r="S495" s="13" t="s">
        <v>1342</v>
      </c>
      <c r="T495" s="23" t="s">
        <v>1342</v>
      </c>
      <c r="U495" s="13" t="s">
        <v>1342</v>
      </c>
      <c r="V495" s="13" t="s">
        <v>1342</v>
      </c>
      <c r="W495" s="13" t="s">
        <v>1342</v>
      </c>
      <c r="X495" s="12" t="str">
        <f>VLOOKUP($D495,global_toc!$C:$K,7,FALSE)</f>
        <v>79AUG03XX</v>
      </c>
      <c r="Y495" s="12" t="str">
        <f>VLOOKUP($D495,global_toc!$C:$K,8,FALSE)</f>
        <v>11OCT17XA</v>
      </c>
      <c r="Z495" s="12">
        <f>VLOOKUP($D495,global_toc!$C:$K,9,FALSE)</f>
        <v>4920</v>
      </c>
      <c r="AA495" s="19" t="str">
        <f t="shared" si="21"/>
        <v>Default tectonic plate modelname</v>
      </c>
    </row>
    <row r="496" spans="1:27" x14ac:dyDescent="0.2">
      <c r="A496" s="12">
        <v>90</v>
      </c>
      <c r="B496" s="12">
        <v>1</v>
      </c>
      <c r="C496" s="12" t="str">
        <f t="shared" si="22"/>
        <v>TSEC/AU</v>
      </c>
      <c r="D496" s="14" t="s">
        <v>473</v>
      </c>
      <c r="E496" s="12">
        <v>1</v>
      </c>
      <c r="F496" s="12">
        <v>1</v>
      </c>
      <c r="G496" s="12">
        <v>1</v>
      </c>
      <c r="H496" s="12" t="s">
        <v>447</v>
      </c>
      <c r="I496" s="12">
        <v>1</v>
      </c>
      <c r="J496" s="12" t="s">
        <v>474</v>
      </c>
      <c r="K496" s="12" t="s">
        <v>1340</v>
      </c>
      <c r="L496" s="23" t="s">
        <v>1964</v>
      </c>
      <c r="M496" s="13" t="s">
        <v>544</v>
      </c>
      <c r="N496" s="13" t="s">
        <v>1342</v>
      </c>
      <c r="O496" s="12" t="s">
        <v>2211</v>
      </c>
      <c r="P496" s="12" t="s">
        <v>1342</v>
      </c>
      <c r="Q496" s="12" t="s">
        <v>1342</v>
      </c>
      <c r="R496" s="13" t="s">
        <v>1342</v>
      </c>
      <c r="S496" s="13" t="s">
        <v>1342</v>
      </c>
      <c r="T496" s="23" t="s">
        <v>1342</v>
      </c>
      <c r="U496" s="13" t="s">
        <v>1342</v>
      </c>
      <c r="V496" s="13" t="s">
        <v>1342</v>
      </c>
      <c r="W496" s="13" t="s">
        <v>1342</v>
      </c>
      <c r="X496" s="12" t="str">
        <f>VLOOKUP($D496,global_toc!$C:$K,7,FALSE)</f>
        <v>79AUG03XX</v>
      </c>
      <c r="Y496" s="12" t="str">
        <f>VLOOKUP($D496,global_toc!$C:$K,8,FALSE)</f>
        <v>11OCT17XA</v>
      </c>
      <c r="Z496" s="12">
        <f>VLOOKUP($D496,global_toc!$C:$K,9,FALSE)</f>
        <v>5029</v>
      </c>
      <c r="AA496" s="19" t="str">
        <f t="shared" si="21"/>
        <v>Number of seconds per A.U.</v>
      </c>
    </row>
    <row r="497" spans="1:27" x14ac:dyDescent="0.2">
      <c r="A497" s="12">
        <v>91</v>
      </c>
      <c r="B497" s="12">
        <v>1</v>
      </c>
      <c r="C497" s="12" t="str">
        <f t="shared" si="22"/>
        <v>TSEC/DAY</v>
      </c>
      <c r="D497" s="12" t="s">
        <v>177</v>
      </c>
      <c r="E497" s="12">
        <v>1</v>
      </c>
      <c r="F497" s="12">
        <v>1</v>
      </c>
      <c r="G497" s="12">
        <v>1</v>
      </c>
      <c r="H497" s="12" t="s">
        <v>447</v>
      </c>
      <c r="I497" s="12">
        <v>1</v>
      </c>
      <c r="J497" s="12" t="s">
        <v>2371</v>
      </c>
      <c r="K497" s="12" t="s">
        <v>1340</v>
      </c>
      <c r="L497" s="23" t="s">
        <v>1964</v>
      </c>
      <c r="M497" s="13" t="s">
        <v>544</v>
      </c>
      <c r="N497" s="13" t="s">
        <v>1342</v>
      </c>
      <c r="O497" s="12" t="s">
        <v>2211</v>
      </c>
      <c r="P497" s="12" t="s">
        <v>1342</v>
      </c>
      <c r="Q497" s="12" t="s">
        <v>1342</v>
      </c>
      <c r="R497" s="13" t="s">
        <v>1342</v>
      </c>
      <c r="S497" s="13" t="s">
        <v>1342</v>
      </c>
      <c r="T497" s="23" t="s">
        <v>1342</v>
      </c>
      <c r="U497" s="13" t="s">
        <v>1342</v>
      </c>
      <c r="V497" s="13" t="s">
        <v>1342</v>
      </c>
      <c r="W497" s="13" t="s">
        <v>1342</v>
      </c>
      <c r="X497" s="12" t="str">
        <f>VLOOKUP($D497,global_toc!$C:$K,7,FALSE)</f>
        <v>89FEB22DX</v>
      </c>
      <c r="Y497" s="12" t="str">
        <f>VLOOKUP($D497,global_toc!$C:$K,8,FALSE)</f>
        <v>11JUN23XF</v>
      </c>
      <c r="Z497" s="12">
        <f>VLOOKUP($D497,global_toc!$C:$K,9,FALSE)</f>
        <v>160</v>
      </c>
      <c r="AA497" s="19" t="str">
        <f t="shared" si="21"/>
        <v>Second per day .</v>
      </c>
    </row>
    <row r="498" spans="1:27" x14ac:dyDescent="0.2">
      <c r="A498" s="12">
        <v>92</v>
      </c>
      <c r="B498" s="12">
        <v>1</v>
      </c>
      <c r="C498" s="12" t="str">
        <f t="shared" si="22"/>
        <v>TWOPI</v>
      </c>
      <c r="D498" s="12" t="s">
        <v>171</v>
      </c>
      <c r="E498" s="12">
        <v>1</v>
      </c>
      <c r="F498" s="12">
        <v>1</v>
      </c>
      <c r="G498" s="12">
        <v>1</v>
      </c>
      <c r="H498" s="12" t="s">
        <v>447</v>
      </c>
      <c r="I498" s="12">
        <v>1</v>
      </c>
      <c r="J498" s="12" t="s">
        <v>2372</v>
      </c>
      <c r="K498" s="12" t="s">
        <v>1340</v>
      </c>
      <c r="L498" s="23" t="s">
        <v>1964</v>
      </c>
      <c r="M498" s="13" t="s">
        <v>544</v>
      </c>
      <c r="N498" s="13" t="s">
        <v>1342</v>
      </c>
      <c r="O498" s="12" t="s">
        <v>2211</v>
      </c>
      <c r="P498" s="12" t="s">
        <v>1342</v>
      </c>
      <c r="Q498" s="12" t="s">
        <v>1342</v>
      </c>
      <c r="R498" s="13" t="s">
        <v>1342</v>
      </c>
      <c r="S498" s="13" t="s">
        <v>1342</v>
      </c>
      <c r="T498" s="23" t="s">
        <v>1342</v>
      </c>
      <c r="U498" s="13" t="s">
        <v>1342</v>
      </c>
      <c r="V498" s="13" t="s">
        <v>1342</v>
      </c>
      <c r="W498" s="13" t="s">
        <v>1342</v>
      </c>
      <c r="X498" s="12" t="str">
        <f>VLOOKUP($D498,global_toc!$C:$K,7,FALSE)</f>
        <v>89FEB22DX</v>
      </c>
      <c r="Y498" s="12" t="str">
        <f>VLOOKUP($D498,global_toc!$C:$K,8,FALSE)</f>
        <v>11JUN23XF</v>
      </c>
      <c r="Z498" s="12">
        <f>VLOOKUP($D498,global_toc!$C:$K,9,FALSE)</f>
        <v>160</v>
      </c>
      <c r="AA498" s="19" t="str">
        <f t="shared" si="21"/>
        <v>TWO PI .</v>
      </c>
    </row>
    <row r="499" spans="1:27" x14ac:dyDescent="0.2">
      <c r="A499" s="12">
        <v>93</v>
      </c>
      <c r="B499" s="12">
        <v>1</v>
      </c>
      <c r="C499" s="12" t="str">
        <f t="shared" si="22"/>
        <v>U-GRV-CN</v>
      </c>
      <c r="D499" s="14" t="s">
        <v>479</v>
      </c>
      <c r="E499" s="12">
        <v>1</v>
      </c>
      <c r="F499" s="12">
        <v>1</v>
      </c>
      <c r="G499" s="12">
        <v>1</v>
      </c>
      <c r="H499" s="12" t="s">
        <v>447</v>
      </c>
      <c r="I499" s="12">
        <v>1</v>
      </c>
      <c r="J499" s="12" t="s">
        <v>480</v>
      </c>
      <c r="K499" s="12" t="s">
        <v>1340</v>
      </c>
      <c r="L499" s="23" t="s">
        <v>1964</v>
      </c>
      <c r="M499" s="13" t="s">
        <v>544</v>
      </c>
      <c r="N499" s="13" t="s">
        <v>1342</v>
      </c>
      <c r="O499" s="12" t="s">
        <v>2211</v>
      </c>
      <c r="P499" s="12" t="s">
        <v>1342</v>
      </c>
      <c r="Q499" s="12" t="s">
        <v>1342</v>
      </c>
      <c r="R499" s="13" t="s">
        <v>1342</v>
      </c>
      <c r="S499" s="13" t="s">
        <v>1342</v>
      </c>
      <c r="T499" s="23" t="s">
        <v>1342</v>
      </c>
      <c r="U499" s="13" t="s">
        <v>1342</v>
      </c>
      <c r="V499" s="13" t="s">
        <v>1342</v>
      </c>
      <c r="W499" s="13" t="s">
        <v>1342</v>
      </c>
      <c r="X499" s="12" t="str">
        <f>VLOOKUP($D499,global_toc!$C:$K,7,FALSE)</f>
        <v>79AUG03XX</v>
      </c>
      <c r="Y499" s="12" t="str">
        <f>VLOOKUP($D499,global_toc!$C:$K,8,FALSE)</f>
        <v>11OCT17XA</v>
      </c>
      <c r="Z499" s="12">
        <f>VLOOKUP($D499,global_toc!$C:$K,9,FALSE)</f>
        <v>5029</v>
      </c>
      <c r="AA499" s="19" t="str">
        <f t="shared" si="21"/>
        <v>Universal grav con m^3/kg*s^3.</v>
      </c>
    </row>
    <row r="500" spans="1:27" x14ac:dyDescent="0.2">
      <c r="A500" s="12">
        <v>98</v>
      </c>
      <c r="B500" s="12">
        <v>1</v>
      </c>
      <c r="C500" s="12" t="str">
        <f t="shared" si="22"/>
        <v>VLIGHT</v>
      </c>
      <c r="D500" s="14" t="s">
        <v>461</v>
      </c>
      <c r="E500" s="12">
        <v>1</v>
      </c>
      <c r="F500" s="12">
        <v>1</v>
      </c>
      <c r="G500" s="12">
        <v>1</v>
      </c>
      <c r="H500" s="12" t="s">
        <v>447</v>
      </c>
      <c r="I500" s="12">
        <v>1</v>
      </c>
      <c r="J500" s="12" t="s">
        <v>462</v>
      </c>
      <c r="K500" s="12" t="s">
        <v>1340</v>
      </c>
      <c r="L500" s="23" t="s">
        <v>1964</v>
      </c>
      <c r="M500" s="13" t="s">
        <v>544</v>
      </c>
      <c r="N500" s="13" t="s">
        <v>1342</v>
      </c>
      <c r="O500" s="12" t="s">
        <v>2211</v>
      </c>
      <c r="P500" s="12" t="s">
        <v>1342</v>
      </c>
      <c r="Q500" s="12" t="s">
        <v>1342</v>
      </c>
      <c r="R500" s="13" t="s">
        <v>1342</v>
      </c>
      <c r="S500" s="13" t="s">
        <v>1342</v>
      </c>
      <c r="T500" s="23" t="s">
        <v>1342</v>
      </c>
      <c r="U500" s="13" t="s">
        <v>1342</v>
      </c>
      <c r="V500" s="13" t="s">
        <v>1342</v>
      </c>
      <c r="W500" s="13" t="s">
        <v>1342</v>
      </c>
      <c r="X500" s="12" t="str">
        <f>VLOOKUP($D500,global_toc!$C:$K,7,FALSE)</f>
        <v>79AUG03XX</v>
      </c>
      <c r="Y500" s="12" t="str">
        <f>VLOOKUP($D500,global_toc!$C:$K,8,FALSE)</f>
        <v>11OCT17XA</v>
      </c>
      <c r="Z500" s="12">
        <f>VLOOKUP($D500,global_toc!$C:$K,9,FALSE)</f>
        <v>5029</v>
      </c>
      <c r="AA500" s="19" t="str">
        <f t="shared" si="21"/>
        <v>The speed of light (m/sec).</v>
      </c>
    </row>
    <row r="501" spans="1:27" x14ac:dyDescent="0.2">
      <c r="A501" s="12">
        <v>99</v>
      </c>
      <c r="B501" s="12">
        <v>1</v>
      </c>
      <c r="C501" s="12" t="str">
        <f t="shared" si="22"/>
        <v>WBEPOCH</v>
      </c>
      <c r="D501" s="12" t="s">
        <v>278</v>
      </c>
      <c r="E501" s="12">
        <v>1</v>
      </c>
      <c r="F501" s="12">
        <v>1</v>
      </c>
      <c r="G501" s="12">
        <v>1</v>
      </c>
      <c r="H501" s="12" t="s">
        <v>447</v>
      </c>
      <c r="I501" s="12">
        <v>1</v>
      </c>
      <c r="J501" s="12" t="s">
        <v>279</v>
      </c>
      <c r="K501" s="12" t="s">
        <v>1340</v>
      </c>
      <c r="L501" s="23" t="s">
        <v>1965</v>
      </c>
      <c r="M501" s="13" t="s">
        <v>544</v>
      </c>
      <c r="N501" s="13" t="s">
        <v>1342</v>
      </c>
      <c r="O501" s="12" t="s">
        <v>2211</v>
      </c>
      <c r="P501" s="12" t="s">
        <v>1342</v>
      </c>
      <c r="Q501" s="12" t="s">
        <v>1342</v>
      </c>
      <c r="R501" s="13" t="s">
        <v>1342</v>
      </c>
      <c r="S501" s="13" t="s">
        <v>1342</v>
      </c>
      <c r="T501" s="23" t="s">
        <v>1342</v>
      </c>
      <c r="U501" s="13" t="s">
        <v>1342</v>
      </c>
      <c r="V501" s="13" t="s">
        <v>1342</v>
      </c>
      <c r="W501" s="13" t="s">
        <v>1342</v>
      </c>
      <c r="X501" s="12" t="str">
        <f>VLOOKUP($D501,global_toc!$C:$K,7,FALSE)</f>
        <v>80OCT16X_</v>
      </c>
      <c r="Y501" s="12" t="str">
        <f>VLOOKUP($D501,global_toc!$C:$K,8,FALSE)</f>
        <v>81JUN16X_</v>
      </c>
      <c r="Z501" s="12">
        <f>VLOOKUP($D501,global_toc!$C:$K,9,FALSE)</f>
        <v>12</v>
      </c>
      <c r="AA501" s="19" t="str">
        <f t="shared" si="21"/>
        <v>LIST OF SITE NMES FOR EPOCHS</v>
      </c>
    </row>
    <row r="502" spans="1:27" x14ac:dyDescent="0.2">
      <c r="A502" s="12">
        <v>100</v>
      </c>
      <c r="B502" s="12">
        <v>1</v>
      </c>
      <c r="C502" s="12" t="str">
        <f t="shared" si="22"/>
        <v>WVR STAT</v>
      </c>
      <c r="D502" s="12" t="s">
        <v>17</v>
      </c>
      <c r="E502" s="12">
        <v>4</v>
      </c>
      <c r="F502" s="12">
        <v>5</v>
      </c>
      <c r="G502" s="12">
        <v>1</v>
      </c>
      <c r="H502" s="12" t="s">
        <v>589</v>
      </c>
      <c r="I502" s="12">
        <v>3</v>
      </c>
      <c r="J502" s="12" t="s">
        <v>2383</v>
      </c>
      <c r="K502" s="12" t="s">
        <v>1340</v>
      </c>
      <c r="L502" s="23" t="s">
        <v>1342</v>
      </c>
      <c r="M502" s="13" t="s">
        <v>544</v>
      </c>
      <c r="N502" s="13" t="s">
        <v>1342</v>
      </c>
      <c r="O502" s="12" t="s">
        <v>2211</v>
      </c>
      <c r="P502" s="12" t="s">
        <v>1342</v>
      </c>
      <c r="Q502" s="12" t="s">
        <v>1342</v>
      </c>
      <c r="R502" s="13" t="s">
        <v>1342</v>
      </c>
      <c r="S502" s="13" t="s">
        <v>1342</v>
      </c>
      <c r="T502" s="23" t="s">
        <v>1342</v>
      </c>
      <c r="U502" s="13" t="s">
        <v>1342</v>
      </c>
      <c r="V502" s="13" t="s">
        <v>1342</v>
      </c>
      <c r="W502" s="13" t="s">
        <v>1342</v>
      </c>
      <c r="X502" s="12" t="str">
        <f>VLOOKUP($D502,global_toc!$C:$K,7,FALSE)</f>
        <v>80SEP29X_</v>
      </c>
      <c r="Y502" s="12" t="str">
        <f>VLOOKUP($D502,global_toc!$C:$K,8,FALSE)</f>
        <v>91MAR25DX</v>
      </c>
      <c r="Z502" s="12">
        <f>VLOOKUP($D502,global_toc!$C:$K,9,FALSE)</f>
        <v>316</v>
      </c>
      <c r="AA502" s="19" t="str">
        <f t="shared" si="21"/>
        <v>Stations with WVR calib .</v>
      </c>
    </row>
    <row r="503" spans="1:27" x14ac:dyDescent="0.2">
      <c r="A503" s="12">
        <v>254</v>
      </c>
      <c r="B503" s="12">
        <v>1</v>
      </c>
      <c r="C503" s="12" t="str">
        <f t="shared" si="22"/>
        <v>A1minusTAI</v>
      </c>
      <c r="D503" s="14" t="s">
        <v>507</v>
      </c>
      <c r="E503" s="12">
        <v>3</v>
      </c>
      <c r="F503" s="12">
        <v>1</v>
      </c>
      <c r="G503" s="12">
        <v>1</v>
      </c>
      <c r="H503" s="12" t="s">
        <v>447</v>
      </c>
      <c r="I503" s="12">
        <v>5</v>
      </c>
      <c r="J503" s="12" t="s">
        <v>508</v>
      </c>
      <c r="K503" s="12" t="s">
        <v>1340</v>
      </c>
      <c r="L503" s="23" t="s">
        <v>1964</v>
      </c>
      <c r="M503" s="13" t="s">
        <v>544</v>
      </c>
      <c r="N503" s="13" t="s">
        <v>1342</v>
      </c>
      <c r="O503" s="12" t="s">
        <v>2211</v>
      </c>
      <c r="P503" s="12" t="s">
        <v>2111</v>
      </c>
      <c r="Q503" s="12" t="s">
        <v>1342</v>
      </c>
      <c r="R503" s="13" t="s">
        <v>2067</v>
      </c>
      <c r="S503" s="13" t="s">
        <v>1342</v>
      </c>
      <c r="T503" s="23" t="s">
        <v>1342</v>
      </c>
      <c r="U503" s="13" t="s">
        <v>1342</v>
      </c>
      <c r="V503" s="13" t="s">
        <v>1651</v>
      </c>
      <c r="W503" s="13" t="s">
        <v>1342</v>
      </c>
      <c r="X503" s="12" t="str">
        <f>VLOOKUP($D503,global_toc!$C:$K,7,FALSE)</f>
        <v>79AUG03XX</v>
      </c>
      <c r="Y503" s="12" t="str">
        <f>VLOOKUP($D503,global_toc!$C:$K,8,FALSE)</f>
        <v>11OCT17XA</v>
      </c>
      <c r="Z503" s="12">
        <f>VLOOKUP($D503,global_toc!$C:$K,9,FALSE)</f>
        <v>5029</v>
      </c>
      <c r="AA503" s="19" t="str">
        <f t="shared" si="21"/>
        <v>TAI USNO- TAI BIH = 0.03439 sec.</v>
      </c>
    </row>
    <row r="504" spans="1:27" x14ac:dyDescent="0.2">
      <c r="A504" s="12">
        <v>255</v>
      </c>
      <c r="B504" s="12">
        <v>1</v>
      </c>
      <c r="C504" s="12" t="str">
        <f t="shared" si="22"/>
        <v>A1minusUTC</v>
      </c>
      <c r="D504" s="14" t="s">
        <v>503</v>
      </c>
      <c r="E504" s="12">
        <v>3</v>
      </c>
      <c r="F504" s="12">
        <v>1</v>
      </c>
      <c r="G504" s="12">
        <v>1</v>
      </c>
      <c r="H504" s="12" t="s">
        <v>447</v>
      </c>
      <c r="I504" s="12">
        <v>5</v>
      </c>
      <c r="J504" s="12" t="s">
        <v>1676</v>
      </c>
      <c r="K504" s="12" t="s">
        <v>1340</v>
      </c>
      <c r="L504" s="23" t="s">
        <v>1342</v>
      </c>
      <c r="M504" s="13" t="s">
        <v>544</v>
      </c>
      <c r="N504" s="13" t="s">
        <v>1342</v>
      </c>
      <c r="O504" s="12" t="s">
        <v>2211</v>
      </c>
      <c r="P504" s="12" t="s">
        <v>2111</v>
      </c>
      <c r="Q504" s="12" t="s">
        <v>1342</v>
      </c>
      <c r="R504" s="13" t="s">
        <v>2068</v>
      </c>
      <c r="S504" s="13" t="s">
        <v>1342</v>
      </c>
      <c r="T504" s="23" t="s">
        <v>1342</v>
      </c>
      <c r="U504" s="13" t="s">
        <v>1342</v>
      </c>
      <c r="V504" s="13" t="s">
        <v>1651</v>
      </c>
      <c r="W504" s="13" t="s">
        <v>1342</v>
      </c>
      <c r="X504" s="12" t="str">
        <f>VLOOKUP($D504,global_toc!$C:$K,7,FALSE)</f>
        <v>79AUG03XX</v>
      </c>
      <c r="Y504" s="12" t="str">
        <f>VLOOKUP($D504,global_toc!$C:$K,8,FALSE)</f>
        <v>11OCT17XA</v>
      </c>
      <c r="Z504" s="12">
        <f>VLOOKUP($D504,global_toc!$C:$K,9,FALSE)</f>
        <v>5029</v>
      </c>
      <c r="AA504" s="19" t="str">
        <f t="shared" si="21"/>
        <v>FJD  A1-UTC (sec) rate off.(sec)</v>
      </c>
    </row>
    <row r="505" spans="1:27" x14ac:dyDescent="0.2">
      <c r="A505" s="12">
        <v>58</v>
      </c>
      <c r="B505" s="12">
        <v>2</v>
      </c>
      <c r="C505" s="12" t="str">
        <f t="shared" si="22"/>
        <v>MARI.ATM</v>
      </c>
      <c r="D505" s="12" t="s">
        <v>316</v>
      </c>
      <c r="E505" s="12">
        <v>2</v>
      </c>
      <c r="F505" s="12">
        <v>2</v>
      </c>
      <c r="G505" s="12">
        <v>2</v>
      </c>
      <c r="H505" s="12" t="s">
        <v>447</v>
      </c>
      <c r="I505" s="12">
        <v>1</v>
      </c>
      <c r="J505" s="12" t="s">
        <v>317</v>
      </c>
      <c r="K505" s="12" t="s">
        <v>438</v>
      </c>
      <c r="L505" s="23" t="s">
        <v>1342</v>
      </c>
      <c r="M505" s="13" t="s">
        <v>544</v>
      </c>
      <c r="N505" s="13" t="s">
        <v>1342</v>
      </c>
      <c r="O505" s="12" t="s">
        <v>2211</v>
      </c>
      <c r="P505" s="12" t="s">
        <v>1342</v>
      </c>
      <c r="Q505" s="12" t="s">
        <v>1342</v>
      </c>
      <c r="R505" s="13" t="s">
        <v>1342</v>
      </c>
      <c r="S505" s="13" t="s">
        <v>1342</v>
      </c>
      <c r="T505" s="23" t="s">
        <v>1342</v>
      </c>
      <c r="U505" s="13" t="s">
        <v>1342</v>
      </c>
      <c r="V505" s="13" t="s">
        <v>1342</v>
      </c>
      <c r="W505" s="13" t="s">
        <v>1342</v>
      </c>
      <c r="X505" s="12" t="str">
        <f>VLOOKUP($D505,global_toc!$C:$K,7,FALSE)</f>
        <v>83MAY11X_</v>
      </c>
      <c r="Y505" s="12" t="str">
        <f>VLOOKUP($D505,global_toc!$C:$K,8,FALSE)</f>
        <v>06JAN18XG</v>
      </c>
      <c r="Z505" s="12">
        <f>VLOOKUP($D505,global_toc!$C:$K,9,FALSE)</f>
        <v>1228</v>
      </c>
      <c r="AA505" s="19" t="str">
        <f t="shared" si="21"/>
        <v>Marini ATM Model</v>
      </c>
    </row>
    <row r="506" spans="1:27" x14ac:dyDescent="0.2">
      <c r="A506" s="12">
        <v>59</v>
      </c>
      <c r="B506" s="12">
        <v>2</v>
      </c>
      <c r="C506" s="12" t="str">
        <f t="shared" si="22"/>
        <v>MARI.DRY</v>
      </c>
      <c r="D506" s="12" t="s">
        <v>318</v>
      </c>
      <c r="E506" s="12">
        <v>2</v>
      </c>
      <c r="F506" s="12">
        <v>2</v>
      </c>
      <c r="G506" s="12">
        <v>2</v>
      </c>
      <c r="H506" s="12" t="s">
        <v>447</v>
      </c>
      <c r="I506" s="12">
        <v>1</v>
      </c>
      <c r="J506" s="12" t="s">
        <v>319</v>
      </c>
      <c r="K506" s="12" t="s">
        <v>438</v>
      </c>
      <c r="L506" s="23" t="s">
        <v>1342</v>
      </c>
      <c r="M506" s="13" t="s">
        <v>544</v>
      </c>
      <c r="N506" s="13" t="s">
        <v>1342</v>
      </c>
      <c r="O506" s="12" t="s">
        <v>2211</v>
      </c>
      <c r="P506" s="12" t="s">
        <v>1342</v>
      </c>
      <c r="Q506" s="12" t="s">
        <v>1342</v>
      </c>
      <c r="R506" s="13" t="s">
        <v>1342</v>
      </c>
      <c r="S506" s="13" t="s">
        <v>1342</v>
      </c>
      <c r="T506" s="23" t="s">
        <v>1342</v>
      </c>
      <c r="U506" s="13" t="s">
        <v>1342</v>
      </c>
      <c r="V506" s="13" t="s">
        <v>1342</v>
      </c>
      <c r="W506" s="13" t="s">
        <v>1342</v>
      </c>
      <c r="X506" s="12" t="str">
        <f>VLOOKUP($D506,global_toc!$C:$K,7,FALSE)</f>
        <v>83MAY11X_</v>
      </c>
      <c r="Y506" s="12" t="str">
        <f>VLOOKUP($D506,global_toc!$C:$K,8,FALSE)</f>
        <v>06JAN18XG</v>
      </c>
      <c r="Z506" s="12">
        <f>VLOOKUP($D506,global_toc!$C:$K,9,FALSE)</f>
        <v>1228</v>
      </c>
      <c r="AA506" s="19" t="str">
        <f t="shared" si="21"/>
        <v>Dry Marini atmosphere</v>
      </c>
    </row>
    <row r="507" spans="1:27" x14ac:dyDescent="0.2">
      <c r="A507" s="12">
        <v>60</v>
      </c>
      <c r="B507" s="12">
        <v>2</v>
      </c>
      <c r="C507" s="12" t="str">
        <f t="shared" si="22"/>
        <v>MARI.WET</v>
      </c>
      <c r="D507" s="12" t="s">
        <v>410</v>
      </c>
      <c r="E507" s="12">
        <v>2</v>
      </c>
      <c r="F507" s="12">
        <v>2</v>
      </c>
      <c r="G507" s="12">
        <v>2</v>
      </c>
      <c r="H507" s="12" t="s">
        <v>447</v>
      </c>
      <c r="I507" s="12">
        <v>1</v>
      </c>
      <c r="J507" s="12" t="s">
        <v>411</v>
      </c>
      <c r="K507" s="12" t="s">
        <v>438</v>
      </c>
      <c r="L507" s="23" t="s">
        <v>1342</v>
      </c>
      <c r="M507" s="13" t="s">
        <v>544</v>
      </c>
      <c r="N507" s="13" t="s">
        <v>1342</v>
      </c>
      <c r="O507" s="12" t="s">
        <v>2211</v>
      </c>
      <c r="P507" s="12" t="s">
        <v>1342</v>
      </c>
      <c r="Q507" s="12" t="s">
        <v>1342</v>
      </c>
      <c r="R507" s="13" t="s">
        <v>1342</v>
      </c>
      <c r="S507" s="13" t="s">
        <v>1342</v>
      </c>
      <c r="T507" s="23" t="s">
        <v>1342</v>
      </c>
      <c r="U507" s="13" t="s">
        <v>1342</v>
      </c>
      <c r="V507" s="13" t="s">
        <v>1342</v>
      </c>
      <c r="W507" s="13" t="s">
        <v>1342</v>
      </c>
      <c r="X507" s="12" t="str">
        <f>VLOOKUP($D507,global_toc!$C:$K,7,FALSE)</f>
        <v>83AUG01X_</v>
      </c>
      <c r="Y507" s="12" t="str">
        <f>VLOOKUP($D507,global_toc!$C:$K,8,FALSE)</f>
        <v>83SEP07X_</v>
      </c>
      <c r="Z507" s="12">
        <f>VLOOKUP($D507,global_toc!$C:$K,9,FALSE)</f>
        <v>6</v>
      </c>
      <c r="AA507" s="19" t="str">
        <f t="shared" si="21"/>
        <v>WET COMP OF MARI</v>
      </c>
    </row>
  </sheetData>
  <sortState ref="A3:AB504">
    <sortCondition ref="O3:O504"/>
    <sortCondition ref="K3:K504"/>
    <sortCondition ref="P3:P504"/>
    <sortCondition ref="C3:C504"/>
  </sortState>
  <conditionalFormatting sqref="L480 L412 L133 L144 L153 L157 L159 K151:K152 L120 L57 L47:L53 O4:O6 K2:K91 O2:P3 K154:K286 K399:K507 M2:M91 O5:P91 O288:P507 M288:M507 K288:K397 O93:P102 M93:M102 K93:K102 K104:K148 M104:M286 O104:P286">
    <cfRule type="cellIs" dxfId="118" priority="166" stopIfTrue="1" operator="equal">
      <formula>"Delete"</formula>
    </cfRule>
    <cfRule type="cellIs" dxfId="117" priority="167" stopIfTrue="1" operator="equal">
      <formula>"???"</formula>
    </cfRule>
    <cfRule type="cellIs" dxfId="116" priority="168" stopIfTrue="1" operator="equal">
      <formula>"calc/solve"</formula>
    </cfRule>
  </conditionalFormatting>
  <conditionalFormatting sqref="R508:R65126 M2:M91 M288:M507 M93:M102 M104:M286">
    <cfRule type="cellIs" dxfId="115" priority="161" stopIfTrue="1" operator="equal">
      <formula>"S"</formula>
    </cfRule>
    <cfRule type="cellIs" dxfId="114" priority="162" stopIfTrue="1" operator="equal">
      <formula>"-"</formula>
    </cfRule>
    <cfRule type="cellIs" dxfId="113" priority="163" stopIfTrue="1" operator="equal">
      <formula>"K"</formula>
    </cfRule>
    <cfRule type="cellIs" dxfId="112" priority="164" stopIfTrue="1" operator="equal">
      <formula>"R"</formula>
    </cfRule>
    <cfRule type="cellIs" dxfId="111" priority="165" stopIfTrue="1" operator="equal">
      <formula>"I"</formula>
    </cfRule>
  </conditionalFormatting>
  <conditionalFormatting sqref="M2:M3 M5:M91 M288:M507 M93:M102 M104:M286">
    <cfRule type="cellIs" dxfId="110" priority="114" operator="equal">
      <formula>"N"</formula>
    </cfRule>
  </conditionalFormatting>
  <conditionalFormatting sqref="O2:P3 O5:P91 O288:P507 O93:P102 O104:P286">
    <cfRule type="cellIs" dxfId="109" priority="113" operator="notEqual">
      <formula>"-"</formula>
    </cfRule>
  </conditionalFormatting>
  <conditionalFormatting sqref="D455 D161 D135:D136 R141 S141:Z244 R181:Z181 R465:Z465 T430:T469 R2:Z3 L2:P3 R144:R244 T409:T428 T473:T507 U409:Z507 R409:S507 L5:P91 R5:Z91 R245:Z286 R289:Z408 L288:P507 R288:S288 U288:Z288 R93:Z102 L93:P102 L104:P286 R104:Z140">
    <cfRule type="cellIs" dxfId="108" priority="112" operator="equal">
      <formula>" "</formula>
    </cfRule>
  </conditionalFormatting>
  <conditionalFormatting sqref="Q2:Q91 Q288:Q1048576 Q93:Q102 Q104:Q286">
    <cfRule type="cellIs" dxfId="107" priority="90" operator="equal">
      <formula>"Y"</formula>
    </cfRule>
  </conditionalFormatting>
  <conditionalFormatting sqref="O2:O91 O288:O1048576 O93:O102 O104:O286">
    <cfRule type="cellIs" dxfId="106" priority="87" operator="equal">
      <formula>"OBSOLETE"</formula>
    </cfRule>
  </conditionalFormatting>
  <conditionalFormatting sqref="R471:R472">
    <cfRule type="cellIs" dxfId="105" priority="69" stopIfTrue="1" operator="equal">
      <formula>"Delete"</formula>
    </cfRule>
    <cfRule type="cellIs" dxfId="104" priority="70" stopIfTrue="1" operator="equal">
      <formula>"???"</formula>
    </cfRule>
    <cfRule type="cellIs" dxfId="103" priority="71" stopIfTrue="1" operator="equal">
      <formula>"calc/solve"</formula>
    </cfRule>
  </conditionalFormatting>
  <conditionalFormatting sqref="R471:R472">
    <cfRule type="cellIs" dxfId="102" priority="68" operator="notEqual">
      <formula>"-"</formula>
    </cfRule>
  </conditionalFormatting>
  <conditionalFormatting sqref="R470">
    <cfRule type="cellIs" dxfId="101" priority="65" stopIfTrue="1" operator="equal">
      <formula>"Delete"</formula>
    </cfRule>
    <cfRule type="cellIs" dxfId="100" priority="66" stopIfTrue="1" operator="equal">
      <formula>"???"</formula>
    </cfRule>
    <cfRule type="cellIs" dxfId="99" priority="67" stopIfTrue="1" operator="equal">
      <formula>"calc/solve"</formula>
    </cfRule>
  </conditionalFormatting>
  <conditionalFormatting sqref="R470">
    <cfRule type="cellIs" dxfId="98" priority="64" operator="notEqual">
      <formula>"-"</formula>
    </cfRule>
  </conditionalFormatting>
  <conditionalFormatting sqref="R406">
    <cfRule type="cellIs" dxfId="97" priority="61" stopIfTrue="1" operator="equal">
      <formula>"Delete"</formula>
    </cfRule>
    <cfRule type="cellIs" dxfId="96" priority="62" stopIfTrue="1" operator="equal">
      <formula>"???"</formula>
    </cfRule>
    <cfRule type="cellIs" dxfId="95" priority="63" stopIfTrue="1" operator="equal">
      <formula>"calc/solve"</formula>
    </cfRule>
  </conditionalFormatting>
  <conditionalFormatting sqref="R406">
    <cfRule type="cellIs" dxfId="94" priority="60" operator="notEqual">
      <formula>"-"</formula>
    </cfRule>
  </conditionalFormatting>
  <conditionalFormatting sqref="D51">
    <cfRule type="cellIs" dxfId="93" priority="59" operator="equal">
      <formula>" "</formula>
    </cfRule>
  </conditionalFormatting>
  <conditionalFormatting sqref="D59">
    <cfRule type="cellIs" dxfId="92" priority="58" operator="equal">
      <formula>" "</formula>
    </cfRule>
  </conditionalFormatting>
  <conditionalFormatting sqref="D77">
    <cfRule type="cellIs" dxfId="91" priority="57" operator="equal">
      <formula>" "</formula>
    </cfRule>
  </conditionalFormatting>
  <conditionalFormatting sqref="D73">
    <cfRule type="cellIs" dxfId="90" priority="56" operator="equal">
      <formula>" "</formula>
    </cfRule>
  </conditionalFormatting>
  <conditionalFormatting sqref="R273">
    <cfRule type="cellIs" dxfId="89" priority="53" stopIfTrue="1" operator="equal">
      <formula>"Delete"</formula>
    </cfRule>
    <cfRule type="cellIs" dxfId="88" priority="54" stopIfTrue="1" operator="equal">
      <formula>"???"</formula>
    </cfRule>
    <cfRule type="cellIs" dxfId="87" priority="55" stopIfTrue="1" operator="equal">
      <formula>"calc/solve"</formula>
    </cfRule>
  </conditionalFormatting>
  <conditionalFormatting sqref="R273">
    <cfRule type="cellIs" dxfId="86" priority="52" operator="notEqual">
      <formula>"-"</formula>
    </cfRule>
  </conditionalFormatting>
  <conditionalFormatting sqref="R274">
    <cfRule type="cellIs" dxfId="85" priority="49" stopIfTrue="1" operator="equal">
      <formula>"Delete"</formula>
    </cfRule>
    <cfRule type="cellIs" dxfId="84" priority="50" stopIfTrue="1" operator="equal">
      <formula>"???"</formula>
    </cfRule>
    <cfRule type="cellIs" dxfId="83" priority="51" stopIfTrue="1" operator="equal">
      <formula>"calc/solve"</formula>
    </cfRule>
  </conditionalFormatting>
  <conditionalFormatting sqref="R274">
    <cfRule type="cellIs" dxfId="82" priority="48" operator="notEqual">
      <formula>"-"</formula>
    </cfRule>
  </conditionalFormatting>
  <conditionalFormatting sqref="R272">
    <cfRule type="cellIs" dxfId="81" priority="45" stopIfTrue="1" operator="equal">
      <formula>"Delete"</formula>
    </cfRule>
    <cfRule type="cellIs" dxfId="80" priority="46" stopIfTrue="1" operator="equal">
      <formula>"???"</formula>
    </cfRule>
    <cfRule type="cellIs" dxfId="79" priority="47" stopIfTrue="1" operator="equal">
      <formula>"calc/solve"</formula>
    </cfRule>
  </conditionalFormatting>
  <conditionalFormatting sqref="R272">
    <cfRule type="cellIs" dxfId="78" priority="44" operator="notEqual">
      <formula>"-"</formula>
    </cfRule>
  </conditionalFormatting>
  <conditionalFormatting sqref="R271">
    <cfRule type="cellIs" dxfId="77" priority="41" stopIfTrue="1" operator="equal">
      <formula>"Delete"</formula>
    </cfRule>
    <cfRule type="cellIs" dxfId="76" priority="42" stopIfTrue="1" operator="equal">
      <formula>"???"</formula>
    </cfRule>
    <cfRule type="cellIs" dxfId="75" priority="43" stopIfTrue="1" operator="equal">
      <formula>"calc/solve"</formula>
    </cfRule>
  </conditionalFormatting>
  <conditionalFormatting sqref="R271">
    <cfRule type="cellIs" dxfId="74" priority="40" operator="notEqual">
      <formula>"-"</formula>
    </cfRule>
  </conditionalFormatting>
  <conditionalFormatting sqref="O287:P287 M287 K287">
    <cfRule type="cellIs" dxfId="73" priority="37" stopIfTrue="1" operator="equal">
      <formula>"Delete"</formula>
    </cfRule>
    <cfRule type="cellIs" dxfId="72" priority="38" stopIfTrue="1" operator="equal">
      <formula>"???"</formula>
    </cfRule>
    <cfRule type="cellIs" dxfId="71" priority="39" stopIfTrue="1" operator="equal">
      <formula>"calc/solve"</formula>
    </cfRule>
  </conditionalFormatting>
  <conditionalFormatting sqref="M287">
    <cfRule type="cellIs" dxfId="70" priority="32" stopIfTrue="1" operator="equal">
      <formula>"S"</formula>
    </cfRule>
    <cfRule type="cellIs" dxfId="69" priority="33" stopIfTrue="1" operator="equal">
      <formula>"-"</formula>
    </cfRule>
    <cfRule type="cellIs" dxfId="68" priority="34" stopIfTrue="1" operator="equal">
      <formula>"K"</formula>
    </cfRule>
    <cfRule type="cellIs" dxfId="67" priority="35" stopIfTrue="1" operator="equal">
      <formula>"R"</formula>
    </cfRule>
    <cfRule type="cellIs" dxfId="66" priority="36" stopIfTrue="1" operator="equal">
      <formula>"I"</formula>
    </cfRule>
  </conditionalFormatting>
  <conditionalFormatting sqref="M287">
    <cfRule type="cellIs" dxfId="65" priority="31" operator="equal">
      <formula>"N"</formula>
    </cfRule>
  </conditionalFormatting>
  <conditionalFormatting sqref="O287:P287">
    <cfRule type="cellIs" dxfId="64" priority="30" operator="notEqual">
      <formula>"-"</formula>
    </cfRule>
  </conditionalFormatting>
  <conditionalFormatting sqref="R287:S287 L287:P287 U287:Z287">
    <cfRule type="cellIs" dxfId="63" priority="29" operator="equal">
      <formula>" "</formula>
    </cfRule>
  </conditionalFormatting>
  <conditionalFormatting sqref="Q287">
    <cfRule type="cellIs" dxfId="62" priority="28" operator="equal">
      <formula>"Y"</formula>
    </cfRule>
  </conditionalFormatting>
  <conditionalFormatting sqref="O287">
    <cfRule type="cellIs" dxfId="61" priority="27" operator="equal">
      <formula>"OBSOLETE"</formula>
    </cfRule>
  </conditionalFormatting>
  <conditionalFormatting sqref="K92 M92 O92:P92">
    <cfRule type="cellIs" dxfId="60" priority="24" stopIfTrue="1" operator="equal">
      <formula>"Delete"</formula>
    </cfRule>
    <cfRule type="cellIs" dxfId="59" priority="25" stopIfTrue="1" operator="equal">
      <formula>"???"</formula>
    </cfRule>
    <cfRule type="cellIs" dxfId="58" priority="26" stopIfTrue="1" operator="equal">
      <formula>"calc/solve"</formula>
    </cfRule>
  </conditionalFormatting>
  <conditionalFormatting sqref="M92">
    <cfRule type="cellIs" dxfId="57" priority="19" stopIfTrue="1" operator="equal">
      <formula>"S"</formula>
    </cfRule>
    <cfRule type="cellIs" dxfId="56" priority="20" stopIfTrue="1" operator="equal">
      <formula>"-"</formula>
    </cfRule>
    <cfRule type="cellIs" dxfId="55" priority="21" stopIfTrue="1" operator="equal">
      <formula>"K"</formula>
    </cfRule>
    <cfRule type="cellIs" dxfId="54" priority="22" stopIfTrue="1" operator="equal">
      <formula>"R"</formula>
    </cfRule>
    <cfRule type="cellIs" dxfId="53" priority="23" stopIfTrue="1" operator="equal">
      <formula>"I"</formula>
    </cfRule>
  </conditionalFormatting>
  <conditionalFormatting sqref="M92">
    <cfRule type="cellIs" dxfId="52" priority="18" operator="equal">
      <formula>"N"</formula>
    </cfRule>
  </conditionalFormatting>
  <conditionalFormatting sqref="O92:P92">
    <cfRule type="cellIs" dxfId="51" priority="17" operator="notEqual">
      <formula>"-"</formula>
    </cfRule>
  </conditionalFormatting>
  <conditionalFormatting sqref="L92:P92 R92:Z92">
    <cfRule type="cellIs" dxfId="50" priority="16" operator="equal">
      <formula>" "</formula>
    </cfRule>
  </conditionalFormatting>
  <conditionalFormatting sqref="Q92">
    <cfRule type="cellIs" dxfId="49" priority="15" operator="equal">
      <formula>"Y"</formula>
    </cfRule>
  </conditionalFormatting>
  <conditionalFormatting sqref="O92">
    <cfRule type="cellIs" dxfId="48" priority="14" operator="equal">
      <formula>"OBSOLETE"</formula>
    </cfRule>
  </conditionalFormatting>
  <conditionalFormatting sqref="K103 M103 O103:P103">
    <cfRule type="cellIs" dxfId="40" priority="11" stopIfTrue="1" operator="equal">
      <formula>"Delete"</formula>
    </cfRule>
    <cfRule type="cellIs" dxfId="39" priority="12" stopIfTrue="1" operator="equal">
      <formula>"???"</formula>
    </cfRule>
    <cfRule type="cellIs" dxfId="38" priority="13" stopIfTrue="1" operator="equal">
      <formula>"calc/solve"</formula>
    </cfRule>
  </conditionalFormatting>
  <conditionalFormatting sqref="M103">
    <cfRule type="cellIs" dxfId="34" priority="6" stopIfTrue="1" operator="equal">
      <formula>"S"</formula>
    </cfRule>
    <cfRule type="cellIs" dxfId="33" priority="7" stopIfTrue="1" operator="equal">
      <formula>"-"</formula>
    </cfRule>
    <cfRule type="cellIs" dxfId="32" priority="8" stopIfTrue="1" operator="equal">
      <formula>"K"</formula>
    </cfRule>
    <cfRule type="cellIs" dxfId="31" priority="9" stopIfTrue="1" operator="equal">
      <formula>"R"</formula>
    </cfRule>
    <cfRule type="cellIs" dxfId="30" priority="10" stopIfTrue="1" operator="equal">
      <formula>"I"</formula>
    </cfRule>
  </conditionalFormatting>
  <conditionalFormatting sqref="M103">
    <cfRule type="cellIs" dxfId="24" priority="5" operator="equal">
      <formula>"N"</formula>
    </cfRule>
  </conditionalFormatting>
  <conditionalFormatting sqref="O103:P103">
    <cfRule type="cellIs" dxfId="22" priority="4" operator="notEqual">
      <formula>"-"</formula>
    </cfRule>
  </conditionalFormatting>
  <conditionalFormatting sqref="L103:P103 R103:Z103">
    <cfRule type="cellIs" dxfId="20" priority="3" operator="equal">
      <formula>" "</formula>
    </cfRule>
  </conditionalFormatting>
  <conditionalFormatting sqref="Q103">
    <cfRule type="cellIs" dxfId="18" priority="2" operator="equal">
      <formula>"Y"</formula>
    </cfRule>
  </conditionalFormatting>
  <conditionalFormatting sqref="O103">
    <cfRule type="cellIs" dxfId="16" priority="1" operator="equal">
      <formula>"OBSOLETE"</formula>
    </cfRule>
  </conditionalFormatting>
  <pageMargins left="0.23" right="0.13" top="0.3" bottom="0.28000000000000003" header="0.3" footer="0.3"/>
  <pageSetup scale="46" fitToHeight="6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14"/>
  <sheetViews>
    <sheetView workbookViewId="0">
      <pane xSplit="2" ySplit="2" topLeftCell="C468" activePane="bottomRight" state="frozen"/>
      <selection pane="topRight" activeCell="C1" sqref="C1"/>
      <selection pane="bottomLeft" activeCell="A3" sqref="A3"/>
      <selection pane="bottomRight" activeCell="A100" sqref="A100:XFD507"/>
    </sheetView>
  </sheetViews>
  <sheetFormatPr defaultRowHeight="15" x14ac:dyDescent="0.25"/>
  <cols>
    <col min="1" max="1" width="4.85546875" customWidth="1"/>
    <col min="2" max="2" width="6.28515625" customWidth="1"/>
    <col min="3" max="3" width="18.5703125" customWidth="1"/>
    <col min="4" max="4" width="4.7109375" customWidth="1"/>
    <col min="5" max="5" width="3.7109375" customWidth="1"/>
    <col min="6" max="7" width="5.28515625" customWidth="1"/>
    <col min="8" max="8" width="5.140625" customWidth="1"/>
    <col min="9" max="9" width="31.140625" customWidth="1"/>
    <col min="14" max="14" width="16" customWidth="1"/>
    <col min="15" max="15" width="17.5703125" customWidth="1"/>
    <col min="16" max="16" width="12.140625" customWidth="1"/>
    <col min="17" max="17" width="29.7109375" customWidth="1"/>
    <col min="19" max="19" width="60" customWidth="1"/>
  </cols>
  <sheetData>
    <row r="1" spans="1:22" ht="15.75" customHeight="1" x14ac:dyDescent="0.25">
      <c r="A1">
        <f>Lcode_mapping!A1</f>
        <v>1</v>
      </c>
      <c r="B1">
        <f>Lcode_mapping!B1</f>
        <v>2</v>
      </c>
      <c r="C1">
        <f>Lcode_mapping!D1</f>
        <v>4</v>
      </c>
      <c r="D1">
        <f>Lcode_mapping!E1</f>
        <v>5</v>
      </c>
      <c r="E1">
        <f>Lcode_mapping!F1</f>
        <v>6</v>
      </c>
      <c r="F1">
        <f>Lcode_mapping!G1</f>
        <v>7</v>
      </c>
      <c r="G1">
        <f>Lcode_mapping!H1</f>
        <v>8</v>
      </c>
      <c r="H1">
        <f>Lcode_mapping!I1</f>
        <v>9</v>
      </c>
      <c r="I1">
        <f>Lcode_mapping!J1</f>
        <v>10</v>
      </c>
      <c r="J1">
        <f>Lcode_mapping!K1</f>
        <v>11</v>
      </c>
      <c r="K1">
        <f>Lcode_mapping!L1</f>
        <v>12</v>
      </c>
      <c r="L1">
        <f>Lcode_mapping!M1</f>
        <v>13</v>
      </c>
      <c r="M1">
        <f>Lcode_mapping!N1</f>
        <v>14</v>
      </c>
      <c r="N1">
        <f>Lcode_mapping!O1</f>
        <v>15</v>
      </c>
      <c r="O1">
        <f>Lcode_mapping!P1</f>
        <v>16</v>
      </c>
      <c r="P1">
        <f>Lcode_mapping!Q1</f>
        <v>17</v>
      </c>
      <c r="Q1">
        <f>Lcode_mapping!R1</f>
        <v>18</v>
      </c>
      <c r="R1">
        <f>Lcode_mapping!S1</f>
        <v>19</v>
      </c>
      <c r="S1">
        <f>Lcode_mapping!T1</f>
        <v>20</v>
      </c>
      <c r="T1">
        <f>Lcode_mapping!U1</f>
        <v>21</v>
      </c>
      <c r="U1">
        <f>Lcode_mapping!V1</f>
        <v>22</v>
      </c>
      <c r="V1">
        <f>Lcode_mapping!W1</f>
        <v>23</v>
      </c>
    </row>
    <row r="2" spans="1:22" ht="15" customHeight="1" x14ac:dyDescent="0.25">
      <c r="A2" t="str">
        <f>Lcode_mapping!A2</f>
        <v>#</v>
      </c>
      <c r="B2" t="str">
        <f>Lcode_mapping!B2</f>
        <v>L</v>
      </c>
      <c r="C2" t="str">
        <f>Lcode_mapping!D2</f>
        <v>Name</v>
      </c>
      <c r="D2" t="str">
        <f>Lcode_mapping!E2</f>
        <v>D1</v>
      </c>
      <c r="E2" t="str">
        <f>Lcode_mapping!F2</f>
        <v>D2</v>
      </c>
      <c r="F2" t="str">
        <f>Lcode_mapping!G2</f>
        <v>D3</v>
      </c>
      <c r="G2" t="str">
        <f>Lcode_mapping!H2</f>
        <v>T</v>
      </c>
      <c r="H2" t="str">
        <f>Lcode_mapping!I2</f>
        <v>A</v>
      </c>
      <c r="I2" t="str">
        <f>Lcode_mapping!J2</f>
        <v>Descriptor</v>
      </c>
      <c r="J2" t="str">
        <f>Lcode_mapping!K2</f>
        <v>Scope</v>
      </c>
      <c r="K2" t="str">
        <f>Lcode_mapping!L2</f>
        <v>Comment</v>
      </c>
      <c r="L2" t="str">
        <f>Lcode_mapping!M2</f>
        <v>RIKSN</v>
      </c>
      <c r="M2" t="str">
        <f>Lcode_mapping!N2</f>
        <v>Wrapper</v>
      </c>
      <c r="N2" t="str">
        <f>Lcode_mapping!O2</f>
        <v>Dir</v>
      </c>
      <c r="O2" t="str">
        <f>Lcode_mapping!P2</f>
        <v>File</v>
      </c>
      <c r="P2" t="str">
        <f>Lcode_mapping!Q2</f>
        <v>Include Calc</v>
      </c>
      <c r="Q2" t="str">
        <f>Lcode_mapping!R2</f>
        <v>NameOver</v>
      </c>
      <c r="R2" t="str">
        <f>Lcode_mapping!S2</f>
        <v>NameVec</v>
      </c>
      <c r="S2" t="str">
        <f>Lcode_mapping!T2</f>
        <v>Descriptor_override</v>
      </c>
      <c r="T2" t="str">
        <f>Lcode_mapping!U2</f>
        <v>Time_Dim</v>
      </c>
      <c r="U2" t="str">
        <f>Lcode_mapping!V2</f>
        <v>Original Units</v>
      </c>
      <c r="V2" t="str">
        <f>Lcode_mapping!W2</f>
        <v>Tolerance</v>
      </c>
    </row>
    <row r="3" spans="1:22" ht="15" customHeight="1" x14ac:dyDescent="0.25">
      <c r="A3">
        <f>Lcode_mapping!A3</f>
        <v>293</v>
      </c>
      <c r="B3">
        <f>Lcode_mapping!B3</f>
        <v>2</v>
      </c>
      <c r="C3" t="str">
        <f>Lcode_mapping!D3</f>
        <v>EFF FREQ</v>
      </c>
      <c r="D3">
        <f>Lcode_mapping!E3</f>
        <v>3</v>
      </c>
      <c r="E3">
        <f>Lcode_mapping!F3</f>
        <v>1</v>
      </c>
      <c r="F3">
        <f>Lcode_mapping!G3</f>
        <v>1</v>
      </c>
      <c r="G3" t="str">
        <f>Lcode_mapping!H3</f>
        <v>R</v>
      </c>
      <c r="H3">
        <f>Lcode_mapping!I3</f>
        <v>4</v>
      </c>
      <c r="I3" t="str">
        <f>Lcode_mapping!J3</f>
        <v>Effective freqs  opposite band</v>
      </c>
      <c r="J3" t="str">
        <f>Lcode_mapping!K3</f>
        <v>Obs</v>
      </c>
      <c r="K3" t="str">
        <f>Lcode_mapping!L3</f>
        <v>-</v>
      </c>
      <c r="L3" t="str">
        <f>Lcode_mapping!M3</f>
        <v>K</v>
      </c>
      <c r="M3" t="str">
        <f>Lcode_mapping!N3</f>
        <v>-</v>
      </c>
      <c r="N3" t="str">
        <f>Lcode_mapping!O3</f>
        <v>-</v>
      </c>
      <c r="O3" t="str">
        <f>Lcode_mapping!P3</f>
        <v>-</v>
      </c>
      <c r="P3" t="str">
        <f>Lcode_mapping!Q3</f>
        <v>-</v>
      </c>
      <c r="Q3" t="str">
        <f>Lcode_mapping!R3</f>
        <v xml:space="preserve">DummyName </v>
      </c>
      <c r="R3" t="str">
        <f>Lcode_mapping!S3</f>
        <v>-</v>
      </c>
      <c r="S3" t="str">
        <f>Lcode_mapping!T3</f>
        <v>NOTE: Split into 3 variables.</v>
      </c>
      <c r="T3" t="str">
        <f>Lcode_mapping!U3</f>
        <v>-</v>
      </c>
      <c r="U3" t="str">
        <f>Lcode_mapping!V3</f>
        <v>MHz</v>
      </c>
      <c r="V3" t="str">
        <f>Lcode_mapping!W3</f>
        <v>-</v>
      </c>
    </row>
    <row r="4" spans="1:22" ht="15" customHeight="1" x14ac:dyDescent="0.25">
      <c r="A4">
        <f>Lcode_mapping!A4</f>
        <v>492</v>
      </c>
      <c r="B4">
        <f>Lcode_mapping!B4</f>
        <v>2</v>
      </c>
      <c r="C4" t="str">
        <f>Lcode_mapping!D4</f>
        <v>UNCALDLY</v>
      </c>
      <c r="D4">
        <f>Lcode_mapping!E4</f>
        <v>1</v>
      </c>
      <c r="E4">
        <f>Lcode_mapping!F4</f>
        <v>1</v>
      </c>
      <c r="F4">
        <f>Lcode_mapping!G4</f>
        <v>1</v>
      </c>
      <c r="G4" t="str">
        <f>Lcode_mapping!H4</f>
        <v>R</v>
      </c>
      <c r="H4">
        <f>Lcode_mapping!I4</f>
        <v>1</v>
      </c>
      <c r="I4" t="str">
        <f>Lcode_mapping!J4</f>
        <v>Phase cal delay (sec)</v>
      </c>
      <c r="J4" t="str">
        <f>Lcode_mapping!K4</f>
        <v>Obs</v>
      </c>
      <c r="K4" t="str">
        <f>Lcode_mapping!L4</f>
        <v>NEED THIS</v>
      </c>
      <c r="L4" t="str">
        <f>Lcode_mapping!M4</f>
        <v>K</v>
      </c>
      <c r="M4" t="str">
        <f>Lcode_mapping!N4</f>
        <v>-</v>
      </c>
      <c r="N4" t="str">
        <f>Lcode_mapping!O4</f>
        <v>-</v>
      </c>
      <c r="O4" t="str">
        <f>Lcode_mapping!P4</f>
        <v>-</v>
      </c>
      <c r="P4" t="str">
        <f>Lcode_mapping!Q4</f>
        <v>-</v>
      </c>
      <c r="Q4" t="str">
        <f>Lcode_mapping!R4</f>
        <v>-</v>
      </c>
      <c r="R4" t="str">
        <f>Lcode_mapping!S4</f>
        <v>-</v>
      </c>
      <c r="S4" t="str">
        <f>Lcode_mapping!T4</f>
        <v>Bad Phase Cal Delay. Removed from Obs.</v>
      </c>
      <c r="T4" t="str">
        <f>Lcode_mapping!U4</f>
        <v>-</v>
      </c>
      <c r="U4" t="str">
        <f>Lcode_mapping!V4</f>
        <v>-</v>
      </c>
      <c r="V4" t="str">
        <f>Lcode_mapping!W4</f>
        <v>-</v>
      </c>
    </row>
    <row r="5" spans="1:22" ht="15" customHeight="1" x14ac:dyDescent="0.25">
      <c r="A5">
        <f>Lcode_mapping!A5</f>
        <v>118</v>
      </c>
      <c r="B5">
        <f>Lcode_mapping!B5</f>
        <v>1</v>
      </c>
      <c r="C5" t="str">
        <f>Lcode_mapping!D5</f>
        <v>CLK_CFLG</v>
      </c>
      <c r="D5">
        <f>Lcode_mapping!E5</f>
        <v>1</v>
      </c>
      <c r="E5">
        <f>Lcode_mapping!F5</f>
        <v>1</v>
      </c>
      <c r="F5">
        <f>Lcode_mapping!G5</f>
        <v>1</v>
      </c>
      <c r="G5" t="str">
        <f>Lcode_mapping!H5</f>
        <v>A</v>
      </c>
      <c r="H5">
        <f>Lcode_mapping!I5</f>
        <v>4</v>
      </c>
      <c r="I5" t="str">
        <f>Lcode_mapping!J5</f>
        <v>Clock constraint use flag.</v>
      </c>
      <c r="J5" t="str">
        <f>Lcode_mapping!K5</f>
        <v>Session</v>
      </c>
      <c r="K5" t="str">
        <f>Lcode_mapping!L5</f>
        <v>Part of (CLK_CFLG, CC_SITS,CLK_CNST)</v>
      </c>
      <c r="L5" t="str">
        <f>Lcode_mapping!M5</f>
        <v>S</v>
      </c>
      <c r="M5" t="str">
        <f>Lcode_mapping!N5</f>
        <v>-</v>
      </c>
      <c r="N5" t="str">
        <f>Lcode_mapping!O5</f>
        <v>-</v>
      </c>
      <c r="O5" t="str">
        <f>Lcode_mapping!P5</f>
        <v>-</v>
      </c>
      <c r="P5" t="str">
        <f>Lcode_mapping!Q5</f>
        <v>-</v>
      </c>
      <c r="Q5" t="str">
        <f>Lcode_mapping!R5</f>
        <v>-</v>
      </c>
      <c r="R5" t="str">
        <f>Lcode_mapping!S5</f>
        <v>-</v>
      </c>
      <c r="S5" t="str">
        <f>Lcode_mapping!T5</f>
        <v>-</v>
      </c>
      <c r="T5" t="str">
        <f>Lcode_mapping!U5</f>
        <v>-</v>
      </c>
      <c r="U5" t="str">
        <f>Lcode_mapping!V5</f>
        <v>-</v>
      </c>
      <c r="V5" t="str">
        <f>Lcode_mapping!W5</f>
        <v>-</v>
      </c>
    </row>
    <row r="6" spans="1:22" ht="15" customHeight="1" x14ac:dyDescent="0.25">
      <c r="A6">
        <f>Lcode_mapping!A6</f>
        <v>119</v>
      </c>
      <c r="B6">
        <f>Lcode_mapping!B6</f>
        <v>1</v>
      </c>
      <c r="C6" t="str">
        <f>Lcode_mapping!D6</f>
        <v>EXPNAME</v>
      </c>
      <c r="D6">
        <f>Lcode_mapping!E6</f>
        <v>16</v>
      </c>
      <c r="E6">
        <f>Lcode_mapping!F6</f>
        <v>1</v>
      </c>
      <c r="F6">
        <f>Lcode_mapping!G6</f>
        <v>1</v>
      </c>
      <c r="G6" t="str">
        <f>Lcode_mapping!H6</f>
        <v>A</v>
      </c>
      <c r="H6">
        <f>Lcode_mapping!I6</f>
        <v>3</v>
      </c>
      <c r="I6" t="str">
        <f>Lcode_mapping!J6</f>
        <v>Observing program (exp.) name</v>
      </c>
      <c r="J6" t="str">
        <f>Lcode_mapping!K6</f>
        <v>Session</v>
      </c>
      <c r="K6" t="str">
        <f>Lcode_mapping!L6</f>
        <v>-</v>
      </c>
      <c r="L6" t="str">
        <f>Lcode_mapping!M6</f>
        <v>S</v>
      </c>
      <c r="M6" t="str">
        <f>Lcode_mapping!N6</f>
        <v>-</v>
      </c>
      <c r="N6" t="str">
        <f>Lcode_mapping!O6</f>
        <v>-</v>
      </c>
      <c r="O6" t="str">
        <f>Lcode_mapping!P6</f>
        <v>-</v>
      </c>
      <c r="P6" t="str">
        <f>Lcode_mapping!Q6</f>
        <v>-</v>
      </c>
      <c r="Q6" t="str">
        <f>Lcode_mapping!R6</f>
        <v>-</v>
      </c>
      <c r="R6" t="str">
        <f>Lcode_mapping!S6</f>
        <v>-</v>
      </c>
      <c r="S6" t="str">
        <f>Lcode_mapping!T6</f>
        <v>-</v>
      </c>
      <c r="T6" t="str">
        <f>Lcode_mapping!U6</f>
        <v>-</v>
      </c>
      <c r="U6" t="str">
        <f>Lcode_mapping!V6</f>
        <v>-</v>
      </c>
      <c r="V6" t="str">
        <f>Lcode_mapping!W6</f>
        <v>-</v>
      </c>
    </row>
    <row r="7" spans="1:22" ht="15" customHeight="1" x14ac:dyDescent="0.25">
      <c r="A7">
        <f>Lcode_mapping!A7</f>
        <v>122</v>
      </c>
      <c r="B7">
        <f>Lcode_mapping!B7</f>
        <v>1</v>
      </c>
      <c r="C7" t="str">
        <f>Lcode_mapping!D7</f>
        <v>CORPLACE</v>
      </c>
      <c r="D7">
        <f>Lcode_mapping!E7</f>
        <v>16</v>
      </c>
      <c r="E7">
        <f>Lcode_mapping!F7</f>
        <v>1</v>
      </c>
      <c r="F7">
        <f>Lcode_mapping!G7</f>
        <v>1</v>
      </c>
      <c r="G7" t="str">
        <f>Lcode_mapping!H7</f>
        <v>A</v>
      </c>
      <c r="H7">
        <f>Lcode_mapping!I7</f>
        <v>1</v>
      </c>
      <c r="I7" t="str">
        <f>Lcode_mapping!J7</f>
        <v>Correlator name.</v>
      </c>
      <c r="J7" t="str">
        <f>Lcode_mapping!K7</f>
        <v>Session</v>
      </c>
      <c r="K7" t="str">
        <f>Lcode_mapping!L7</f>
        <v>-</v>
      </c>
      <c r="L7" t="str">
        <f>Lcode_mapping!M7</f>
        <v>K</v>
      </c>
      <c r="M7" t="str">
        <f>Lcode_mapping!N7</f>
        <v>NGS</v>
      </c>
      <c r="N7" t="str">
        <f>Lcode_mapping!O7</f>
        <v>-</v>
      </c>
      <c r="O7" t="str">
        <f>Lcode_mapping!P7</f>
        <v>Head</v>
      </c>
      <c r="P7" t="str">
        <f>Lcode_mapping!Q7</f>
        <v>-</v>
      </c>
      <c r="Q7" t="str">
        <f>Lcode_mapping!R7</f>
        <v>Correlator</v>
      </c>
      <c r="R7" t="str">
        <f>Lcode_mapping!S7</f>
        <v>-</v>
      </c>
      <c r="S7" t="str">
        <f>Lcode_mapping!T7</f>
        <v>-</v>
      </c>
      <c r="T7" t="str">
        <f>Lcode_mapping!U7</f>
        <v>-</v>
      </c>
      <c r="U7" t="str">
        <f>Lcode_mapping!V7</f>
        <v>-</v>
      </c>
      <c r="V7" t="str">
        <f>Lcode_mapping!W7</f>
        <v>-</v>
      </c>
    </row>
    <row r="8" spans="1:22" ht="15" customHeight="1" x14ac:dyDescent="0.25">
      <c r="A8">
        <f>Lcode_mapping!A8</f>
        <v>123</v>
      </c>
      <c r="B8">
        <f>Lcode_mapping!B8</f>
        <v>1</v>
      </c>
      <c r="C8" t="str">
        <f>Lcode_mapping!D8</f>
        <v>CORRTYPE</v>
      </c>
      <c r="D8">
        <f>Lcode_mapping!E8</f>
        <v>4</v>
      </c>
      <c r="E8">
        <f>Lcode_mapping!F8</f>
        <v>1</v>
      </c>
      <c r="F8">
        <f>Lcode_mapping!G8</f>
        <v>1</v>
      </c>
      <c r="G8" t="str">
        <f>Lcode_mapping!H8</f>
        <v>A</v>
      </c>
      <c r="H8">
        <f>Lcode_mapping!I8</f>
        <v>1</v>
      </c>
      <c r="I8" t="str">
        <f>Lcode_mapping!J8</f>
        <v>Correlator type: MK3/MK4/K4 etc.</v>
      </c>
      <c r="J8" t="str">
        <f>Lcode_mapping!K8</f>
        <v>Session</v>
      </c>
      <c r="K8" t="str">
        <f>Lcode_mapping!L8</f>
        <v>-</v>
      </c>
      <c r="L8" t="str">
        <f>Lcode_mapping!M8</f>
        <v>K</v>
      </c>
      <c r="M8" t="str">
        <f>Lcode_mapping!N8</f>
        <v>NGS</v>
      </c>
      <c r="N8" t="str">
        <f>Lcode_mapping!O8</f>
        <v>-</v>
      </c>
      <c r="O8" t="str">
        <f>Lcode_mapping!P8</f>
        <v>Head</v>
      </c>
      <c r="P8" t="str">
        <f>Lcode_mapping!Q8</f>
        <v>-</v>
      </c>
      <c r="Q8" t="str">
        <f>Lcode_mapping!R8</f>
        <v>CorrelatorType</v>
      </c>
      <c r="R8" t="str">
        <f>Lcode_mapping!S8</f>
        <v>-</v>
      </c>
      <c r="S8" t="str">
        <f>Lcode_mapping!T8</f>
        <v>-</v>
      </c>
      <c r="T8" t="str">
        <f>Lcode_mapping!U8</f>
        <v>-</v>
      </c>
      <c r="U8" t="str">
        <f>Lcode_mapping!V8</f>
        <v>-</v>
      </c>
      <c r="V8" t="str">
        <f>Lcode_mapping!W8</f>
        <v>-</v>
      </c>
    </row>
    <row r="9" spans="1:22" ht="15" customHeight="1" x14ac:dyDescent="0.25">
      <c r="A9">
        <f>Lcode_mapping!A9</f>
        <v>125</v>
      </c>
      <c r="B9">
        <f>Lcode_mapping!B9</f>
        <v>1</v>
      </c>
      <c r="C9" t="str">
        <f>Lcode_mapping!D9</f>
        <v>EXPDESC</v>
      </c>
      <c r="D9">
        <f>Lcode_mapping!E9</f>
        <v>40</v>
      </c>
      <c r="E9">
        <f>Lcode_mapping!F9</f>
        <v>1</v>
      </c>
      <c r="F9">
        <f>Lcode_mapping!G9</f>
        <v>1</v>
      </c>
      <c r="G9" t="str">
        <f>Lcode_mapping!H9</f>
        <v>A</v>
      </c>
      <c r="H9">
        <f>Lcode_mapping!I9</f>
        <v>1</v>
      </c>
      <c r="I9" t="str">
        <f>Lcode_mapping!J9</f>
        <v>Experiment description.</v>
      </c>
      <c r="J9" t="str">
        <f>Lcode_mapping!K9</f>
        <v>Session</v>
      </c>
      <c r="K9" t="str">
        <f>Lcode_mapping!L9</f>
        <v>-</v>
      </c>
      <c r="L9" t="str">
        <f>Lcode_mapping!M9</f>
        <v>K</v>
      </c>
      <c r="M9" t="str">
        <f>Lcode_mapping!N9</f>
        <v>NGS</v>
      </c>
      <c r="N9" t="str">
        <f>Lcode_mapping!O9</f>
        <v>-</v>
      </c>
      <c r="O9" t="str">
        <f>Lcode_mapping!P9</f>
        <v>Head</v>
      </c>
      <c r="P9" t="str">
        <f>Lcode_mapping!Q9</f>
        <v>-</v>
      </c>
      <c r="Q9" t="str">
        <f>Lcode_mapping!R9</f>
        <v>ExpDescription</v>
      </c>
      <c r="R9" t="str">
        <f>Lcode_mapping!S9</f>
        <v>-</v>
      </c>
      <c r="S9" t="str">
        <f>Lcode_mapping!T9</f>
        <v>-</v>
      </c>
      <c r="T9" t="str">
        <f>Lcode_mapping!U9</f>
        <v>-</v>
      </c>
      <c r="U9" t="str">
        <f>Lcode_mapping!V9</f>
        <v>-</v>
      </c>
      <c r="V9" t="str">
        <f>Lcode_mapping!W9</f>
        <v>-</v>
      </c>
    </row>
    <row r="10" spans="1:22" ht="15" customHeight="1" x14ac:dyDescent="0.25">
      <c r="A10">
        <f>Lcode_mapping!A10</f>
        <v>124</v>
      </c>
      <c r="B10">
        <f>Lcode_mapping!B10</f>
        <v>1</v>
      </c>
      <c r="C10" t="str">
        <f>Lcode_mapping!D10</f>
        <v>EXPCODE</v>
      </c>
      <c r="D10">
        <f>Lcode_mapping!E10</f>
        <v>16</v>
      </c>
      <c r="E10">
        <f>Lcode_mapping!F10</f>
        <v>1</v>
      </c>
      <c r="F10">
        <f>Lcode_mapping!G10</f>
        <v>1</v>
      </c>
      <c r="G10" t="str">
        <f>Lcode_mapping!H10</f>
        <v>A</v>
      </c>
      <c r="H10">
        <f>Lcode_mapping!I10</f>
        <v>1</v>
      </c>
      <c r="I10" t="str">
        <f>Lcode_mapping!J10</f>
        <v>Experiment name.</v>
      </c>
      <c r="J10" t="str">
        <f>Lcode_mapping!K10</f>
        <v>Session</v>
      </c>
      <c r="K10" t="str">
        <f>Lcode_mapping!L10</f>
        <v>-</v>
      </c>
      <c r="L10" t="str">
        <f>Lcode_mapping!M10</f>
        <v>K</v>
      </c>
      <c r="M10" t="str">
        <f>Lcode_mapping!N10</f>
        <v>NGS</v>
      </c>
      <c r="N10" t="str">
        <f>Lcode_mapping!O10</f>
        <v>-</v>
      </c>
      <c r="O10" t="str">
        <f>Lcode_mapping!P10</f>
        <v>Head</v>
      </c>
      <c r="P10" t="str">
        <f>Lcode_mapping!Q10</f>
        <v>-</v>
      </c>
      <c r="Q10" t="str">
        <f>Lcode_mapping!R10</f>
        <v>ExpName</v>
      </c>
      <c r="R10" t="str">
        <f>Lcode_mapping!S10</f>
        <v>-</v>
      </c>
      <c r="S10" t="str">
        <f>Lcode_mapping!T10</f>
        <v>-</v>
      </c>
      <c r="T10" t="str">
        <f>Lcode_mapping!U10</f>
        <v>-</v>
      </c>
      <c r="U10" t="str">
        <f>Lcode_mapping!V10</f>
        <v>-</v>
      </c>
      <c r="V10" t="str">
        <f>Lcode_mapping!W10</f>
        <v>-</v>
      </c>
    </row>
    <row r="11" spans="1:22" ht="15" customHeight="1" x14ac:dyDescent="0.25">
      <c r="A11">
        <f>Lcode_mapping!A11</f>
        <v>126</v>
      </c>
      <c r="B11">
        <f>Lcode_mapping!B11</f>
        <v>1</v>
      </c>
      <c r="C11" t="str">
        <f>Lcode_mapping!D11</f>
        <v>EXPSERNO</v>
      </c>
      <c r="D11">
        <f>Lcode_mapping!E11</f>
        <v>1</v>
      </c>
      <c r="E11">
        <f>Lcode_mapping!F11</f>
        <v>1</v>
      </c>
      <c r="F11">
        <f>Lcode_mapping!G11</f>
        <v>1</v>
      </c>
      <c r="G11" t="str">
        <f>Lcode_mapping!H11</f>
        <v>I</v>
      </c>
      <c r="H11">
        <f>Lcode_mapping!I11</f>
        <v>1</v>
      </c>
      <c r="I11" t="str">
        <f>Lcode_mapping!J11</f>
        <v>Experiment Serial Number.</v>
      </c>
      <c r="J11" t="str">
        <f>Lcode_mapping!K11</f>
        <v>Session</v>
      </c>
      <c r="K11" t="str">
        <f>Lcode_mapping!L11</f>
        <v>-</v>
      </c>
      <c r="L11" t="str">
        <f>Lcode_mapping!M11</f>
        <v>K</v>
      </c>
      <c r="M11" t="str">
        <f>Lcode_mapping!N11</f>
        <v>NGS</v>
      </c>
      <c r="N11" t="str">
        <f>Lcode_mapping!O11</f>
        <v>-</v>
      </c>
      <c r="O11" t="str">
        <f>Lcode_mapping!P11</f>
        <v>Head</v>
      </c>
      <c r="P11" t="str">
        <f>Lcode_mapping!Q11</f>
        <v>-</v>
      </c>
      <c r="Q11" t="str">
        <f>Lcode_mapping!R11</f>
        <v>ExpSerialNumber</v>
      </c>
      <c r="R11" t="str">
        <f>Lcode_mapping!S11</f>
        <v>-</v>
      </c>
      <c r="S11" t="str">
        <f>Lcode_mapping!T11</f>
        <v>-</v>
      </c>
      <c r="T11" t="str">
        <f>Lcode_mapping!U11</f>
        <v>-</v>
      </c>
      <c r="U11" t="str">
        <f>Lcode_mapping!V11</f>
        <v>-</v>
      </c>
      <c r="V11" t="str">
        <f>Lcode_mapping!W11</f>
        <v>-</v>
      </c>
    </row>
    <row r="12" spans="1:22" ht="15" customHeight="1" x14ac:dyDescent="0.25">
      <c r="A12">
        <f>Lcode_mapping!A12</f>
        <v>128</v>
      </c>
      <c r="B12">
        <f>Lcode_mapping!B12</f>
        <v>1</v>
      </c>
      <c r="C12" t="str">
        <f>Lcode_mapping!D12</f>
        <v>INTRVAL4</v>
      </c>
      <c r="D12">
        <f>Lcode_mapping!E12</f>
        <v>5</v>
      </c>
      <c r="E12">
        <f>Lcode_mapping!F12</f>
        <v>2</v>
      </c>
      <c r="F12">
        <f>Lcode_mapping!G12</f>
        <v>1</v>
      </c>
      <c r="G12" t="str">
        <f>Lcode_mapping!H12</f>
        <v>I</v>
      </c>
      <c r="H12">
        <f>Lcode_mapping!I12</f>
        <v>1</v>
      </c>
      <c r="I12" t="str">
        <f>Lcode_mapping!J12</f>
        <v>First last UTC tag  4 digit year</v>
      </c>
      <c r="J12" t="str">
        <f>Lcode_mapping!K12</f>
        <v>Session</v>
      </c>
      <c r="K12" t="str">
        <f>Lcode_mapping!L12</f>
        <v>See also INTERVAL</v>
      </c>
      <c r="L12" t="str">
        <f>Lcode_mapping!M12</f>
        <v>K</v>
      </c>
      <c r="M12" t="str">
        <f>Lcode_mapping!N12</f>
        <v>NGS</v>
      </c>
      <c r="N12" t="str">
        <f>Lcode_mapping!O12</f>
        <v>-</v>
      </c>
      <c r="O12" t="str">
        <f>Lcode_mapping!P12</f>
        <v>Head</v>
      </c>
      <c r="P12" t="str">
        <f>Lcode_mapping!Q12</f>
        <v>-</v>
      </c>
      <c r="Q12" t="str">
        <f>Lcode_mapping!R12</f>
        <v>iUTCInterval</v>
      </c>
      <c r="R12" t="str">
        <f>Lcode_mapping!S12</f>
        <v>-</v>
      </c>
      <c r="S12" t="str">
        <f>Lcode_mapping!T12</f>
        <v xml:space="preserve">First and last UTC time tag in input file. </v>
      </c>
      <c r="T12" t="str">
        <f>Lcode_mapping!U12</f>
        <v>-</v>
      </c>
      <c r="U12" t="str">
        <f>Lcode_mapping!V12</f>
        <v>-</v>
      </c>
      <c r="V12" t="str">
        <f>Lcode_mapping!W12</f>
        <v>-</v>
      </c>
    </row>
    <row r="13" spans="1:22" ht="15" customHeight="1" x14ac:dyDescent="0.25">
      <c r="A13">
        <f>Lcode_mapping!A13</f>
        <v>127</v>
      </c>
      <c r="B13">
        <f>Lcode_mapping!B13</f>
        <v>1</v>
      </c>
      <c r="C13" t="str">
        <f>Lcode_mapping!D13</f>
        <v>INTERVAL</v>
      </c>
      <c r="D13">
        <f>Lcode_mapping!E13</f>
        <v>5</v>
      </c>
      <c r="E13">
        <f>Lcode_mapping!F13</f>
        <v>2</v>
      </c>
      <c r="F13">
        <f>Lcode_mapping!G13</f>
        <v>1</v>
      </c>
      <c r="G13" t="str">
        <f>Lcode_mapping!H13</f>
        <v>I</v>
      </c>
      <c r="H13">
        <f>Lcode_mapping!I13</f>
        <v>1</v>
      </c>
      <c r="I13" t="str">
        <f>Lcode_mapping!J13</f>
        <v>First last UTC tag in input file</v>
      </c>
      <c r="J13" t="str">
        <f>Lcode_mapping!K13</f>
        <v>Session</v>
      </c>
      <c r="K13" t="str">
        <f>Lcode_mapping!L13</f>
        <v>-</v>
      </c>
      <c r="L13" t="str">
        <f>Lcode_mapping!M13</f>
        <v>K</v>
      </c>
      <c r="M13" t="str">
        <f>Lcode_mapping!N13</f>
        <v>NGS</v>
      </c>
      <c r="N13" t="str">
        <f>Lcode_mapping!O13</f>
        <v>-</v>
      </c>
      <c r="O13" t="str">
        <f>Lcode_mapping!P13</f>
        <v>Head</v>
      </c>
      <c r="P13" t="str">
        <f>Lcode_mapping!Q13</f>
        <v>-</v>
      </c>
      <c r="Q13" t="str">
        <f>Lcode_mapping!R13</f>
        <v>iUTCInterval</v>
      </c>
      <c r="R13" t="str">
        <f>Lcode_mapping!S13</f>
        <v>-</v>
      </c>
      <c r="S13" t="str">
        <f>Lcode_mapping!T13</f>
        <v xml:space="preserve">First and last UTC time tag in input file. </v>
      </c>
      <c r="T13" t="str">
        <f>Lcode_mapping!U13</f>
        <v>-</v>
      </c>
      <c r="U13" t="str">
        <f>Lcode_mapping!V13</f>
        <v>-</v>
      </c>
      <c r="V13" t="str">
        <f>Lcode_mapping!W13</f>
        <v>-</v>
      </c>
    </row>
    <row r="14" spans="1:22" ht="15" customHeight="1" x14ac:dyDescent="0.25">
      <c r="A14">
        <f>Lcode_mapping!A14</f>
        <v>130</v>
      </c>
      <c r="B14">
        <f>Lcode_mapping!B14</f>
        <v>1</v>
      </c>
      <c r="C14" t="str">
        <f>Lcode_mapping!D14</f>
        <v>NUMB OBS</v>
      </c>
      <c r="D14">
        <f>Lcode_mapping!E14</f>
        <v>1</v>
      </c>
      <c r="E14">
        <f>Lcode_mapping!F14</f>
        <v>1</v>
      </c>
      <c r="F14">
        <f>Lcode_mapping!G14</f>
        <v>1</v>
      </c>
      <c r="G14" t="str">
        <f>Lcode_mapping!H14</f>
        <v>I</v>
      </c>
      <c r="H14">
        <f>Lcode_mapping!I14</f>
        <v>4</v>
      </c>
      <c r="I14" t="str">
        <f>Lcode_mapping!J14</f>
        <v>Number of observations in file.</v>
      </c>
      <c r="J14" t="str">
        <f>Lcode_mapping!K14</f>
        <v>Session</v>
      </c>
      <c r="K14" t="str">
        <f>Lcode_mapping!L14</f>
        <v>-</v>
      </c>
      <c r="L14" t="str">
        <f>Lcode_mapping!M14</f>
        <v>S</v>
      </c>
      <c r="M14" t="str">
        <f>Lcode_mapping!N14</f>
        <v>NGS</v>
      </c>
      <c r="N14" t="str">
        <f>Lcode_mapping!O14</f>
        <v>-</v>
      </c>
      <c r="O14" t="str">
        <f>Lcode_mapping!P14</f>
        <v>Head</v>
      </c>
      <c r="P14" t="str">
        <f>Lcode_mapping!Q14</f>
        <v>-</v>
      </c>
      <c r="Q14" t="str">
        <f>Lcode_mapping!R14</f>
        <v>NumObs</v>
      </c>
      <c r="R14" t="str">
        <f>Lcode_mapping!S14</f>
        <v>-</v>
      </c>
      <c r="S14" t="str">
        <f>Lcode_mapping!T14</f>
        <v>-</v>
      </c>
      <c r="T14" t="str">
        <f>Lcode_mapping!U14</f>
        <v>-</v>
      </c>
      <c r="U14" t="str">
        <f>Lcode_mapping!V14</f>
        <v>-</v>
      </c>
      <c r="V14" t="str">
        <f>Lcode_mapping!W14</f>
        <v>-</v>
      </c>
    </row>
    <row r="15" spans="1:22" ht="15" customHeight="1" x14ac:dyDescent="0.25">
      <c r="A15">
        <f>Lcode_mapping!A15</f>
        <v>129</v>
      </c>
      <c r="B15">
        <f>Lcode_mapping!B15</f>
        <v>1</v>
      </c>
      <c r="C15" t="str">
        <f>Lcode_mapping!D15</f>
        <v>NUM4 OBS</v>
      </c>
      <c r="D15">
        <f>Lcode_mapping!E15</f>
        <v>1</v>
      </c>
      <c r="E15">
        <f>Lcode_mapping!F15</f>
        <v>1</v>
      </c>
      <c r="F15">
        <f>Lcode_mapping!G15</f>
        <v>1</v>
      </c>
      <c r="G15" t="str">
        <f>Lcode_mapping!H15</f>
        <v>J</v>
      </c>
      <c r="H15">
        <f>Lcode_mapping!I15</f>
        <v>4</v>
      </c>
      <c r="I15" t="str">
        <f>Lcode_mapping!J15</f>
        <v>Number of observations (I*4)</v>
      </c>
      <c r="J15" t="str">
        <f>Lcode_mapping!K15</f>
        <v>Session</v>
      </c>
      <c r="K15" t="str">
        <f>Lcode_mapping!L15</f>
        <v>Either NUM4 OBS or NUMB OBS is required</v>
      </c>
      <c r="L15" t="str">
        <f>Lcode_mapping!M15</f>
        <v>S</v>
      </c>
      <c r="M15" t="str">
        <f>Lcode_mapping!N15</f>
        <v>NGS</v>
      </c>
      <c r="N15" t="str">
        <f>Lcode_mapping!O15</f>
        <v>-</v>
      </c>
      <c r="O15" t="str">
        <f>Lcode_mapping!P15</f>
        <v>Head</v>
      </c>
      <c r="P15" t="str">
        <f>Lcode_mapping!Q15</f>
        <v>-</v>
      </c>
      <c r="Q15" t="str">
        <f>Lcode_mapping!R15</f>
        <v>NumObs</v>
      </c>
      <c r="R15" t="str">
        <f>Lcode_mapping!S15</f>
        <v>-</v>
      </c>
      <c r="S15" t="str">
        <f>Lcode_mapping!T15</f>
        <v>-</v>
      </c>
      <c r="T15" t="str">
        <f>Lcode_mapping!U15</f>
        <v>-</v>
      </c>
      <c r="U15" t="str">
        <f>Lcode_mapping!V15</f>
        <v>-</v>
      </c>
      <c r="V15" t="str">
        <f>Lcode_mapping!W15</f>
        <v>-</v>
      </c>
    </row>
    <row r="16" spans="1:22" ht="15" customHeight="1" x14ac:dyDescent="0.25">
      <c r="A16">
        <f>Lcode_mapping!A16</f>
        <v>131</v>
      </c>
      <c r="B16" t="str">
        <f>Lcode_mapping!B16</f>
        <v>N</v>
      </c>
      <c r="C16" t="str">
        <f>Lcode_mapping!D16</f>
        <v>NumScan</v>
      </c>
      <c r="D16">
        <f>Lcode_mapping!E16</f>
        <v>1</v>
      </c>
      <c r="E16">
        <f>Lcode_mapping!F16</f>
        <v>1</v>
      </c>
      <c r="F16">
        <f>Lcode_mapping!G16</f>
        <v>1</v>
      </c>
      <c r="G16" t="str">
        <f>Lcode_mapping!H16</f>
        <v>J</v>
      </c>
      <c r="H16">
        <f>Lcode_mapping!I16</f>
        <v>1</v>
      </c>
      <c r="I16" t="str">
        <f>Lcode_mapping!J16</f>
        <v>Number of Scans (Integer*4)</v>
      </c>
      <c r="J16" t="str">
        <f>Lcode_mapping!K16</f>
        <v>Session</v>
      </c>
      <c r="K16" t="str">
        <f>Lcode_mapping!L16</f>
        <v>-</v>
      </c>
      <c r="L16" t="str">
        <f>Lcode_mapping!M16</f>
        <v>S</v>
      </c>
      <c r="M16" t="str">
        <f>Lcode_mapping!N16</f>
        <v>NGS</v>
      </c>
      <c r="N16" t="str">
        <f>Lcode_mapping!O16</f>
        <v>-</v>
      </c>
      <c r="O16" t="str">
        <f>Lcode_mapping!P16</f>
        <v>Head</v>
      </c>
      <c r="P16" t="str">
        <f>Lcode_mapping!Q16</f>
        <v>-</v>
      </c>
      <c r="Q16" t="str">
        <f>Lcode_mapping!R16</f>
        <v>NumScan</v>
      </c>
      <c r="R16" t="str">
        <f>Lcode_mapping!S16</f>
        <v>-</v>
      </c>
      <c r="S16" t="str">
        <f>Lcode_mapping!T16</f>
        <v>-</v>
      </c>
      <c r="T16" t="str">
        <f>Lcode_mapping!U16</f>
        <v>-</v>
      </c>
      <c r="U16" t="str">
        <f>Lcode_mapping!V16</f>
        <v>-</v>
      </c>
      <c r="V16" t="str">
        <f>Lcode_mapping!W16</f>
        <v>-</v>
      </c>
    </row>
    <row r="17" spans="1:22" ht="15" customHeight="1" x14ac:dyDescent="0.25">
      <c r="A17">
        <f>Lcode_mapping!A17</f>
        <v>121</v>
      </c>
      <c r="B17">
        <f>Lcode_mapping!B17</f>
        <v>1</v>
      </c>
      <c r="C17" t="str">
        <f>Lcode_mapping!D17</f>
        <v># STARS</v>
      </c>
      <c r="D17">
        <f>Lcode_mapping!E17</f>
        <v>1</v>
      </c>
      <c r="E17">
        <f>Lcode_mapping!F17</f>
        <v>1</v>
      </c>
      <c r="F17">
        <f>Lcode_mapping!G17</f>
        <v>1</v>
      </c>
      <c r="G17" t="str">
        <f>Lcode_mapping!H17</f>
        <v>I</v>
      </c>
      <c r="H17">
        <f>Lcode_mapping!I17</f>
        <v>1</v>
      </c>
      <c r="I17" t="str">
        <f>Lcode_mapping!J17</f>
        <v>Number of radio sources.</v>
      </c>
      <c r="J17" t="str">
        <f>Lcode_mapping!K17</f>
        <v>Session</v>
      </c>
      <c r="K17" t="str">
        <f>Lcode_mapping!L17</f>
        <v>-</v>
      </c>
      <c r="L17" t="str">
        <f>Lcode_mapping!M17</f>
        <v>R</v>
      </c>
      <c r="M17" t="str">
        <f>Lcode_mapping!N17</f>
        <v>NGS</v>
      </c>
      <c r="N17" t="str">
        <f>Lcode_mapping!O17</f>
        <v>-</v>
      </c>
      <c r="O17" t="str">
        <f>Lcode_mapping!P17</f>
        <v>Head</v>
      </c>
      <c r="P17" t="str">
        <f>Lcode_mapping!Q17</f>
        <v>-</v>
      </c>
      <c r="Q17" t="str">
        <f>Lcode_mapping!R17</f>
        <v>NumSource</v>
      </c>
      <c r="R17" t="str">
        <f>Lcode_mapping!S17</f>
        <v>-</v>
      </c>
      <c r="S17" t="str">
        <f>Lcode_mapping!T17</f>
        <v>-</v>
      </c>
      <c r="T17" t="str">
        <f>Lcode_mapping!U17</f>
        <v>-</v>
      </c>
      <c r="U17" t="str">
        <f>Lcode_mapping!V17</f>
        <v>-</v>
      </c>
      <c r="V17" t="str">
        <f>Lcode_mapping!W17</f>
        <v>-</v>
      </c>
    </row>
    <row r="18" spans="1:22" ht="15" customHeight="1" x14ac:dyDescent="0.25">
      <c r="A18">
        <f>Lcode_mapping!A18</f>
        <v>120</v>
      </c>
      <c r="B18">
        <f>Lcode_mapping!B18</f>
        <v>1</v>
      </c>
      <c r="C18" t="str">
        <f>Lcode_mapping!D18</f>
        <v># SITES</v>
      </c>
      <c r="D18">
        <f>Lcode_mapping!E18</f>
        <v>1</v>
      </c>
      <c r="E18">
        <f>Lcode_mapping!F18</f>
        <v>1</v>
      </c>
      <c r="F18">
        <f>Lcode_mapping!G18</f>
        <v>1</v>
      </c>
      <c r="G18" t="str">
        <f>Lcode_mapping!H18</f>
        <v>I</v>
      </c>
      <c r="H18">
        <f>Lcode_mapping!I18</f>
        <v>1</v>
      </c>
      <c r="I18" t="str">
        <f>Lcode_mapping!J18</f>
        <v>Number of sites.</v>
      </c>
      <c r="J18" t="str">
        <f>Lcode_mapping!K18</f>
        <v>Session</v>
      </c>
      <c r="K18" t="str">
        <f>Lcode_mapping!L18</f>
        <v>-</v>
      </c>
      <c r="L18" t="str">
        <f>Lcode_mapping!M18</f>
        <v>R</v>
      </c>
      <c r="M18" t="str">
        <f>Lcode_mapping!N18</f>
        <v>NGS</v>
      </c>
      <c r="N18" t="str">
        <f>Lcode_mapping!O18</f>
        <v>-</v>
      </c>
      <c r="O18" t="str">
        <f>Lcode_mapping!P18</f>
        <v>Head</v>
      </c>
      <c r="P18" t="str">
        <f>Lcode_mapping!Q18</f>
        <v>-</v>
      </c>
      <c r="Q18" t="str">
        <f>Lcode_mapping!R18</f>
        <v>NumStation</v>
      </c>
      <c r="R18" t="str">
        <f>Lcode_mapping!S18</f>
        <v>-</v>
      </c>
      <c r="S18" t="str">
        <f>Lcode_mapping!T18</f>
        <v>-</v>
      </c>
      <c r="T18" t="str">
        <f>Lcode_mapping!U18</f>
        <v>-</v>
      </c>
      <c r="U18" t="str">
        <f>Lcode_mapping!V18</f>
        <v>-</v>
      </c>
      <c r="V18" t="str">
        <f>Lcode_mapping!W18</f>
        <v>-</v>
      </c>
    </row>
    <row r="19" spans="1:22" ht="15" customHeight="1" x14ac:dyDescent="0.25">
      <c r="A19">
        <f>Lcode_mapping!A19</f>
        <v>132</v>
      </c>
      <c r="B19">
        <f>Lcode_mapping!B19</f>
        <v>1</v>
      </c>
      <c r="C19" t="str">
        <f>Lcode_mapping!D19</f>
        <v>PI NAME</v>
      </c>
      <c r="D19">
        <f>Lcode_mapping!E19</f>
        <v>40</v>
      </c>
      <c r="E19">
        <f>Lcode_mapping!F19</f>
        <v>1</v>
      </c>
      <c r="F19">
        <f>Lcode_mapping!G19</f>
        <v>1</v>
      </c>
      <c r="G19" t="str">
        <f>Lcode_mapping!H19</f>
        <v>A</v>
      </c>
      <c r="H19">
        <f>Lcode_mapping!I19</f>
        <v>1</v>
      </c>
      <c r="I19" t="str">
        <f>Lcode_mapping!J19</f>
        <v>Agency/contact_person/PI name.</v>
      </c>
      <c r="J19" t="str">
        <f>Lcode_mapping!K19</f>
        <v>Session</v>
      </c>
      <c r="K19" t="str">
        <f>Lcode_mapping!L19</f>
        <v>-</v>
      </c>
      <c r="L19" t="str">
        <f>Lcode_mapping!M19</f>
        <v>K</v>
      </c>
      <c r="M19" t="str">
        <f>Lcode_mapping!N19</f>
        <v>NGS</v>
      </c>
      <c r="N19" t="str">
        <f>Lcode_mapping!O19</f>
        <v>-</v>
      </c>
      <c r="O19" t="str">
        <f>Lcode_mapping!P19</f>
        <v>Head</v>
      </c>
      <c r="P19" t="str">
        <f>Lcode_mapping!Q19</f>
        <v>-</v>
      </c>
      <c r="Q19" t="str">
        <f>Lcode_mapping!R19</f>
        <v>PrincipalInvestigator</v>
      </c>
      <c r="R19" t="str">
        <f>Lcode_mapping!S19</f>
        <v>-</v>
      </c>
      <c r="S19" t="str">
        <f>Lcode_mapping!T19</f>
        <v>-</v>
      </c>
      <c r="T19" t="str">
        <f>Lcode_mapping!U19</f>
        <v>-</v>
      </c>
      <c r="U19" t="str">
        <f>Lcode_mapping!V19</f>
        <v>-</v>
      </c>
      <c r="V19" t="str">
        <f>Lcode_mapping!W19</f>
        <v>-</v>
      </c>
    </row>
    <row r="20" spans="1:22" ht="15" customHeight="1" x14ac:dyDescent="0.25">
      <c r="A20">
        <f>Lcode_mapping!A20</f>
        <v>133</v>
      </c>
      <c r="B20">
        <f>Lcode_mapping!B20</f>
        <v>1</v>
      </c>
      <c r="C20" t="str">
        <f>Lcode_mapping!D20</f>
        <v>RECMODE</v>
      </c>
      <c r="D20">
        <f>Lcode_mapping!E20</f>
        <v>40</v>
      </c>
      <c r="E20">
        <f>Lcode_mapping!F20</f>
        <v>1</v>
      </c>
      <c r="F20">
        <f>Lcode_mapping!G20</f>
        <v>1</v>
      </c>
      <c r="G20" t="str">
        <f>Lcode_mapping!H20</f>
        <v>A</v>
      </c>
      <c r="H20">
        <f>Lcode_mapping!I20</f>
        <v>1</v>
      </c>
      <c r="I20" t="str">
        <f>Lcode_mapping!J20</f>
        <v>Recoding mode.</v>
      </c>
      <c r="J20" t="str">
        <f>Lcode_mapping!K20</f>
        <v>Session</v>
      </c>
      <c r="K20" t="str">
        <f>Lcode_mapping!L20</f>
        <v>-</v>
      </c>
      <c r="L20" t="str">
        <f>Lcode_mapping!M20</f>
        <v>K</v>
      </c>
      <c r="M20" t="str">
        <f>Lcode_mapping!N20</f>
        <v>Solve</v>
      </c>
      <c r="N20" t="str">
        <f>Lcode_mapping!O20</f>
        <v>-</v>
      </c>
      <c r="O20" t="str">
        <f>Lcode_mapping!P20</f>
        <v>Head</v>
      </c>
      <c r="P20" t="str">
        <f>Lcode_mapping!Q20</f>
        <v>-</v>
      </c>
      <c r="Q20" t="str">
        <f>Lcode_mapping!R20</f>
        <v>RecordingMode</v>
      </c>
      <c r="R20" t="str">
        <f>Lcode_mapping!S20</f>
        <v>-</v>
      </c>
      <c r="S20" t="str">
        <f>Lcode_mapping!T20</f>
        <v>-</v>
      </c>
      <c r="T20" t="str">
        <f>Lcode_mapping!U20</f>
        <v>-</v>
      </c>
      <c r="U20" t="str">
        <f>Lcode_mapping!V20</f>
        <v>-</v>
      </c>
      <c r="V20" t="str">
        <f>Lcode_mapping!W20</f>
        <v>-</v>
      </c>
    </row>
    <row r="21" spans="1:22" ht="15" customHeight="1" x14ac:dyDescent="0.25">
      <c r="A21">
        <f>Lcode_mapping!A21</f>
        <v>135</v>
      </c>
      <c r="B21" t="str">
        <f>Lcode_mapping!B21</f>
        <v>N</v>
      </c>
      <c r="C21" t="str">
        <f>Lcode_mapping!D21</f>
        <v>SourceList</v>
      </c>
      <c r="D21">
        <f>Lcode_mapping!E21</f>
        <v>4</v>
      </c>
      <c r="E21">
        <f>Lcode_mapping!F21</f>
        <v>70</v>
      </c>
      <c r="F21">
        <f>Lcode_mapping!G21</f>
        <v>1</v>
      </c>
      <c r="G21" t="str">
        <f>Lcode_mapping!H21</f>
        <v>A</v>
      </c>
      <c r="H21">
        <f>Lcode_mapping!I21</f>
        <v>1</v>
      </c>
      <c r="I21" t="str">
        <f>Lcode_mapping!J21</f>
        <v>Source names array.</v>
      </c>
      <c r="J21" t="str">
        <f>Lcode_mapping!K21</f>
        <v>Session</v>
      </c>
      <c r="K21" t="str">
        <f>Lcode_mapping!L21</f>
        <v>-</v>
      </c>
      <c r="L21" t="str">
        <f>Lcode_mapping!M21</f>
        <v>K</v>
      </c>
      <c r="M21" t="str">
        <f>Lcode_mapping!N21</f>
        <v>NGS</v>
      </c>
      <c r="N21" t="str">
        <f>Lcode_mapping!O21</f>
        <v>-</v>
      </c>
      <c r="O21" t="str">
        <f>Lcode_mapping!P21</f>
        <v>Head</v>
      </c>
      <c r="P21" t="str">
        <f>Lcode_mapping!Q21</f>
        <v>-</v>
      </c>
      <c r="Q21" t="str">
        <f>Lcode_mapping!R21</f>
        <v>SourceList</v>
      </c>
      <c r="R21" t="str">
        <f>Lcode_mapping!S21</f>
        <v>-</v>
      </c>
      <c r="S21" t="str">
        <f>Lcode_mapping!T21</f>
        <v>-</v>
      </c>
      <c r="T21" t="str">
        <f>Lcode_mapping!U21</f>
        <v>-</v>
      </c>
      <c r="U21" t="str">
        <f>Lcode_mapping!V21</f>
        <v>-</v>
      </c>
      <c r="V21" t="str">
        <f>Lcode_mapping!W21</f>
        <v>-</v>
      </c>
    </row>
    <row r="22" spans="1:22" ht="15" customHeight="1" x14ac:dyDescent="0.25">
      <c r="A22">
        <f>Lcode_mapping!A22</f>
        <v>134</v>
      </c>
      <c r="B22" t="str">
        <f>Lcode_mapping!B22</f>
        <v>N</v>
      </c>
      <c r="C22" t="str">
        <f>Lcode_mapping!D22</f>
        <v>StationList</v>
      </c>
      <c r="D22">
        <f>Lcode_mapping!E22</f>
        <v>4</v>
      </c>
      <c r="E22">
        <f>Lcode_mapping!F22</f>
        <v>11</v>
      </c>
      <c r="F22">
        <f>Lcode_mapping!G22</f>
        <v>1</v>
      </c>
      <c r="G22" t="str">
        <f>Lcode_mapping!H22</f>
        <v>A</v>
      </c>
      <c r="H22">
        <f>Lcode_mapping!I22</f>
        <v>1</v>
      </c>
      <c r="I22" t="str">
        <f>Lcode_mapping!J22</f>
        <v>Site names array.</v>
      </c>
      <c r="J22" t="str">
        <f>Lcode_mapping!K22</f>
        <v>Session</v>
      </c>
      <c r="K22" t="str">
        <f>Lcode_mapping!L22</f>
        <v>-</v>
      </c>
      <c r="L22" t="str">
        <f>Lcode_mapping!M22</f>
        <v>K</v>
      </c>
      <c r="M22" t="str">
        <f>Lcode_mapping!N22</f>
        <v>NGS</v>
      </c>
      <c r="N22" t="str">
        <f>Lcode_mapping!O22</f>
        <v>-</v>
      </c>
      <c r="O22" t="str">
        <f>Lcode_mapping!P22</f>
        <v>Head</v>
      </c>
      <c r="P22" t="str">
        <f>Lcode_mapping!Q22</f>
        <v>-</v>
      </c>
      <c r="Q22" t="str">
        <f>Lcode_mapping!R22</f>
        <v>StationList</v>
      </c>
      <c r="R22" t="str">
        <f>Lcode_mapping!S22</f>
        <v>-</v>
      </c>
      <c r="S22" t="str">
        <f>Lcode_mapping!T22</f>
        <v>-</v>
      </c>
      <c r="T22" t="str">
        <f>Lcode_mapping!U22</f>
        <v>-</v>
      </c>
      <c r="U22" t="str">
        <f>Lcode_mapping!V22</f>
        <v>-</v>
      </c>
      <c r="V22" t="str">
        <f>Lcode_mapping!W22</f>
        <v>-</v>
      </c>
    </row>
    <row r="23" spans="1:22" ht="15" customHeight="1" x14ac:dyDescent="0.25">
      <c r="A23">
        <f>Lcode_mapping!A23</f>
        <v>266</v>
      </c>
      <c r="B23">
        <f>Lcode_mapping!B23</f>
        <v>2</v>
      </c>
      <c r="C23" t="str">
        <f>Lcode_mapping!D23</f>
        <v>AZ-THEO</v>
      </c>
      <c r="D23">
        <f>Lcode_mapping!E23</f>
        <v>2</v>
      </c>
      <c r="E23">
        <f>Lcode_mapping!F23</f>
        <v>2</v>
      </c>
      <c r="F23">
        <f>Lcode_mapping!G23</f>
        <v>1</v>
      </c>
      <c r="G23" t="str">
        <f>Lcode_mapping!H23</f>
        <v>R</v>
      </c>
      <c r="H23">
        <f>Lcode_mapping!I23</f>
        <v>5</v>
      </c>
      <c r="I23" t="str">
        <f>Lcode_mapping!J23</f>
        <v>Azimuth array definition</v>
      </c>
      <c r="J23" t="str">
        <f>Lcode_mapping!K23</f>
        <v>Station</v>
      </c>
      <c r="K23" t="str">
        <f>Lcode_mapping!L23</f>
        <v>-</v>
      </c>
      <c r="L23" t="str">
        <f>Lcode_mapping!M23</f>
        <v>K</v>
      </c>
      <c r="M23" t="str">
        <f>Lcode_mapping!N23</f>
        <v>NGS</v>
      </c>
      <c r="N23" t="str">
        <f>Lcode_mapping!O23</f>
        <v>-</v>
      </c>
      <c r="O23" t="str">
        <f>Lcode_mapping!P23</f>
        <v>AzEl</v>
      </c>
      <c r="P23" t="str">
        <f>Lcode_mapping!Q23</f>
        <v>-</v>
      </c>
      <c r="Q23" t="str">
        <f>Lcode_mapping!R23</f>
        <v>AzTheo</v>
      </c>
      <c r="R23" t="str">
        <f>Lcode_mapping!S23</f>
        <v>-</v>
      </c>
      <c r="S23" t="str">
        <f>Lcode_mapping!T23</f>
        <v>-</v>
      </c>
      <c r="T23">
        <f>Lcode_mapping!U23</f>
        <v>2</v>
      </c>
      <c r="U23" t="str">
        <f>Lcode_mapping!V23</f>
        <v>radian</v>
      </c>
      <c r="V23" t="str">
        <f>Lcode_mapping!W23</f>
        <v>1.d-8  2.d-11</v>
      </c>
    </row>
    <row r="24" spans="1:22" ht="15" customHeight="1" x14ac:dyDescent="0.25">
      <c r="A24">
        <f>Lcode_mapping!A24</f>
        <v>267</v>
      </c>
      <c r="B24">
        <f>Lcode_mapping!B24</f>
        <v>2</v>
      </c>
      <c r="C24" t="str">
        <f>Lcode_mapping!D24</f>
        <v>EL-THEO</v>
      </c>
      <c r="D24">
        <f>Lcode_mapping!E24</f>
        <v>2</v>
      </c>
      <c r="E24">
        <f>Lcode_mapping!F24</f>
        <v>2</v>
      </c>
      <c r="F24">
        <f>Lcode_mapping!G24</f>
        <v>1</v>
      </c>
      <c r="G24" t="str">
        <f>Lcode_mapping!H24</f>
        <v>R</v>
      </c>
      <c r="H24">
        <f>Lcode_mapping!I24</f>
        <v>5</v>
      </c>
      <c r="I24" t="str">
        <f>Lcode_mapping!J24</f>
        <v>Elevation array definition</v>
      </c>
      <c r="J24" t="str">
        <f>Lcode_mapping!K24</f>
        <v>Station</v>
      </c>
      <c r="K24" t="str">
        <f>Lcode_mapping!L24</f>
        <v>-</v>
      </c>
      <c r="L24" t="str">
        <f>Lcode_mapping!M24</f>
        <v>K</v>
      </c>
      <c r="M24" t="str">
        <f>Lcode_mapping!N24</f>
        <v>NGS</v>
      </c>
      <c r="N24" t="str">
        <f>Lcode_mapping!O24</f>
        <v>-</v>
      </c>
      <c r="O24" t="str">
        <f>Lcode_mapping!P24</f>
        <v>AzEl</v>
      </c>
      <c r="P24" t="str">
        <f>Lcode_mapping!Q24</f>
        <v>-</v>
      </c>
      <c r="Q24" t="str">
        <f>Lcode_mapping!R24</f>
        <v>ElTheo</v>
      </c>
      <c r="R24" t="str">
        <f>Lcode_mapping!S24</f>
        <v>-</v>
      </c>
      <c r="S24" t="str">
        <f>Lcode_mapping!T24</f>
        <v>-</v>
      </c>
      <c r="T24">
        <f>Lcode_mapping!U24</f>
        <v>2</v>
      </c>
      <c r="U24" t="str">
        <f>Lcode_mapping!V24</f>
        <v>radian</v>
      </c>
      <c r="V24" t="str">
        <f>Lcode_mapping!W24</f>
        <v>1.d-8  2.d-11</v>
      </c>
    </row>
    <row r="25" spans="1:22" ht="15" customHeight="1" x14ac:dyDescent="0.25">
      <c r="A25">
        <f>Lcode_mapping!A25</f>
        <v>268</v>
      </c>
      <c r="B25">
        <f>Lcode_mapping!B25</f>
        <v>2</v>
      </c>
      <c r="C25" t="str">
        <f>Lcode_mapping!D25</f>
        <v>AXO CONT</v>
      </c>
      <c r="D25">
        <f>Lcode_mapping!E25</f>
        <v>2</v>
      </c>
      <c r="E25">
        <f>Lcode_mapping!F25</f>
        <v>2</v>
      </c>
      <c r="F25">
        <f>Lcode_mapping!G25</f>
        <v>1</v>
      </c>
      <c r="G25" t="str">
        <f>Lcode_mapping!H25</f>
        <v>R</v>
      </c>
      <c r="H25">
        <f>Lcode_mapping!I25</f>
        <v>5</v>
      </c>
      <c r="I25" t="str">
        <f>Lcode_mapping!J25</f>
        <v>New Axis Offset Contributions</v>
      </c>
      <c r="J25" t="str">
        <f>Lcode_mapping!K25</f>
        <v>Station</v>
      </c>
      <c r="K25" t="str">
        <f>Lcode_mapping!L25</f>
        <v>-</v>
      </c>
      <c r="L25" t="str">
        <f>Lcode_mapping!M25</f>
        <v>K</v>
      </c>
      <c r="M25" t="str">
        <f>Lcode_mapping!N25</f>
        <v>Solve</v>
      </c>
      <c r="N25" t="str">
        <f>Lcode_mapping!O25</f>
        <v>-</v>
      </c>
      <c r="O25" t="str">
        <f>Lcode_mapping!P25</f>
        <v>Cal-AxisOffset</v>
      </c>
      <c r="P25" t="str">
        <f>Lcode_mapping!Q25</f>
        <v>Y</v>
      </c>
      <c r="Q25" t="str">
        <f>Lcode_mapping!R25</f>
        <v>Cal-AxisOffset</v>
      </c>
      <c r="R25" t="str">
        <f>Lcode_mapping!S25</f>
        <v>-</v>
      </c>
      <c r="S25" t="str">
        <f>Lcode_mapping!T25</f>
        <v>-</v>
      </c>
      <c r="T25">
        <f>Lcode_mapping!U25</f>
        <v>2</v>
      </c>
      <c r="U25" t="str">
        <f>Lcode_mapping!V25</f>
        <v>second</v>
      </c>
      <c r="V25" t="str">
        <f>Lcode_mapping!W25</f>
        <v>1.0d-13   2.d-18 Flip</v>
      </c>
    </row>
    <row r="26" spans="1:22" ht="15" customHeight="1" x14ac:dyDescent="0.25">
      <c r="A26">
        <f>Lcode_mapping!A26</f>
        <v>269</v>
      </c>
      <c r="B26">
        <f>Lcode_mapping!B26</f>
        <v>2</v>
      </c>
      <c r="C26" t="str">
        <f>Lcode_mapping!D26</f>
        <v>CABL DEL</v>
      </c>
      <c r="D26">
        <f>Lcode_mapping!E26</f>
        <v>2</v>
      </c>
      <c r="E26">
        <f>Lcode_mapping!F26</f>
        <v>2</v>
      </c>
      <c r="F26">
        <f>Lcode_mapping!G26</f>
        <v>1</v>
      </c>
      <c r="G26" t="str">
        <f>Lcode_mapping!H26</f>
        <v>R</v>
      </c>
      <c r="H26">
        <f>Lcode_mapping!I26</f>
        <v>3</v>
      </c>
      <c r="I26" t="str">
        <f>Lcode_mapping!J26</f>
        <v>Cable calibration data</v>
      </c>
      <c r="J26" t="str">
        <f>Lcode_mapping!K26</f>
        <v>Station</v>
      </c>
      <c r="K26" t="str">
        <f>Lcode_mapping!L26</f>
        <v>-</v>
      </c>
      <c r="L26" t="str">
        <f>Lcode_mapping!M26</f>
        <v>K</v>
      </c>
      <c r="M26" t="str">
        <f>Lcode_mapping!N26</f>
        <v>NGS</v>
      </c>
      <c r="N26" t="str">
        <f>Lcode_mapping!O26</f>
        <v>-</v>
      </c>
      <c r="O26" t="str">
        <f>Lcode_mapping!P26</f>
        <v>Cal-Cable</v>
      </c>
      <c r="P26" t="str">
        <f>Lcode_mapping!Q26</f>
        <v>-</v>
      </c>
      <c r="Q26" t="str">
        <f>Lcode_mapping!R26</f>
        <v>Cal-Cable</v>
      </c>
      <c r="R26" t="str">
        <f>Lcode_mapping!S26</f>
        <v>-</v>
      </c>
      <c r="S26" t="str">
        <f>Lcode_mapping!T26</f>
        <v>-</v>
      </c>
      <c r="T26">
        <f>Lcode_mapping!U26</f>
        <v>1</v>
      </c>
      <c r="U26" t="str">
        <f>Lcode_mapping!V26</f>
        <v>second</v>
      </c>
      <c r="V26" t="str">
        <f>Lcode_mapping!W26</f>
        <v xml:space="preserve">1.d-15  2.d-18  </v>
      </c>
    </row>
    <row r="27" spans="1:22" ht="15" customHeight="1" x14ac:dyDescent="0.25">
      <c r="A27">
        <f>Lcode_mapping!A27</f>
        <v>271</v>
      </c>
      <c r="B27" t="str">
        <f>Lcode_mapping!B27</f>
        <v>N</v>
      </c>
      <c r="C27" t="str">
        <f>Lcode_mapping!D27</f>
        <v>CableDataFlag</v>
      </c>
      <c r="D27">
        <f>Lcode_mapping!E27</f>
        <v>1</v>
      </c>
      <c r="E27">
        <f>Lcode_mapping!F27</f>
        <v>1</v>
      </c>
      <c r="F27">
        <f>Lcode_mapping!G27</f>
        <v>1</v>
      </c>
      <c r="G27" t="str">
        <f>Lcode_mapping!H27</f>
        <v>I</v>
      </c>
      <c r="H27">
        <f>Lcode_mapping!I27</f>
        <v>3</v>
      </c>
      <c r="I27" t="str">
        <f>Lcode_mapping!J27</f>
        <v>-</v>
      </c>
      <c r="J27" t="str">
        <f>Lcode_mapping!K27</f>
        <v>Station</v>
      </c>
      <c r="K27" t="str">
        <f>Lcode_mapping!L27</f>
        <v>-</v>
      </c>
      <c r="L27" t="str">
        <f>Lcode_mapping!M27</f>
        <v>K</v>
      </c>
      <c r="M27" t="str">
        <f>Lcode_mapping!N27</f>
        <v>NGS</v>
      </c>
      <c r="N27" t="str">
        <f>Lcode_mapping!O27</f>
        <v>-</v>
      </c>
      <c r="O27" t="str">
        <f>Lcode_mapping!P27</f>
        <v>Cal-Cable</v>
      </c>
      <c r="P27" t="str">
        <f>Lcode_mapping!Q27</f>
        <v>-</v>
      </c>
      <c r="Q27" t="str">
        <f>Lcode_mapping!R27</f>
        <v>Cal-CableDataFlag</v>
      </c>
      <c r="R27" t="str">
        <f>Lcode_mapping!S27</f>
        <v>-</v>
      </c>
      <c r="S27" t="str">
        <f>Lcode_mapping!T27</f>
        <v>0=OK, -1=Missing,  -2=bad, 1=Used Near pt</v>
      </c>
      <c r="T27" t="str">
        <f>Lcode_mapping!U27</f>
        <v>-</v>
      </c>
      <c r="U27" t="str">
        <f>Lcode_mapping!V27</f>
        <v>-</v>
      </c>
      <c r="V27" t="str">
        <f>Lcode_mapping!W27</f>
        <v>-</v>
      </c>
    </row>
    <row r="28" spans="1:22" ht="15" customHeight="1" x14ac:dyDescent="0.25">
      <c r="A28">
        <f>Lcode_mapping!A28</f>
        <v>270</v>
      </c>
      <c r="B28" t="str">
        <f>Lcode_mapping!B28</f>
        <v>N</v>
      </c>
      <c r="C28" t="str">
        <f>Lcode_mapping!D28</f>
        <v>CableCalHistory</v>
      </c>
      <c r="D28">
        <f>Lcode_mapping!E28</f>
        <v>30</v>
      </c>
      <c r="E28">
        <f>Lcode_mapping!F28</f>
        <v>1</v>
      </c>
      <c r="F28">
        <f>Lcode_mapping!G28</f>
        <v>1</v>
      </c>
      <c r="G28" t="str">
        <f>Lcode_mapping!H28</f>
        <v>A</v>
      </c>
      <c r="H28" t="str">
        <f>Lcode_mapping!I28</f>
        <v>N</v>
      </c>
      <c r="I28" t="str">
        <f>Lcode_mapping!J28</f>
        <v>Description of cable-cal processing</v>
      </c>
      <c r="J28" t="str">
        <f>Lcode_mapping!K28</f>
        <v>Station</v>
      </c>
      <c r="K28" t="str">
        <f>Lcode_mapping!L28</f>
        <v>-</v>
      </c>
      <c r="L28" t="str">
        <f>Lcode_mapping!M28</f>
        <v>K</v>
      </c>
      <c r="M28" t="str">
        <f>Lcode_mapping!N28</f>
        <v>Solve</v>
      </c>
      <c r="N28" t="str">
        <f>Lcode_mapping!O28</f>
        <v>-</v>
      </c>
      <c r="O28" t="str">
        <f>Lcode_mapping!P28</f>
        <v>Cal-Cable</v>
      </c>
      <c r="P28" t="str">
        <f>Lcode_mapping!Q28</f>
        <v>-</v>
      </c>
      <c r="Q28" t="str">
        <f>Lcode_mapping!R28</f>
        <v>Cal-CableHistory</v>
      </c>
      <c r="R28" t="str">
        <f>Lcode_mapping!S28</f>
        <v>-</v>
      </c>
      <c r="S28" t="str">
        <f>Lcode_mapping!T28</f>
        <v>-</v>
      </c>
      <c r="T28" t="str">
        <f>Lcode_mapping!U28</f>
        <v>-</v>
      </c>
      <c r="U28" t="str">
        <f>Lcode_mapping!V28</f>
        <v>-</v>
      </c>
      <c r="V28" t="str">
        <f>Lcode_mapping!W28</f>
        <v>-</v>
      </c>
    </row>
    <row r="29" spans="1:22" ht="15" customHeight="1" x14ac:dyDescent="0.25">
      <c r="A29">
        <f>Lcode_mapping!A29</f>
        <v>272</v>
      </c>
      <c r="B29">
        <f>Lcode_mapping!B29</f>
        <v>2</v>
      </c>
      <c r="C29" t="str">
        <f>Lcode_mapping!D29</f>
        <v>NDRYCONT</v>
      </c>
      <c r="D29">
        <f>Lcode_mapping!E29</f>
        <v>2</v>
      </c>
      <c r="E29">
        <f>Lcode_mapping!F29</f>
        <v>2</v>
      </c>
      <c r="F29">
        <f>Lcode_mapping!G29</f>
        <v>1</v>
      </c>
      <c r="G29" t="str">
        <f>Lcode_mapping!H29</f>
        <v>R</v>
      </c>
      <c r="H29">
        <f>Lcode_mapping!I29</f>
        <v>5</v>
      </c>
      <c r="I29" t="str">
        <f>Lcode_mapping!J29</f>
        <v>Nhmf (dry) atm. contribution</v>
      </c>
      <c r="J29" t="str">
        <f>Lcode_mapping!K29</f>
        <v>Station</v>
      </c>
      <c r="K29" t="str">
        <f>Lcode_mapping!L29</f>
        <v>-</v>
      </c>
      <c r="L29" t="str">
        <f>Lcode_mapping!M29</f>
        <v>K</v>
      </c>
      <c r="M29" t="str">
        <f>Lcode_mapping!N29</f>
        <v>Solve</v>
      </c>
      <c r="N29" t="str">
        <f>Lcode_mapping!O29</f>
        <v>-</v>
      </c>
      <c r="O29" t="str">
        <f>Lcode_mapping!P29</f>
        <v>Cal-SlantPathTropDry_kNMF</v>
      </c>
      <c r="P29" t="str">
        <f>Lcode_mapping!Q29</f>
        <v>Y</v>
      </c>
      <c r="Q29" t="str">
        <f>Lcode_mapping!R29</f>
        <v>Cal-SlantPathTropDry</v>
      </c>
      <c r="R29" t="str">
        <f>Lcode_mapping!S29</f>
        <v>-</v>
      </c>
      <c r="S29" t="str">
        <f>Lcode_mapping!T29</f>
        <v>-</v>
      </c>
      <c r="T29">
        <f>Lcode_mapping!U29</f>
        <v>2</v>
      </c>
      <c r="U29" t="str">
        <f>Lcode_mapping!V29</f>
        <v>second</v>
      </c>
      <c r="V29" t="str">
        <f>Lcode_mapping!W29</f>
        <v>1.d-13 1.d-16  Flip</v>
      </c>
    </row>
    <row r="30" spans="1:22" ht="15" customHeight="1" x14ac:dyDescent="0.25">
      <c r="A30">
        <f>Lcode_mapping!A30</f>
        <v>273</v>
      </c>
      <c r="B30">
        <f>Lcode_mapping!B30</f>
        <v>2</v>
      </c>
      <c r="C30" t="str">
        <f>Lcode_mapping!D30</f>
        <v>NWETCONT</v>
      </c>
      <c r="D30">
        <f>Lcode_mapping!E30</f>
        <v>2</v>
      </c>
      <c r="E30">
        <f>Lcode_mapping!F30</f>
        <v>2</v>
      </c>
      <c r="F30">
        <f>Lcode_mapping!G30</f>
        <v>1</v>
      </c>
      <c r="G30" t="str">
        <f>Lcode_mapping!H30</f>
        <v>R</v>
      </c>
      <c r="H30">
        <f>Lcode_mapping!I30</f>
        <v>5</v>
      </c>
      <c r="I30" t="str">
        <f>Lcode_mapping!J30</f>
        <v>Whmf (wet) atm. contribution</v>
      </c>
      <c r="J30" t="str">
        <f>Lcode_mapping!K30</f>
        <v>Station</v>
      </c>
      <c r="K30" t="str">
        <f>Lcode_mapping!L30</f>
        <v>-</v>
      </c>
      <c r="L30" t="str">
        <f>Lcode_mapping!M30</f>
        <v>K</v>
      </c>
      <c r="M30" t="str">
        <f>Lcode_mapping!N30</f>
        <v>Solve</v>
      </c>
      <c r="N30" t="str">
        <f>Lcode_mapping!O30</f>
        <v>-</v>
      </c>
      <c r="O30" t="str">
        <f>Lcode_mapping!P30</f>
        <v>Cal-SlantPathTropWet_kNMF</v>
      </c>
      <c r="P30" t="str">
        <f>Lcode_mapping!Q30</f>
        <v>Y</v>
      </c>
      <c r="Q30" t="str">
        <f>Lcode_mapping!R30</f>
        <v>Cal-SlantPathTropWet</v>
      </c>
      <c r="R30" t="str">
        <f>Lcode_mapping!S30</f>
        <v>-</v>
      </c>
      <c r="S30" t="str">
        <f>Lcode_mapping!T30</f>
        <v>-</v>
      </c>
      <c r="T30">
        <f>Lcode_mapping!U30</f>
        <v>2</v>
      </c>
      <c r="U30" t="str">
        <f>Lcode_mapping!V30</f>
        <v>second</v>
      </c>
      <c r="V30" t="str">
        <f>Lcode_mapping!W30</f>
        <v>1.d-13 1.d-16  Flip</v>
      </c>
    </row>
    <row r="31" spans="1:22" ht="15" customHeight="1" x14ac:dyDescent="0.25">
      <c r="A31">
        <f>Lcode_mapping!A31</f>
        <v>274</v>
      </c>
      <c r="B31">
        <f>Lcode_mapping!B31</f>
        <v>2</v>
      </c>
      <c r="C31" t="str">
        <f>Lcode_mapping!D31</f>
        <v>OCE HORZ</v>
      </c>
      <c r="D31">
        <f>Lcode_mapping!E31</f>
        <v>2</v>
      </c>
      <c r="E31">
        <f>Lcode_mapping!F31</f>
        <v>2</v>
      </c>
      <c r="F31">
        <f>Lcode_mapping!G31</f>
        <v>1</v>
      </c>
      <c r="G31" t="str">
        <f>Lcode_mapping!H31</f>
        <v>R</v>
      </c>
      <c r="H31">
        <f>Lcode_mapping!I31</f>
        <v>5</v>
      </c>
      <c r="I31" t="str">
        <f>Lcode_mapping!J31</f>
        <v>Site-dep ocean cont - horizontal</v>
      </c>
      <c r="J31" t="str">
        <f>Lcode_mapping!K31</f>
        <v>Station</v>
      </c>
      <c r="K31" t="str">
        <f>Lcode_mapping!L31</f>
        <v>-</v>
      </c>
      <c r="L31" t="str">
        <f>Lcode_mapping!M31</f>
        <v>K</v>
      </c>
      <c r="M31" t="str">
        <f>Lcode_mapping!N31</f>
        <v>-</v>
      </c>
      <c r="N31" t="str">
        <f>Lcode_mapping!O31</f>
        <v>-</v>
      </c>
      <c r="O31" t="str">
        <f>Lcode_mapping!P31</f>
        <v>Cal-StationOceanLoad</v>
      </c>
      <c r="P31" t="str">
        <f>Lcode_mapping!Q31</f>
        <v>Y</v>
      </c>
      <c r="Q31" t="str">
        <f>Lcode_mapping!R31</f>
        <v>Cal-StationOceanLoadHoriz</v>
      </c>
      <c r="R31" t="str">
        <f>Lcode_mapping!S31</f>
        <v>-</v>
      </c>
      <c r="S31" t="str">
        <f>Lcode_mapping!T31</f>
        <v>-</v>
      </c>
      <c r="T31">
        <f>Lcode_mapping!U31</f>
        <v>2</v>
      </c>
      <c r="U31" t="str">
        <f>Lcode_mapping!V31</f>
        <v>second</v>
      </c>
      <c r="V31" t="str">
        <f>Lcode_mapping!W31</f>
        <v>1.d-6 1.d-9</v>
      </c>
    </row>
    <row r="32" spans="1:22" ht="15" customHeight="1" x14ac:dyDescent="0.25">
      <c r="A32">
        <f>Lcode_mapping!A32</f>
        <v>275</v>
      </c>
      <c r="B32">
        <f>Lcode_mapping!B32</f>
        <v>2</v>
      </c>
      <c r="C32" t="str">
        <f>Lcode_mapping!D32</f>
        <v>OCE VERT</v>
      </c>
      <c r="D32">
        <f>Lcode_mapping!E32</f>
        <v>2</v>
      </c>
      <c r="E32">
        <f>Lcode_mapping!F32</f>
        <v>2</v>
      </c>
      <c r="F32">
        <f>Lcode_mapping!G32</f>
        <v>1</v>
      </c>
      <c r="G32" t="str">
        <f>Lcode_mapping!H32</f>
        <v>R</v>
      </c>
      <c r="H32">
        <f>Lcode_mapping!I32</f>
        <v>5</v>
      </c>
      <c r="I32" t="str">
        <f>Lcode_mapping!J32</f>
        <v>Site-dep ocean cont - vertical</v>
      </c>
      <c r="J32" t="str">
        <f>Lcode_mapping!K32</f>
        <v>Station</v>
      </c>
      <c r="K32" t="str">
        <f>Lcode_mapping!L32</f>
        <v>-</v>
      </c>
      <c r="L32" t="str">
        <f>Lcode_mapping!M32</f>
        <v>K</v>
      </c>
      <c r="M32" t="str">
        <f>Lcode_mapping!N32</f>
        <v>-</v>
      </c>
      <c r="N32" t="str">
        <f>Lcode_mapping!O32</f>
        <v>-</v>
      </c>
      <c r="O32" t="str">
        <f>Lcode_mapping!P32</f>
        <v>Cal-StationOceanLoad</v>
      </c>
      <c r="P32" t="str">
        <f>Lcode_mapping!Q32</f>
        <v>Y</v>
      </c>
      <c r="Q32" t="str">
        <f>Lcode_mapping!R32</f>
        <v>Cal-StationOceanLoadVert</v>
      </c>
      <c r="R32" t="str">
        <f>Lcode_mapping!S32</f>
        <v>-</v>
      </c>
      <c r="S32" t="str">
        <f>Lcode_mapping!T32</f>
        <v>-</v>
      </c>
      <c r="T32">
        <f>Lcode_mapping!U32</f>
        <v>2</v>
      </c>
      <c r="U32" t="str">
        <f>Lcode_mapping!V32</f>
        <v>second</v>
      </c>
      <c r="V32" t="str">
        <f>Lcode_mapping!W32</f>
        <v>1.d-6 1.d-9</v>
      </c>
    </row>
    <row r="33" spans="1:22" ht="15" customHeight="1" x14ac:dyDescent="0.25">
      <c r="A33">
        <f>Lcode_mapping!A33</f>
        <v>276</v>
      </c>
      <c r="B33">
        <f>Lcode_mapping!B33</f>
        <v>2</v>
      </c>
      <c r="C33" t="str">
        <f>Lcode_mapping!D33</f>
        <v>OCE DELD</v>
      </c>
      <c r="D33">
        <f>Lcode_mapping!E33</f>
        <v>3</v>
      </c>
      <c r="E33">
        <f>Lcode_mapping!F33</f>
        <v>2</v>
      </c>
      <c r="F33">
        <f>Lcode_mapping!G33</f>
        <v>2</v>
      </c>
      <c r="G33" t="str">
        <f>Lcode_mapping!H33</f>
        <v>R</v>
      </c>
      <c r="H33">
        <f>Lcode_mapping!I33</f>
        <v>5</v>
      </c>
      <c r="I33" t="str">
        <f>Lcode_mapping!J33</f>
        <v>Ocean load site depndnt displace</v>
      </c>
      <c r="J33" t="str">
        <f>Lcode_mapping!K33</f>
        <v>Station</v>
      </c>
      <c r="K33" t="str">
        <f>Lcode_mapping!L33</f>
        <v>-</v>
      </c>
      <c r="L33" t="str">
        <f>Lcode_mapping!M33</f>
        <v>K</v>
      </c>
      <c r="M33" t="str">
        <f>Lcode_mapping!N33</f>
        <v>-</v>
      </c>
      <c r="N33" t="str">
        <f>Lcode_mapping!O33</f>
        <v>-</v>
      </c>
      <c r="O33" t="str">
        <f>Lcode_mapping!P33</f>
        <v>Dis-OceanLoad</v>
      </c>
      <c r="P33" t="str">
        <f>Lcode_mapping!Q33</f>
        <v>Y</v>
      </c>
      <c r="Q33" t="str">
        <f>Lcode_mapping!R33</f>
        <v>Dis-OceanLoad</v>
      </c>
      <c r="R33" t="str">
        <f>Lcode_mapping!S33</f>
        <v>-</v>
      </c>
      <c r="S33" t="str">
        <f>Lcode_mapping!T33</f>
        <v>-</v>
      </c>
      <c r="T33">
        <f>Lcode_mapping!U33</f>
        <v>2</v>
      </c>
      <c r="U33" t="str">
        <f>Lcode_mapping!V33</f>
        <v>meter</v>
      </c>
      <c r="V33" t="str">
        <f>Lcode_mapping!W33</f>
        <v>1.d-6 1.d-9</v>
      </c>
    </row>
    <row r="34" spans="1:22" ht="15" customHeight="1" x14ac:dyDescent="0.25">
      <c r="A34">
        <f>Lcode_mapping!A34</f>
        <v>280</v>
      </c>
      <c r="B34">
        <f>Lcode_mapping!B34</f>
        <v>2</v>
      </c>
      <c r="C34" t="str">
        <f>Lcode_mapping!D34</f>
        <v>PARANGLE</v>
      </c>
      <c r="D34">
        <f>Lcode_mapping!E34</f>
        <v>2</v>
      </c>
      <c r="E34">
        <f>Lcode_mapping!F34</f>
        <v>1</v>
      </c>
      <c r="F34">
        <f>Lcode_mapping!G34</f>
        <v>1</v>
      </c>
      <c r="G34" t="str">
        <f>Lcode_mapping!H34</f>
        <v>R</v>
      </c>
      <c r="H34">
        <f>Lcode_mapping!I34</f>
        <v>5</v>
      </c>
      <c r="I34" t="str">
        <f>Lcode_mapping!J34</f>
        <v>Feedhorn rot. angle  ref and rem</v>
      </c>
      <c r="J34" t="str">
        <f>Lcode_mapping!K34</f>
        <v>Station</v>
      </c>
      <c r="K34" t="str">
        <f>Lcode_mapping!L34</f>
        <v>-</v>
      </c>
      <c r="L34" t="str">
        <f>Lcode_mapping!M34</f>
        <v>k</v>
      </c>
      <c r="M34" t="str">
        <f>Lcode_mapping!N34</f>
        <v>-</v>
      </c>
      <c r="N34" t="str">
        <f>Lcode_mapping!O34</f>
        <v>-</v>
      </c>
      <c r="O34" t="str">
        <f>Lcode_mapping!P34</f>
        <v>FeedRotation</v>
      </c>
      <c r="P34" t="str">
        <f>Lcode_mapping!Q34</f>
        <v>Y</v>
      </c>
      <c r="Q34" t="str">
        <f>Lcode_mapping!R34</f>
        <v>FeedRotation</v>
      </c>
      <c r="R34" t="str">
        <f>Lcode_mapping!S34</f>
        <v>-</v>
      </c>
      <c r="S34" t="str">
        <f>Lcode_mapping!T34</f>
        <v>Feedhorn rotation angle.</v>
      </c>
      <c r="T34">
        <f>Lcode_mapping!U34</f>
        <v>1</v>
      </c>
      <c r="U34" t="str">
        <f>Lcode_mapping!V34</f>
        <v>degree</v>
      </c>
      <c r="V34" t="str">
        <f>Lcode_mapping!W34</f>
        <v>1.d-6</v>
      </c>
    </row>
    <row r="35" spans="1:22" ht="15" customHeight="1" x14ac:dyDescent="0.25">
      <c r="A35">
        <f>Lcode_mapping!A35</f>
        <v>277</v>
      </c>
      <c r="B35">
        <f>Lcode_mapping!B35</f>
        <v>2</v>
      </c>
      <c r="C35" t="str">
        <f>Lcode_mapping!D35</f>
        <v>ATM PRES</v>
      </c>
      <c r="D35">
        <f>Lcode_mapping!E35</f>
        <v>2</v>
      </c>
      <c r="E35">
        <f>Lcode_mapping!F35</f>
        <v>2</v>
      </c>
      <c r="F35">
        <f>Lcode_mapping!G35</f>
        <v>1</v>
      </c>
      <c r="G35" t="str">
        <f>Lcode_mapping!H35</f>
        <v>R</v>
      </c>
      <c r="H35">
        <f>Lcode_mapping!I35</f>
        <v>3</v>
      </c>
      <c r="I35" t="str">
        <f>Lcode_mapping!J35</f>
        <v>Pressure in mb at site</v>
      </c>
      <c r="J35" t="str">
        <f>Lcode_mapping!K35</f>
        <v>Station</v>
      </c>
      <c r="K35" t="str">
        <f>Lcode_mapping!L35</f>
        <v>-</v>
      </c>
      <c r="L35" t="str">
        <f>Lcode_mapping!M35</f>
        <v>K</v>
      </c>
      <c r="M35" t="str">
        <f>Lcode_mapping!N35</f>
        <v>NGS</v>
      </c>
      <c r="N35" t="str">
        <f>Lcode_mapping!O35</f>
        <v>-</v>
      </c>
      <c r="O35" t="str">
        <f>Lcode_mapping!P35</f>
        <v>Met</v>
      </c>
      <c r="P35" t="str">
        <f>Lcode_mapping!Q35</f>
        <v>-</v>
      </c>
      <c r="Q35" t="str">
        <f>Lcode_mapping!R35</f>
        <v>AtmPres</v>
      </c>
      <c r="R35" t="str">
        <f>Lcode_mapping!S35</f>
        <v>-</v>
      </c>
      <c r="S35" t="str">
        <f>Lcode_mapping!T35</f>
        <v>Pressure in hPa at site</v>
      </c>
      <c r="T35">
        <f>Lcode_mapping!U35</f>
        <v>1</v>
      </c>
      <c r="U35" t="str">
        <f>Lcode_mapping!V35</f>
        <v>hPa</v>
      </c>
      <c r="V35" t="str">
        <f>Lcode_mapping!W35</f>
        <v>1.d-4</v>
      </c>
    </row>
    <row r="36" spans="1:22" ht="15" customHeight="1" x14ac:dyDescent="0.25">
      <c r="A36">
        <f>Lcode_mapping!A36</f>
        <v>278</v>
      </c>
      <c r="B36">
        <f>Lcode_mapping!B36</f>
        <v>2</v>
      </c>
      <c r="C36" t="str">
        <f>Lcode_mapping!D36</f>
        <v>REL.HUM.</v>
      </c>
      <c r="D36">
        <f>Lcode_mapping!E36</f>
        <v>2</v>
      </c>
      <c r="E36">
        <f>Lcode_mapping!F36</f>
        <v>2</v>
      </c>
      <c r="F36">
        <f>Lcode_mapping!G36</f>
        <v>1</v>
      </c>
      <c r="G36" t="str">
        <f>Lcode_mapping!H36</f>
        <v>R</v>
      </c>
      <c r="H36">
        <f>Lcode_mapping!I36</f>
        <v>3</v>
      </c>
      <c r="I36" t="str">
        <f>Lcode_mapping!J36</f>
        <v>Rel.Hum. at local WX st (50%=.5)</v>
      </c>
      <c r="J36" t="str">
        <f>Lcode_mapping!K36</f>
        <v>Station</v>
      </c>
      <c r="K36" t="str">
        <f>Lcode_mapping!L36</f>
        <v>-</v>
      </c>
      <c r="L36" t="str">
        <f>Lcode_mapping!M36</f>
        <v>K</v>
      </c>
      <c r="M36" t="str">
        <f>Lcode_mapping!N36</f>
        <v>NGS</v>
      </c>
      <c r="N36" t="str">
        <f>Lcode_mapping!O36</f>
        <v>-</v>
      </c>
      <c r="O36" t="str">
        <f>Lcode_mapping!P36</f>
        <v>Met</v>
      </c>
      <c r="P36" t="str">
        <f>Lcode_mapping!Q36</f>
        <v>-</v>
      </c>
      <c r="Q36" t="str">
        <f>Lcode_mapping!R36</f>
        <v>RelHum</v>
      </c>
      <c r="R36" t="str">
        <f>Lcode_mapping!S36</f>
        <v>-</v>
      </c>
      <c r="S36" t="str">
        <f>Lcode_mapping!T36</f>
        <v>-</v>
      </c>
      <c r="T36">
        <f>Lcode_mapping!U36</f>
        <v>1</v>
      </c>
      <c r="U36" t="str">
        <f>Lcode_mapping!V36</f>
        <v>%</v>
      </c>
      <c r="V36" t="str">
        <f>Lcode_mapping!W36</f>
        <v>1.d-4</v>
      </c>
    </row>
    <row r="37" spans="1:22" ht="15" customHeight="1" x14ac:dyDescent="0.25">
      <c r="A37">
        <f>Lcode_mapping!A37</f>
        <v>279</v>
      </c>
      <c r="B37">
        <f>Lcode_mapping!B37</f>
        <v>2</v>
      </c>
      <c r="C37" t="str">
        <f>Lcode_mapping!D37</f>
        <v>TEMP C</v>
      </c>
      <c r="D37">
        <f>Lcode_mapping!E37</f>
        <v>2</v>
      </c>
      <c r="E37">
        <f>Lcode_mapping!F37</f>
        <v>2</v>
      </c>
      <c r="F37">
        <f>Lcode_mapping!G37</f>
        <v>1</v>
      </c>
      <c r="G37" t="str">
        <f>Lcode_mapping!H37</f>
        <v>R</v>
      </c>
      <c r="H37">
        <f>Lcode_mapping!I37</f>
        <v>3</v>
      </c>
      <c r="I37" t="str">
        <f>Lcode_mapping!J37</f>
        <v>Temp in C at local WX station</v>
      </c>
      <c r="J37" t="str">
        <f>Lcode_mapping!K37</f>
        <v>Station</v>
      </c>
      <c r="K37" t="str">
        <f>Lcode_mapping!L37</f>
        <v>-</v>
      </c>
      <c r="L37" t="str">
        <f>Lcode_mapping!M37</f>
        <v>K</v>
      </c>
      <c r="M37" t="str">
        <f>Lcode_mapping!N37</f>
        <v>NGS</v>
      </c>
      <c r="N37" t="str">
        <f>Lcode_mapping!O37</f>
        <v>-</v>
      </c>
      <c r="O37" t="str">
        <f>Lcode_mapping!P37</f>
        <v>Met</v>
      </c>
      <c r="P37" t="str">
        <f>Lcode_mapping!Q37</f>
        <v>-</v>
      </c>
      <c r="Q37" t="str">
        <f>Lcode_mapping!R37</f>
        <v>TempC</v>
      </c>
      <c r="R37" t="str">
        <f>Lcode_mapping!S37</f>
        <v>-</v>
      </c>
      <c r="S37" t="str">
        <f>Lcode_mapping!T37</f>
        <v>-</v>
      </c>
      <c r="T37">
        <f>Lcode_mapping!U37</f>
        <v>1</v>
      </c>
      <c r="U37" t="str">
        <f>Lcode_mapping!V37</f>
        <v>Celsius</v>
      </c>
      <c r="V37" t="str">
        <f>Lcode_mapping!W37</f>
        <v>1.d-4</v>
      </c>
    </row>
    <row r="38" spans="1:22" ht="15" customHeight="1" x14ac:dyDescent="0.25">
      <c r="A38">
        <f>Lcode_mapping!A38</f>
        <v>281</v>
      </c>
      <c r="B38">
        <f>Lcode_mapping!B38</f>
        <v>2</v>
      </c>
      <c r="C38" t="str">
        <f>Lcode_mapping!D38</f>
        <v>AXO PART</v>
      </c>
      <c r="D38">
        <f>Lcode_mapping!E38</f>
        <v>2</v>
      </c>
      <c r="E38">
        <f>Lcode_mapping!F38</f>
        <v>2</v>
      </c>
      <c r="F38">
        <f>Lcode_mapping!G38</f>
        <v>1</v>
      </c>
      <c r="G38" t="str">
        <f>Lcode_mapping!H38</f>
        <v>R</v>
      </c>
      <c r="H38">
        <f>Lcode_mapping!I38</f>
        <v>5</v>
      </c>
      <c r="I38" t="str">
        <f>Lcode_mapping!J38</f>
        <v>Axis Offset partial deriv. def.</v>
      </c>
      <c r="J38" t="str">
        <f>Lcode_mapping!K38</f>
        <v>Station</v>
      </c>
      <c r="K38" t="str">
        <f>Lcode_mapping!L38</f>
        <v>-</v>
      </c>
      <c r="L38" t="str">
        <f>Lcode_mapping!M38</f>
        <v>K</v>
      </c>
      <c r="M38" t="str">
        <f>Lcode_mapping!N38</f>
        <v>Solve</v>
      </c>
      <c r="N38" t="str">
        <f>Lcode_mapping!O38</f>
        <v>-</v>
      </c>
      <c r="O38" t="str">
        <f>Lcode_mapping!P38</f>
        <v>Part-AxisOffset</v>
      </c>
      <c r="P38" t="str">
        <f>Lcode_mapping!Q38</f>
        <v>Y</v>
      </c>
      <c r="Q38" t="str">
        <f>Lcode_mapping!R38</f>
        <v>Part-AxisOffset</v>
      </c>
      <c r="R38" t="str">
        <f>Lcode_mapping!S38</f>
        <v>-</v>
      </c>
      <c r="S38" t="str">
        <f>Lcode_mapping!T38</f>
        <v>-</v>
      </c>
      <c r="T38">
        <f>Lcode_mapping!U38</f>
        <v>2</v>
      </c>
      <c r="U38" t="str">
        <f>Lcode_mapping!V38</f>
        <v>second</v>
      </c>
      <c r="V38" t="str">
        <f>Lcode_mapping!W38</f>
        <v>1.d-14   2.d-18 Flip</v>
      </c>
    </row>
    <row r="39" spans="1:22" ht="15" customHeight="1" x14ac:dyDescent="0.25">
      <c r="A39">
        <f>Lcode_mapping!A39</f>
        <v>294</v>
      </c>
      <c r="B39">
        <f>Lcode_mapping!B39</f>
        <v>2</v>
      </c>
      <c r="C39" t="str">
        <f>Lcode_mapping!D39</f>
        <v>NGRADPAR</v>
      </c>
      <c r="D39">
        <f>Lcode_mapping!E39</f>
        <v>2</v>
      </c>
      <c r="E39">
        <f>Lcode_mapping!F39</f>
        <v>2</v>
      </c>
      <c r="F39">
        <f>Lcode_mapping!G39</f>
        <v>2</v>
      </c>
      <c r="G39" t="str">
        <f>Lcode_mapping!H39</f>
        <v>R</v>
      </c>
      <c r="H39">
        <f>Lcode_mapping!I39</f>
        <v>5</v>
      </c>
      <c r="I39" t="str">
        <f>Lcode_mapping!J39</f>
        <v>Niell dry atm. gradient partials</v>
      </c>
      <c r="J39" t="str">
        <f>Lcode_mapping!K39</f>
        <v>Station</v>
      </c>
      <c r="K39" t="str">
        <f>Lcode_mapping!L39</f>
        <v>-</v>
      </c>
      <c r="L39" t="str">
        <f>Lcode_mapping!M39</f>
        <v>S</v>
      </c>
      <c r="M39" t="str">
        <f>Lcode_mapping!N39</f>
        <v>Solve</v>
      </c>
      <c r="N39" t="str">
        <f>Lcode_mapping!O39</f>
        <v>-</v>
      </c>
      <c r="O39" t="str">
        <f>Lcode_mapping!P39</f>
        <v>Part-HorizonGrad_kNMF</v>
      </c>
      <c r="P39" t="str">
        <f>Lcode_mapping!Q39</f>
        <v>Y</v>
      </c>
      <c r="Q39" t="str">
        <f>Lcode_mapping!R39</f>
        <v>Part-HorizonGrad</v>
      </c>
      <c r="R39" t="str">
        <f>Lcode_mapping!S39</f>
        <v>NMFGrad_EW NMFGrad_NS</v>
      </c>
      <c r="S39" t="str">
        <f>Lcode_mapping!T39</f>
        <v>-</v>
      </c>
      <c r="T39">
        <f>Lcode_mapping!U39</f>
        <v>2</v>
      </c>
      <c r="U39" t="str">
        <f>Lcode_mapping!V39</f>
        <v>second</v>
      </c>
      <c r="V39" t="str">
        <f>Lcode_mapping!W39</f>
        <v>1.d-6 1.d-9  Flip</v>
      </c>
    </row>
    <row r="40" spans="1:22" ht="15" customHeight="1" x14ac:dyDescent="0.25">
      <c r="A40">
        <f>Lcode_mapping!A40</f>
        <v>282</v>
      </c>
      <c r="B40">
        <f>Lcode_mapping!B40</f>
        <v>2</v>
      </c>
      <c r="C40" t="str">
        <f>Lcode_mapping!D40</f>
        <v>NDRYPART</v>
      </c>
      <c r="D40">
        <f>Lcode_mapping!E40</f>
        <v>2</v>
      </c>
      <c r="E40">
        <f>Lcode_mapping!F40</f>
        <v>2</v>
      </c>
      <c r="F40">
        <f>Lcode_mapping!G40</f>
        <v>1</v>
      </c>
      <c r="G40" t="str">
        <f>Lcode_mapping!H40</f>
        <v>R</v>
      </c>
      <c r="H40">
        <f>Lcode_mapping!I40</f>
        <v>5</v>
      </c>
      <c r="I40" t="str">
        <f>Lcode_mapping!J40</f>
        <v>Nhmf2 dry partial deriv. def.</v>
      </c>
      <c r="J40" t="str">
        <f>Lcode_mapping!K40</f>
        <v>Station</v>
      </c>
      <c r="K40" t="str">
        <f>Lcode_mapping!L40</f>
        <v>-</v>
      </c>
      <c r="L40" t="str">
        <f>Lcode_mapping!M40</f>
        <v>K</v>
      </c>
      <c r="M40" t="str">
        <f>Lcode_mapping!N40</f>
        <v>Solve</v>
      </c>
      <c r="N40" t="str">
        <f>Lcode_mapping!O40</f>
        <v>-</v>
      </c>
      <c r="O40" t="str">
        <f>Lcode_mapping!P40</f>
        <v>Part-ZenithPathTropDry_kNMF</v>
      </c>
      <c r="P40" t="str">
        <f>Lcode_mapping!Q40</f>
        <v>Y</v>
      </c>
      <c r="Q40" t="str">
        <f>Lcode_mapping!R40</f>
        <v>Part-ZenithPathTropDry</v>
      </c>
      <c r="R40" t="str">
        <f>Lcode_mapping!S40</f>
        <v>-</v>
      </c>
      <c r="S40" t="str">
        <f>Lcode_mapping!T40</f>
        <v>-</v>
      </c>
      <c r="T40">
        <f>Lcode_mapping!U40</f>
        <v>2</v>
      </c>
      <c r="U40" t="str">
        <f>Lcode_mapping!V40</f>
        <v>second</v>
      </c>
      <c r="V40" t="str">
        <f>Lcode_mapping!W40</f>
        <v>1.d-6 1.d-9  Flip</v>
      </c>
    </row>
    <row r="41" spans="1:22" ht="15" customHeight="1" x14ac:dyDescent="0.25">
      <c r="A41">
        <f>Lcode_mapping!A41</f>
        <v>283</v>
      </c>
      <c r="B41">
        <f>Lcode_mapping!B41</f>
        <v>2</v>
      </c>
      <c r="C41" t="str">
        <f>Lcode_mapping!D41</f>
        <v>NWETPART</v>
      </c>
      <c r="D41">
        <f>Lcode_mapping!E41</f>
        <v>2</v>
      </c>
      <c r="E41">
        <f>Lcode_mapping!F41</f>
        <v>2</v>
      </c>
      <c r="F41">
        <f>Lcode_mapping!G41</f>
        <v>1</v>
      </c>
      <c r="G41" t="str">
        <f>Lcode_mapping!H41</f>
        <v>R</v>
      </c>
      <c r="H41">
        <f>Lcode_mapping!I41</f>
        <v>5</v>
      </c>
      <c r="I41" t="str">
        <f>Lcode_mapping!J41</f>
        <v>Whmf2 wet partial deriv. def.</v>
      </c>
      <c r="J41" t="str">
        <f>Lcode_mapping!K41</f>
        <v>Station</v>
      </c>
      <c r="K41" t="str">
        <f>Lcode_mapping!L41</f>
        <v>-</v>
      </c>
      <c r="L41" t="str">
        <f>Lcode_mapping!M41</f>
        <v>K</v>
      </c>
      <c r="M41" t="str">
        <f>Lcode_mapping!N41</f>
        <v>Solve</v>
      </c>
      <c r="N41" t="str">
        <f>Lcode_mapping!O41</f>
        <v>-</v>
      </c>
      <c r="O41" t="str">
        <f>Lcode_mapping!P41</f>
        <v>Part-ZenithPathTropWet_kNMF</v>
      </c>
      <c r="P41" t="str">
        <f>Lcode_mapping!Q41</f>
        <v>Y</v>
      </c>
      <c r="Q41" t="str">
        <f>Lcode_mapping!R41</f>
        <v>Part-ZenithPathTropWet</v>
      </c>
      <c r="R41" t="str">
        <f>Lcode_mapping!S41</f>
        <v>-</v>
      </c>
      <c r="S41" t="str">
        <f>Lcode_mapping!T41</f>
        <v>NMF Wet Partial</v>
      </c>
      <c r="T41">
        <f>Lcode_mapping!U41</f>
        <v>2</v>
      </c>
      <c r="U41" t="str">
        <f>Lcode_mapping!V41</f>
        <v>second</v>
      </c>
      <c r="V41" t="str">
        <f>Lcode_mapping!W41</f>
        <v>1.d-6 1.d-9  Flip</v>
      </c>
    </row>
    <row r="42" spans="1:22" ht="15" customHeight="1" x14ac:dyDescent="0.25">
      <c r="A42">
        <f>Lcode_mapping!A42</f>
        <v>284</v>
      </c>
      <c r="B42" t="str">
        <f>Lcode_mapping!B42</f>
        <v>N</v>
      </c>
      <c r="C42" t="str">
        <f>Lcode_mapping!D42</f>
        <v>StationTimeSecond</v>
      </c>
      <c r="D42">
        <f>Lcode_mapping!E42</f>
        <v>1</v>
      </c>
      <c r="E42">
        <f>Lcode_mapping!F42</f>
        <v>1</v>
      </c>
      <c r="F42">
        <f>Lcode_mapping!G42</f>
        <v>1</v>
      </c>
      <c r="G42" t="str">
        <f>Lcode_mapping!H42</f>
        <v>R</v>
      </c>
      <c r="H42" t="str">
        <f>Lcode_mapping!I42</f>
        <v>N</v>
      </c>
      <c r="I42" t="str">
        <f>Lcode_mapping!J42</f>
        <v>-</v>
      </c>
      <c r="J42" t="str">
        <f>Lcode_mapping!K42</f>
        <v>Station</v>
      </c>
      <c r="K42" t="str">
        <f>Lcode_mapping!L42</f>
        <v>-</v>
      </c>
      <c r="L42" t="str">
        <f>Lcode_mapping!M42</f>
        <v>K</v>
      </c>
      <c r="M42" t="str">
        <f>Lcode_mapping!N42</f>
        <v>NGS</v>
      </c>
      <c r="N42" t="str">
        <f>Lcode_mapping!O42</f>
        <v>-</v>
      </c>
      <c r="O42" t="str">
        <f>Lcode_mapping!P42</f>
        <v>TimeUTC</v>
      </c>
      <c r="P42" t="str">
        <f>Lcode_mapping!Q42</f>
        <v>-</v>
      </c>
      <c r="Q42" t="str">
        <f>Lcode_mapping!R42</f>
        <v>Second</v>
      </c>
      <c r="R42" t="str">
        <f>Lcode_mapping!S42</f>
        <v>-</v>
      </c>
      <c r="S42" t="str">
        <f>Lcode_mapping!T42</f>
        <v>Seconds part of time-tag</v>
      </c>
      <c r="T42" t="str">
        <f>Lcode_mapping!U42</f>
        <v>-</v>
      </c>
      <c r="U42" t="str">
        <f>Lcode_mapping!V42</f>
        <v>second</v>
      </c>
      <c r="V42" t="str">
        <f>Lcode_mapping!W42</f>
        <v>-</v>
      </c>
    </row>
    <row r="43" spans="1:22" ht="15" customHeight="1" x14ac:dyDescent="0.25">
      <c r="A43">
        <f>Lcode_mapping!A43</f>
        <v>285</v>
      </c>
      <c r="B43" t="str">
        <f>Lcode_mapping!B43</f>
        <v>N</v>
      </c>
      <c r="C43" t="str">
        <f>Lcode_mapping!D43</f>
        <v>StationTimeYMDHM</v>
      </c>
      <c r="D43">
        <f>Lcode_mapping!E43</f>
        <v>5</v>
      </c>
      <c r="E43">
        <f>Lcode_mapping!F43</f>
        <v>1</v>
      </c>
      <c r="F43">
        <f>Lcode_mapping!G43</f>
        <v>1</v>
      </c>
      <c r="G43" t="str">
        <f>Lcode_mapping!H43</f>
        <v>I</v>
      </c>
      <c r="H43" t="str">
        <f>Lcode_mapping!I43</f>
        <v>N</v>
      </c>
      <c r="I43" t="str">
        <f>Lcode_mapping!J43</f>
        <v>-</v>
      </c>
      <c r="J43" t="str">
        <f>Lcode_mapping!K43</f>
        <v>Station</v>
      </c>
      <c r="K43" t="str">
        <f>Lcode_mapping!L43</f>
        <v>-</v>
      </c>
      <c r="L43" t="str">
        <f>Lcode_mapping!M43</f>
        <v>K</v>
      </c>
      <c r="M43" t="str">
        <f>Lcode_mapping!N43</f>
        <v>NGS</v>
      </c>
      <c r="N43" t="str">
        <f>Lcode_mapping!O43</f>
        <v>-</v>
      </c>
      <c r="O43" t="str">
        <f>Lcode_mapping!P43</f>
        <v>TimeUTC</v>
      </c>
      <c r="P43" t="str">
        <f>Lcode_mapping!Q43</f>
        <v>-</v>
      </c>
      <c r="Q43" t="str">
        <f>Lcode_mapping!R43</f>
        <v>YMDHM</v>
      </c>
      <c r="R43" t="str">
        <f>Lcode_mapping!S43</f>
        <v>-</v>
      </c>
      <c r="S43" t="str">
        <f>Lcode_mapping!T43</f>
        <v>Year, Month, Day, Hour, Minute part of time-tag</v>
      </c>
      <c r="T43" t="str">
        <f>Lcode_mapping!U43</f>
        <v>-</v>
      </c>
      <c r="U43" t="str">
        <f>Lcode_mapping!V43</f>
        <v>-</v>
      </c>
      <c r="V43" t="str">
        <f>Lcode_mapping!W43</f>
        <v>-</v>
      </c>
    </row>
    <row r="44" spans="1:22" ht="15" customHeight="1" x14ac:dyDescent="0.25">
      <c r="A44">
        <f>Lcode_mapping!A44</f>
        <v>287</v>
      </c>
      <c r="B44">
        <f>Lcode_mapping!B44</f>
        <v>2</v>
      </c>
      <c r="C44" t="str">
        <f>Lcode_mapping!D44</f>
        <v>F12 VOLT</v>
      </c>
      <c r="D44">
        <f>Lcode_mapping!E44</f>
        <v>2</v>
      </c>
      <c r="E44">
        <f>Lcode_mapping!F44</f>
        <v>2</v>
      </c>
      <c r="F44">
        <f>Lcode_mapping!G44</f>
        <v>1</v>
      </c>
      <c r="G44" t="str">
        <f>Lcode_mapping!H44</f>
        <v>R</v>
      </c>
      <c r="H44">
        <f>Lcode_mapping!I44</f>
        <v>1</v>
      </c>
      <c r="I44" t="str">
        <f>Lcode_mapping!J44</f>
        <v>F1, F2 VOLT          .</v>
      </c>
      <c r="J44" t="str">
        <f>Lcode_mapping!K44</f>
        <v>Station</v>
      </c>
      <c r="K44" t="str">
        <f>Lcode_mapping!L44</f>
        <v>-</v>
      </c>
      <c r="L44" t="str">
        <f>Lcode_mapping!M44</f>
        <v>K</v>
      </c>
      <c r="M44" t="str">
        <f>Lcode_mapping!N44</f>
        <v>Solve</v>
      </c>
      <c r="N44" t="str">
        <f>Lcode_mapping!O44</f>
        <v>-</v>
      </c>
      <c r="O44" t="str">
        <f>Lcode_mapping!P44</f>
        <v>WVR</v>
      </c>
      <c r="P44" t="str">
        <f>Lcode_mapping!Q44</f>
        <v>-</v>
      </c>
      <c r="Q44" t="str">
        <f>Lcode_mapping!R44</f>
        <v>F12VOLT</v>
      </c>
      <c r="R44" t="str">
        <f>Lcode_mapping!S44</f>
        <v>-</v>
      </c>
      <c r="S44" t="str">
        <f>Lcode_mapping!T44</f>
        <v>-</v>
      </c>
      <c r="T44">
        <f>Lcode_mapping!U44</f>
        <v>1</v>
      </c>
      <c r="U44" t="str">
        <f>Lcode_mapping!V44</f>
        <v>V</v>
      </c>
      <c r="V44" t="str">
        <f>Lcode_mapping!W44</f>
        <v>-</v>
      </c>
    </row>
    <row r="45" spans="1:22" ht="15" customHeight="1" x14ac:dyDescent="0.25">
      <c r="A45">
        <f>Lcode_mapping!A45</f>
        <v>292</v>
      </c>
      <c r="B45">
        <f>Lcode_mapping!B45</f>
        <v>2</v>
      </c>
      <c r="C45" t="str">
        <f>Lcode_mapping!D45</f>
        <v>WVRDELAY</v>
      </c>
      <c r="D45">
        <f>Lcode_mapping!E45</f>
        <v>2</v>
      </c>
      <c r="E45">
        <f>Lcode_mapping!F45</f>
        <v>2</v>
      </c>
      <c r="F45">
        <f>Lcode_mapping!G45</f>
        <v>2</v>
      </c>
      <c r="G45" t="str">
        <f>Lcode_mapping!H45</f>
        <v>R</v>
      </c>
      <c r="H45">
        <f>Lcode_mapping!I45</f>
        <v>1</v>
      </c>
      <c r="I45" t="str">
        <f>Lcode_mapping!J45</f>
        <v>WVR line of sight &amp; ZENITH(sec)</v>
      </c>
      <c r="J45" t="str">
        <f>Lcode_mapping!K45</f>
        <v>Station</v>
      </c>
      <c r="K45" t="str">
        <f>Lcode_mapping!L45</f>
        <v>-</v>
      </c>
      <c r="L45" t="str">
        <f>Lcode_mapping!M45</f>
        <v>K</v>
      </c>
      <c r="M45" t="str">
        <f>Lcode_mapping!N45</f>
        <v>Solve</v>
      </c>
      <c r="N45" t="str">
        <f>Lcode_mapping!O45</f>
        <v>-</v>
      </c>
      <c r="O45" t="str">
        <f>Lcode_mapping!P45</f>
        <v>WVR</v>
      </c>
      <c r="P45" t="str">
        <f>Lcode_mapping!Q45</f>
        <v>-</v>
      </c>
      <c r="Q45" t="str">
        <f>Lcode_mapping!R45</f>
        <v>WVRDelay</v>
      </c>
      <c r="R45" t="str">
        <f>Lcode_mapping!S45</f>
        <v>-</v>
      </c>
      <c r="S45" t="str">
        <f>Lcode_mapping!T45</f>
        <v>-</v>
      </c>
      <c r="T45">
        <f>Lcode_mapping!U45</f>
        <v>1</v>
      </c>
      <c r="U45" t="str">
        <f>Lcode_mapping!V45</f>
        <v>ns</v>
      </c>
      <c r="V45" t="str">
        <f>Lcode_mapping!W45</f>
        <v>-</v>
      </c>
    </row>
    <row r="46" spans="1:22" ht="15" customHeight="1" x14ac:dyDescent="0.25">
      <c r="A46">
        <f>Lcode_mapping!A46</f>
        <v>291</v>
      </c>
      <c r="B46">
        <f>Lcode_mapping!B46</f>
        <v>2</v>
      </c>
      <c r="C46" t="str">
        <f>Lcode_mapping!D46</f>
        <v>WVR.DELY</v>
      </c>
      <c r="D46">
        <f>Lcode_mapping!E46</f>
        <v>2</v>
      </c>
      <c r="E46">
        <f>Lcode_mapping!F46</f>
        <v>2</v>
      </c>
      <c r="F46">
        <f>Lcode_mapping!G46</f>
        <v>1</v>
      </c>
      <c r="G46" t="str">
        <f>Lcode_mapping!H46</f>
        <v>R</v>
      </c>
      <c r="H46">
        <f>Lcode_mapping!I46</f>
        <v>1</v>
      </c>
      <c r="I46" t="str">
        <f>Lcode_mapping!J46</f>
        <v>WVR PATH DELAYWVR PATH DELAY AND</v>
      </c>
      <c r="J46" t="str">
        <f>Lcode_mapping!K46</f>
        <v>Station</v>
      </c>
      <c r="K46" t="str">
        <f>Lcode_mapping!L46</f>
        <v>-</v>
      </c>
      <c r="L46" t="str">
        <f>Lcode_mapping!M46</f>
        <v>K</v>
      </c>
      <c r="M46" t="str">
        <f>Lcode_mapping!N46</f>
        <v>Solve</v>
      </c>
      <c r="N46" t="str">
        <f>Lcode_mapping!O46</f>
        <v>-</v>
      </c>
      <c r="O46" t="str">
        <f>Lcode_mapping!P46</f>
        <v>WVR</v>
      </c>
      <c r="P46" t="str">
        <f>Lcode_mapping!Q46</f>
        <v>-</v>
      </c>
      <c r="Q46" t="str">
        <f>Lcode_mapping!R46</f>
        <v>WVRDelay</v>
      </c>
      <c r="R46" t="str">
        <f>Lcode_mapping!S46</f>
        <v>-</v>
      </c>
      <c r="S46" t="str">
        <f>Lcode_mapping!T46</f>
        <v>-</v>
      </c>
      <c r="T46">
        <f>Lcode_mapping!U46</f>
        <v>1</v>
      </c>
      <c r="U46" t="str">
        <f>Lcode_mapping!V46</f>
        <v>ns</v>
      </c>
      <c r="V46" t="str">
        <f>Lcode_mapping!W46</f>
        <v>-</v>
      </c>
    </row>
    <row r="47" spans="1:22" ht="15" customHeight="1" x14ac:dyDescent="0.25">
      <c r="A47">
        <f>Lcode_mapping!A47</f>
        <v>289</v>
      </c>
      <c r="B47">
        <f>Lcode_mapping!B47</f>
        <v>2</v>
      </c>
      <c r="C47" t="str">
        <f>Lcode_mapping!D47</f>
        <v>WVR DELY</v>
      </c>
      <c r="D47">
        <f>Lcode_mapping!E47</f>
        <v>2</v>
      </c>
      <c r="E47">
        <f>Lcode_mapping!F47</f>
        <v>2</v>
      </c>
      <c r="F47">
        <f>Lcode_mapping!G47</f>
        <v>2</v>
      </c>
      <c r="G47" t="str">
        <f>Lcode_mapping!H47</f>
        <v>R</v>
      </c>
      <c r="H47">
        <f>Lcode_mapping!I47</f>
        <v>1</v>
      </c>
      <c r="I47" t="str">
        <f>Lcode_mapping!J47</f>
        <v>WVR LINE OF SIGHT &amp; ZENITH(NSEC)</v>
      </c>
      <c r="J47" t="str">
        <f>Lcode_mapping!K47</f>
        <v>Station</v>
      </c>
      <c r="K47" t="str">
        <f>Lcode_mapping!L47</f>
        <v>-</v>
      </c>
      <c r="L47" t="str">
        <f>Lcode_mapping!M47</f>
        <v>K</v>
      </c>
      <c r="M47" t="str">
        <f>Lcode_mapping!N47</f>
        <v>Solve</v>
      </c>
      <c r="N47" t="str">
        <f>Lcode_mapping!O47</f>
        <v>-</v>
      </c>
      <c r="O47" t="str">
        <f>Lcode_mapping!P47</f>
        <v>WVR</v>
      </c>
      <c r="P47" t="str">
        <f>Lcode_mapping!Q47</f>
        <v>-</v>
      </c>
      <c r="Q47" t="str">
        <f>Lcode_mapping!R47</f>
        <v>WVRDelay</v>
      </c>
      <c r="R47" t="str">
        <f>Lcode_mapping!S47</f>
        <v>-</v>
      </c>
      <c r="S47" t="str">
        <f>Lcode_mapping!T47</f>
        <v>-</v>
      </c>
      <c r="T47">
        <f>Lcode_mapping!U47</f>
        <v>1</v>
      </c>
      <c r="U47" t="str">
        <f>Lcode_mapping!V47</f>
        <v>ns</v>
      </c>
      <c r="V47" t="str">
        <f>Lcode_mapping!W47</f>
        <v>-</v>
      </c>
    </row>
    <row r="48" spans="1:22" ht="15" customHeight="1" x14ac:dyDescent="0.25">
      <c r="A48">
        <f>Lcode_mapping!A48</f>
        <v>288</v>
      </c>
      <c r="B48">
        <f>Lcode_mapping!B48</f>
        <v>2</v>
      </c>
      <c r="C48" t="str">
        <f>Lcode_mapping!D48</f>
        <v>WVR CODE</v>
      </c>
      <c r="D48">
        <f>Lcode_mapping!E48</f>
        <v>2</v>
      </c>
      <c r="E48">
        <f>Lcode_mapping!F48</f>
        <v>1</v>
      </c>
      <c r="F48">
        <f>Lcode_mapping!G48</f>
        <v>1</v>
      </c>
      <c r="G48" t="str">
        <f>Lcode_mapping!H48</f>
        <v>I</v>
      </c>
      <c r="H48">
        <f>Lcode_mapping!I48</f>
        <v>2</v>
      </c>
      <c r="I48" t="str">
        <f>Lcode_mapping!J48</f>
        <v>WVR DELAY DATA QUALITY CODE</v>
      </c>
      <c r="J48" t="str">
        <f>Lcode_mapping!K48</f>
        <v>Station</v>
      </c>
      <c r="K48" t="str">
        <f>Lcode_mapping!L48</f>
        <v>-</v>
      </c>
      <c r="L48" t="str">
        <f>Lcode_mapping!M48</f>
        <v>K</v>
      </c>
      <c r="M48" t="str">
        <f>Lcode_mapping!N48</f>
        <v>Solve</v>
      </c>
      <c r="N48" t="str">
        <f>Lcode_mapping!O48</f>
        <v>-</v>
      </c>
      <c r="O48" t="str">
        <f>Lcode_mapping!P48</f>
        <v>WVR</v>
      </c>
      <c r="P48" t="str">
        <f>Lcode_mapping!Q48</f>
        <v>-</v>
      </c>
      <c r="Q48" t="str">
        <f>Lcode_mapping!R48</f>
        <v>WVRQcode</v>
      </c>
      <c r="R48" t="str">
        <f>Lcode_mapping!S48</f>
        <v>-</v>
      </c>
      <c r="S48" t="str">
        <f>Lcode_mapping!T48</f>
        <v>-</v>
      </c>
      <c r="T48">
        <f>Lcode_mapping!U48</f>
        <v>1</v>
      </c>
      <c r="U48" t="str">
        <f>Lcode_mapping!V48</f>
        <v>Second</v>
      </c>
      <c r="V48" t="str">
        <f>Lcode_mapping!W48</f>
        <v>-</v>
      </c>
    </row>
    <row r="49" spans="1:22" ht="15" customHeight="1" x14ac:dyDescent="0.25">
      <c r="A49">
        <f>Lcode_mapping!A49</f>
        <v>286</v>
      </c>
      <c r="B49">
        <f>Lcode_mapping!B49</f>
        <v>2</v>
      </c>
      <c r="C49" t="str">
        <f>Lcode_mapping!D49</f>
        <v>BRT TEMP</v>
      </c>
      <c r="D49">
        <f>Lcode_mapping!E49</f>
        <v>2</v>
      </c>
      <c r="E49">
        <f>Lcode_mapping!F49</f>
        <v>2</v>
      </c>
      <c r="F49">
        <f>Lcode_mapping!G49</f>
        <v>1</v>
      </c>
      <c r="G49" t="str">
        <f>Lcode_mapping!H49</f>
        <v>R</v>
      </c>
      <c r="H49">
        <f>Lcode_mapping!I49</f>
        <v>1</v>
      </c>
      <c r="I49" t="str">
        <f>Lcode_mapping!J49</f>
        <v>BRT TEMP (K) OF WVR ,F1,F2.</v>
      </c>
      <c r="J49" t="str">
        <f>Lcode_mapping!K49</f>
        <v>Station</v>
      </c>
      <c r="K49" t="str">
        <f>Lcode_mapping!L49</f>
        <v>-</v>
      </c>
      <c r="L49" t="str">
        <f>Lcode_mapping!M49</f>
        <v>K</v>
      </c>
      <c r="M49" t="str">
        <f>Lcode_mapping!N49</f>
        <v>Solve</v>
      </c>
      <c r="N49" t="str">
        <f>Lcode_mapping!O49</f>
        <v>-</v>
      </c>
      <c r="O49" t="str">
        <f>Lcode_mapping!P49</f>
        <v>WVR</v>
      </c>
      <c r="P49" t="str">
        <f>Lcode_mapping!Q49</f>
        <v>-</v>
      </c>
      <c r="Q49" t="str">
        <f>Lcode_mapping!R49</f>
        <v>WVRTemp</v>
      </c>
      <c r="R49" t="str">
        <f>Lcode_mapping!S49</f>
        <v>-</v>
      </c>
      <c r="S49" t="str">
        <f>Lcode_mapping!T49</f>
        <v>-</v>
      </c>
      <c r="T49">
        <f>Lcode_mapping!U49</f>
        <v>1</v>
      </c>
      <c r="U49" t="str">
        <f>Lcode_mapping!V49</f>
        <v>K</v>
      </c>
      <c r="V49" t="str">
        <f>Lcode_mapping!W49</f>
        <v>-</v>
      </c>
    </row>
    <row r="50" spans="1:22" ht="15" customHeight="1" x14ac:dyDescent="0.25">
      <c r="A50">
        <f>Lcode_mapping!A50</f>
        <v>290</v>
      </c>
      <c r="B50">
        <f>Lcode_mapping!B50</f>
        <v>2</v>
      </c>
      <c r="C50" t="str">
        <f>Lcode_mapping!D50</f>
        <v>WVR TEMP</v>
      </c>
      <c r="D50">
        <f>Lcode_mapping!E50</f>
        <v>3</v>
      </c>
      <c r="E50">
        <f>Lcode_mapping!F50</f>
        <v>2</v>
      </c>
      <c r="F50">
        <f>Lcode_mapping!G50</f>
        <v>1</v>
      </c>
      <c r="G50" t="str">
        <f>Lcode_mapping!H50</f>
        <v>R</v>
      </c>
      <c r="H50">
        <f>Lcode_mapping!I50</f>
        <v>1</v>
      </c>
      <c r="I50" t="str">
        <f>Lcode_mapping!J50</f>
        <v>REFERENCE1,2 WVR TEMP (K).</v>
      </c>
      <c r="J50" t="str">
        <f>Lcode_mapping!K50</f>
        <v>Station</v>
      </c>
      <c r="K50" t="str">
        <f>Lcode_mapping!L50</f>
        <v>-</v>
      </c>
      <c r="L50" t="str">
        <f>Lcode_mapping!M50</f>
        <v>K</v>
      </c>
      <c r="M50" t="str">
        <f>Lcode_mapping!N50</f>
        <v>Solve</v>
      </c>
      <c r="N50" t="str">
        <f>Lcode_mapping!O50</f>
        <v>-</v>
      </c>
      <c r="O50" t="str">
        <f>Lcode_mapping!P50</f>
        <v>WVR</v>
      </c>
      <c r="P50" t="str">
        <f>Lcode_mapping!Q50</f>
        <v>-</v>
      </c>
      <c r="Q50" t="str">
        <f>Lcode_mapping!R50</f>
        <v>WVRTempRef</v>
      </c>
      <c r="R50" t="str">
        <f>Lcode_mapping!S50</f>
        <v>-</v>
      </c>
      <c r="S50" t="str">
        <f>Lcode_mapping!T50</f>
        <v>-</v>
      </c>
      <c r="T50">
        <f>Lcode_mapping!U50</f>
        <v>1</v>
      </c>
      <c r="U50" t="str">
        <f>Lcode_mapping!V50</f>
        <v>K</v>
      </c>
      <c r="V50" t="str">
        <f>Lcode_mapping!W50</f>
        <v>-</v>
      </c>
    </row>
    <row r="51" spans="1:22" ht="15" customHeight="1" x14ac:dyDescent="0.25">
      <c r="A51">
        <f>Lcode_mapping!A51</f>
        <v>134</v>
      </c>
      <c r="B51" t="str">
        <f>Lcode_mapping!B51</f>
        <v>N</v>
      </c>
      <c r="C51" t="str">
        <f>Lcode_mapping!D51</f>
        <v>AntennaStationList</v>
      </c>
      <c r="D51">
        <f>Lcode_mapping!E51</f>
        <v>4</v>
      </c>
      <c r="E51">
        <f>Lcode_mapping!F51</f>
        <v>11</v>
      </c>
      <c r="F51">
        <f>Lcode_mapping!G51</f>
        <v>1</v>
      </c>
      <c r="G51" t="str">
        <f>Lcode_mapping!H51</f>
        <v>A</v>
      </c>
      <c r="H51">
        <f>Lcode_mapping!I51</f>
        <v>1</v>
      </c>
      <c r="I51" t="str">
        <f>Lcode_mapping!J51</f>
        <v>List of Antennas</v>
      </c>
      <c r="J51" t="str">
        <f>Lcode_mapping!K51</f>
        <v>Session</v>
      </c>
      <c r="K51" t="str">
        <f>Lcode_mapping!L51</f>
        <v>-</v>
      </c>
      <c r="L51" t="str">
        <f>Lcode_mapping!M51</f>
        <v>K</v>
      </c>
      <c r="M51" t="str">
        <f>Lcode_mapping!N51</f>
        <v>NGS</v>
      </c>
      <c r="N51" t="str">
        <f>Lcode_mapping!O51</f>
        <v>Apriori</v>
      </c>
      <c r="O51" t="str">
        <f>Lcode_mapping!P51</f>
        <v>Antenna</v>
      </c>
      <c r="P51" t="str">
        <f>Lcode_mapping!Q51</f>
        <v>-</v>
      </c>
      <c r="Q51" t="str">
        <f>Lcode_mapping!R51</f>
        <v>AntennaStationList</v>
      </c>
      <c r="R51" t="str">
        <f>Lcode_mapping!S51</f>
        <v>-</v>
      </c>
      <c r="S51" t="str">
        <f>Lcode_mapping!T51</f>
        <v>-</v>
      </c>
      <c r="T51" t="str">
        <f>Lcode_mapping!U51</f>
        <v>-</v>
      </c>
      <c r="U51" t="str">
        <f>Lcode_mapping!V51</f>
        <v>-</v>
      </c>
      <c r="V51" t="str">
        <f>Lcode_mapping!W51</f>
        <v>-</v>
      </c>
    </row>
    <row r="52" spans="1:22" ht="15" customHeight="1" x14ac:dyDescent="0.25">
      <c r="A52">
        <f>Lcode_mapping!A52</f>
        <v>142</v>
      </c>
      <c r="B52">
        <f>Lcode_mapping!B52</f>
        <v>1</v>
      </c>
      <c r="C52" t="str">
        <f>Lcode_mapping!D52</f>
        <v>AXISOFFS</v>
      </c>
      <c r="D52">
        <f>Lcode_mapping!E52</f>
        <v>11</v>
      </c>
      <c r="E52">
        <f>Lcode_mapping!F52</f>
        <v>1</v>
      </c>
      <c r="F52">
        <f>Lcode_mapping!G52</f>
        <v>1</v>
      </c>
      <c r="G52" t="str">
        <f>Lcode_mapping!H52</f>
        <v>R</v>
      </c>
      <c r="H52">
        <f>Lcode_mapping!I52</f>
        <v>5</v>
      </c>
      <c r="I52" t="str">
        <f>Lcode_mapping!J52</f>
        <v>Axis offsets (m).</v>
      </c>
      <c r="J52" t="str">
        <f>Lcode_mapping!K52</f>
        <v>Session</v>
      </c>
      <c r="K52" t="str">
        <f>Lcode_mapping!L52</f>
        <v>-</v>
      </c>
      <c r="L52" t="str">
        <f>Lcode_mapping!M52</f>
        <v>R</v>
      </c>
      <c r="M52" t="str">
        <f>Lcode_mapping!N52</f>
        <v>NGS</v>
      </c>
      <c r="N52" t="str">
        <f>Lcode_mapping!O52</f>
        <v>Apriori</v>
      </c>
      <c r="O52" t="str">
        <f>Lcode_mapping!P52</f>
        <v>Antenna</v>
      </c>
      <c r="P52" t="str">
        <f>Lcode_mapping!Q52</f>
        <v>-</v>
      </c>
      <c r="Q52" t="str">
        <f>Lcode_mapping!R52</f>
        <v>AntennaAxisOffset</v>
      </c>
      <c r="R52" t="str">
        <f>Lcode_mapping!S52</f>
        <v>-</v>
      </c>
      <c r="S52" t="str">
        <f>Lcode_mapping!T52</f>
        <v>-</v>
      </c>
      <c r="T52" t="str">
        <f>Lcode_mapping!U52</f>
        <v>-</v>
      </c>
      <c r="U52" t="str">
        <f>Lcode_mapping!V52</f>
        <v>M</v>
      </c>
      <c r="V52" t="str">
        <f>Lcode_mapping!W52</f>
        <v>-</v>
      </c>
    </row>
    <row r="53" spans="1:22" ht="15" customHeight="1" x14ac:dyDescent="0.25">
      <c r="A53">
        <f>Lcode_mapping!A53</f>
        <v>143</v>
      </c>
      <c r="B53">
        <f>Lcode_mapping!B53</f>
        <v>1</v>
      </c>
      <c r="C53" t="str">
        <f>Lcode_mapping!D53</f>
        <v>AXISTILT</v>
      </c>
      <c r="D53">
        <f>Lcode_mapping!E53</f>
        <v>2</v>
      </c>
      <c r="E53">
        <f>Lcode_mapping!F53</f>
        <v>11</v>
      </c>
      <c r="F53">
        <f>Lcode_mapping!G53</f>
        <v>1</v>
      </c>
      <c r="G53" t="str">
        <f>Lcode_mapping!H53</f>
        <v>R</v>
      </c>
      <c r="H53">
        <f>Lcode_mapping!I53</f>
        <v>5</v>
      </c>
      <c r="I53" t="str">
        <f>Lcode_mapping!J53</f>
        <v>Fixed axis tilts (arc-sec).</v>
      </c>
      <c r="J53" t="str">
        <f>Lcode_mapping!K53</f>
        <v>Session</v>
      </c>
      <c r="K53" t="str">
        <f>Lcode_mapping!L53</f>
        <v>-</v>
      </c>
      <c r="L53" t="str">
        <f>Lcode_mapping!M53</f>
        <v>K</v>
      </c>
      <c r="M53" t="str">
        <f>Lcode_mapping!N53</f>
        <v>NGS</v>
      </c>
      <c r="N53" t="str">
        <f>Lcode_mapping!O53</f>
        <v>Apriori</v>
      </c>
      <c r="O53" t="str">
        <f>Lcode_mapping!P53</f>
        <v>Antenna</v>
      </c>
      <c r="P53" t="str">
        <f>Lcode_mapping!Q53</f>
        <v>-</v>
      </c>
      <c r="Q53" t="str">
        <f>Lcode_mapping!R53</f>
        <v>AntennaAxisTilt</v>
      </c>
      <c r="R53" t="str">
        <f>Lcode_mapping!S53</f>
        <v>-</v>
      </c>
      <c r="S53" t="str">
        <f>Lcode_mapping!T53</f>
        <v>Fixed axis tilt</v>
      </c>
      <c r="T53" t="str">
        <f>Lcode_mapping!U53</f>
        <v>-</v>
      </c>
      <c r="U53" t="str">
        <f>Lcode_mapping!V53</f>
        <v>Radian</v>
      </c>
      <c r="V53" t="str">
        <f>Lcode_mapping!W53</f>
        <v>-</v>
      </c>
    </row>
    <row r="54" spans="1:22" ht="15" customHeight="1" x14ac:dyDescent="0.25">
      <c r="A54">
        <f>Lcode_mapping!A54</f>
        <v>144</v>
      </c>
      <c r="B54">
        <f>Lcode_mapping!B54</f>
        <v>1</v>
      </c>
      <c r="C54" t="str">
        <f>Lcode_mapping!D54</f>
        <v>AXISTYPS</v>
      </c>
      <c r="D54">
        <f>Lcode_mapping!E54</f>
        <v>11</v>
      </c>
      <c r="E54">
        <f>Lcode_mapping!F54</f>
        <v>1</v>
      </c>
      <c r="F54">
        <f>Lcode_mapping!G54</f>
        <v>1</v>
      </c>
      <c r="G54" t="str">
        <f>Lcode_mapping!H54</f>
        <v>I</v>
      </c>
      <c r="H54">
        <f>Lcode_mapping!I54</f>
        <v>5</v>
      </c>
      <c r="I54" t="str">
        <f>Lcode_mapping!J54</f>
        <v>Axis type (1-eq 2-xy 3-azel 4 5)</v>
      </c>
      <c r="J54" t="str">
        <f>Lcode_mapping!K54</f>
        <v>Session</v>
      </c>
      <c r="K54" t="str">
        <f>Lcode_mapping!L54</f>
        <v>-</v>
      </c>
      <c r="L54" t="str">
        <f>Lcode_mapping!M54</f>
        <v>R</v>
      </c>
      <c r="M54" t="str">
        <f>Lcode_mapping!N54</f>
        <v>NGS</v>
      </c>
      <c r="N54" t="str">
        <f>Lcode_mapping!O54</f>
        <v>Apriori</v>
      </c>
      <c r="O54" t="str">
        <f>Lcode_mapping!P54</f>
        <v>Antenna</v>
      </c>
      <c r="P54" t="str">
        <f>Lcode_mapping!Q54</f>
        <v>-</v>
      </c>
      <c r="Q54" t="str">
        <f>Lcode_mapping!R54</f>
        <v>AntennaAxisType</v>
      </c>
      <c r="R54" t="str">
        <f>Lcode_mapping!S54</f>
        <v>-</v>
      </c>
      <c r="S54" t="str">
        <f>Lcode_mapping!T54</f>
        <v>-</v>
      </c>
      <c r="T54" t="str">
        <f>Lcode_mapping!U54</f>
        <v>-</v>
      </c>
      <c r="U54" t="str">
        <f>Lcode_mapping!V54</f>
        <v>-</v>
      </c>
      <c r="V54" t="str">
        <f>Lcode_mapping!W54</f>
        <v>-</v>
      </c>
    </row>
    <row r="55" spans="1:22" ht="15" customHeight="1" x14ac:dyDescent="0.25">
      <c r="A55">
        <f>Lcode_mapping!A55</f>
        <v>137</v>
      </c>
      <c r="B55">
        <f>Lcode_mapping!B55</f>
        <v>1</v>
      </c>
      <c r="C55" t="str">
        <f>Lcode_mapping!D55</f>
        <v>CLOOFACM</v>
      </c>
      <c r="D55">
        <f>Lcode_mapping!E55</f>
        <v>4</v>
      </c>
      <c r="E55">
        <f>Lcode_mapping!F55</f>
        <v>1</v>
      </c>
      <c r="F55">
        <f>Lcode_mapping!G55</f>
        <v>1</v>
      </c>
      <c r="G55" t="str">
        <f>Lcode_mapping!H55</f>
        <v>R</v>
      </c>
      <c r="H55">
        <f>Lcode_mapping!I55</f>
        <v>4</v>
      </c>
      <c r="I55" t="str">
        <f>Lcode_mapping!J55</f>
        <v>A priori clock offset (sec)</v>
      </c>
      <c r="J55" t="str">
        <f>Lcode_mapping!K55</f>
        <v>Session</v>
      </c>
      <c r="K55" t="str">
        <f>Lcode_mapping!L55</f>
        <v>-</v>
      </c>
      <c r="L55" t="str">
        <f>Lcode_mapping!M55</f>
        <v>K</v>
      </c>
      <c r="M55" t="str">
        <f>Lcode_mapping!N55</f>
        <v>Solve</v>
      </c>
      <c r="N55" t="str">
        <f>Lcode_mapping!O55</f>
        <v>Apriori</v>
      </c>
      <c r="O55" t="str">
        <f>Lcode_mapping!P55</f>
        <v>Clock</v>
      </c>
      <c r="P55" t="str">
        <f>Lcode_mapping!Q55</f>
        <v>-</v>
      </c>
      <c r="Q55" t="str">
        <f>Lcode_mapping!R55</f>
        <v>AprioriClockOffset</v>
      </c>
      <c r="R55" t="str">
        <f>Lcode_mapping!S55</f>
        <v>-</v>
      </c>
      <c r="S55" t="str">
        <f>Lcode_mapping!T55</f>
        <v>-</v>
      </c>
      <c r="T55" t="str">
        <f>Lcode_mapping!U55</f>
        <v>-</v>
      </c>
      <c r="U55" t="str">
        <f>Lcode_mapping!V55</f>
        <v>-</v>
      </c>
      <c r="V55" t="str">
        <f>Lcode_mapping!W55</f>
        <v>-</v>
      </c>
    </row>
    <row r="56" spans="1:22" ht="15" customHeight="1" x14ac:dyDescent="0.25">
      <c r="A56">
        <f>Lcode_mapping!A56</f>
        <v>136</v>
      </c>
      <c r="B56">
        <f>Lcode_mapping!B56</f>
        <v>1</v>
      </c>
      <c r="C56" t="str">
        <f>Lcode_mapping!D56</f>
        <v>CLODRACM</v>
      </c>
      <c r="D56">
        <f>Lcode_mapping!E56</f>
        <v>4</v>
      </c>
      <c r="E56">
        <f>Lcode_mapping!F56</f>
        <v>1</v>
      </c>
      <c r="F56">
        <f>Lcode_mapping!G56</f>
        <v>1</v>
      </c>
      <c r="G56" t="str">
        <f>Lcode_mapping!H56</f>
        <v>R</v>
      </c>
      <c r="H56">
        <f>Lcode_mapping!I56</f>
        <v>4</v>
      </c>
      <c r="I56" t="str">
        <f>Lcode_mapping!J56</f>
        <v>A priori clock drift (sec/sec)</v>
      </c>
      <c r="J56" t="str">
        <f>Lcode_mapping!K56</f>
        <v>Session</v>
      </c>
      <c r="K56" t="str">
        <f>Lcode_mapping!L56</f>
        <v>-</v>
      </c>
      <c r="L56" t="str">
        <f>Lcode_mapping!M56</f>
        <v>K</v>
      </c>
      <c r="M56" t="str">
        <f>Lcode_mapping!N56</f>
        <v>Solve</v>
      </c>
      <c r="N56" t="str">
        <f>Lcode_mapping!O56</f>
        <v>Apriori</v>
      </c>
      <c r="O56" t="str">
        <f>Lcode_mapping!P56</f>
        <v>Clock</v>
      </c>
      <c r="P56" t="str">
        <f>Lcode_mapping!Q56</f>
        <v>-</v>
      </c>
      <c r="Q56" t="str">
        <f>Lcode_mapping!R56</f>
        <v>AprioriClockRate</v>
      </c>
      <c r="R56" t="str">
        <f>Lcode_mapping!S56</f>
        <v>-</v>
      </c>
      <c r="S56" t="str">
        <f>Lcode_mapping!T56</f>
        <v>-</v>
      </c>
      <c r="T56" t="str">
        <f>Lcode_mapping!U56</f>
        <v>-</v>
      </c>
      <c r="U56" t="str">
        <f>Lcode_mapping!V56</f>
        <v>-</v>
      </c>
      <c r="V56" t="str">
        <f>Lcode_mapping!W56</f>
        <v>-</v>
      </c>
    </row>
    <row r="57" spans="1:22" ht="15" customHeight="1" x14ac:dyDescent="0.25">
      <c r="A57">
        <f>Lcode_mapping!A57</f>
        <v>138</v>
      </c>
      <c r="B57">
        <f>Lcode_mapping!B57</f>
        <v>1</v>
      </c>
      <c r="C57" t="str">
        <f>Lcode_mapping!D57</f>
        <v>STAT_ACM</v>
      </c>
      <c r="D57">
        <f>Lcode_mapping!E57</f>
        <v>4</v>
      </c>
      <c r="E57">
        <f>Lcode_mapping!F57</f>
        <v>4</v>
      </c>
      <c r="F57">
        <f>Lcode_mapping!G57</f>
        <v>1</v>
      </c>
      <c r="G57" t="str">
        <f>Lcode_mapping!H57</f>
        <v>A</v>
      </c>
      <c r="H57">
        <f>Lcode_mapping!I57</f>
        <v>4</v>
      </c>
      <c r="I57" t="str">
        <f>Lcode_mapping!J57</f>
        <v>Stations with a priori clock mod</v>
      </c>
      <c r="J57" t="str">
        <f>Lcode_mapping!K57</f>
        <v>Session</v>
      </c>
      <c r="K57" t="str">
        <f>Lcode_mapping!L57</f>
        <v>-</v>
      </c>
      <c r="L57" t="str">
        <f>Lcode_mapping!M57</f>
        <v>K</v>
      </c>
      <c r="M57" t="str">
        <f>Lcode_mapping!N57</f>
        <v>Solve</v>
      </c>
      <c r="N57" t="str">
        <f>Lcode_mapping!O57</f>
        <v>Apriori</v>
      </c>
      <c r="O57" t="str">
        <f>Lcode_mapping!P57</f>
        <v>Clock</v>
      </c>
      <c r="P57" t="str">
        <f>Lcode_mapping!Q57</f>
        <v>-</v>
      </c>
      <c r="Q57" t="str">
        <f>Lcode_mapping!R57</f>
        <v>AprioriClockStationList</v>
      </c>
      <c r="R57" t="str">
        <f>Lcode_mapping!S57</f>
        <v>-</v>
      </c>
      <c r="S57" t="str">
        <f>Lcode_mapping!T57</f>
        <v>-</v>
      </c>
      <c r="T57" t="str">
        <f>Lcode_mapping!U57</f>
        <v>-</v>
      </c>
      <c r="U57" t="str">
        <f>Lcode_mapping!V57</f>
        <v>-</v>
      </c>
      <c r="V57" t="str">
        <f>Lcode_mapping!W57</f>
        <v>-</v>
      </c>
    </row>
    <row r="58" spans="1:22" ht="15" customHeight="1" x14ac:dyDescent="0.25">
      <c r="A58">
        <f>Lcode_mapping!A58</f>
        <v>147</v>
      </c>
      <c r="B58">
        <f>Lcode_mapping!B58</f>
        <v>1</v>
      </c>
      <c r="C58" t="str">
        <f>Lcode_mapping!D58</f>
        <v>ECCNAMES</v>
      </c>
      <c r="D58">
        <f>Lcode_mapping!E58</f>
        <v>9</v>
      </c>
      <c r="E58">
        <f>Lcode_mapping!F58</f>
        <v>11</v>
      </c>
      <c r="F58">
        <f>Lcode_mapping!G58</f>
        <v>1</v>
      </c>
      <c r="G58" t="str">
        <f>Lcode_mapping!H58</f>
        <v>A</v>
      </c>
      <c r="H58">
        <f>Lcode_mapping!I58</f>
        <v>4</v>
      </c>
      <c r="I58" t="str">
        <f>Lcode_mapping!J58</f>
        <v>Ecc. site and monument names.</v>
      </c>
      <c r="J58" t="str">
        <f>Lcode_mapping!K58</f>
        <v>Session</v>
      </c>
      <c r="K58" t="str">
        <f>Lcode_mapping!L58</f>
        <v>-</v>
      </c>
      <c r="L58" t="str">
        <f>Lcode_mapping!M58</f>
        <v>S</v>
      </c>
      <c r="M58" t="str">
        <f>Lcode_mapping!N58</f>
        <v>NGS</v>
      </c>
      <c r="N58" t="str">
        <f>Lcode_mapping!O58</f>
        <v>Apriori</v>
      </c>
      <c r="O58" t="str">
        <f>Lcode_mapping!P58</f>
        <v>Eccentricity</v>
      </c>
      <c r="P58" t="str">
        <f>Lcode_mapping!Q58</f>
        <v>-</v>
      </c>
      <c r="Q58" t="str">
        <f>Lcode_mapping!R58</f>
        <v>EccentricityMonument</v>
      </c>
      <c r="R58" t="str">
        <f>Lcode_mapping!S58</f>
        <v>-</v>
      </c>
      <c r="S58" t="str">
        <f>Lcode_mapping!T58</f>
        <v>Eccentricity monument name</v>
      </c>
      <c r="T58" t="str">
        <f>Lcode_mapping!U58</f>
        <v>-</v>
      </c>
      <c r="U58" t="str">
        <f>Lcode_mapping!V58</f>
        <v>-</v>
      </c>
      <c r="V58" t="str">
        <f>Lcode_mapping!W58</f>
        <v>-</v>
      </c>
    </row>
    <row r="59" spans="1:22" ht="15" customHeight="1" x14ac:dyDescent="0.25">
      <c r="A59">
        <f>Lcode_mapping!A59</f>
        <v>134</v>
      </c>
      <c r="B59" t="str">
        <f>Lcode_mapping!B59</f>
        <v>N</v>
      </c>
      <c r="C59" t="str">
        <f>Lcode_mapping!D59</f>
        <v>EccentricityStationList</v>
      </c>
      <c r="D59">
        <f>Lcode_mapping!E59</f>
        <v>4</v>
      </c>
      <c r="E59">
        <f>Lcode_mapping!F59</f>
        <v>11</v>
      </c>
      <c r="F59">
        <f>Lcode_mapping!G59</f>
        <v>1</v>
      </c>
      <c r="G59" t="str">
        <f>Lcode_mapping!H59</f>
        <v>A</v>
      </c>
      <c r="H59">
        <f>Lcode_mapping!I59</f>
        <v>1</v>
      </c>
      <c r="I59" t="str">
        <f>Lcode_mapping!J59</f>
        <v>Site names array.</v>
      </c>
      <c r="J59" t="str">
        <f>Lcode_mapping!K59</f>
        <v>Session</v>
      </c>
      <c r="K59" t="str">
        <f>Lcode_mapping!L59</f>
        <v>-</v>
      </c>
      <c r="L59" t="str">
        <f>Lcode_mapping!M59</f>
        <v>K</v>
      </c>
      <c r="M59" t="str">
        <f>Lcode_mapping!N59</f>
        <v>NGS</v>
      </c>
      <c r="N59" t="str">
        <f>Lcode_mapping!O59</f>
        <v>Apriori</v>
      </c>
      <c r="O59" t="str">
        <f>Lcode_mapping!P59</f>
        <v>Eccentricity</v>
      </c>
      <c r="P59" t="str">
        <f>Lcode_mapping!Q59</f>
        <v>-</v>
      </c>
      <c r="Q59" t="str">
        <f>Lcode_mapping!R59</f>
        <v>EccentricityStationList</v>
      </c>
      <c r="R59" t="str">
        <f>Lcode_mapping!S59</f>
        <v>-</v>
      </c>
      <c r="S59" t="str">
        <f>Lcode_mapping!T59</f>
        <v>-</v>
      </c>
      <c r="T59" t="str">
        <f>Lcode_mapping!U59</f>
        <v>-</v>
      </c>
      <c r="U59" t="str">
        <f>Lcode_mapping!V59</f>
        <v>-</v>
      </c>
      <c r="V59" t="str">
        <f>Lcode_mapping!W59</f>
        <v>-</v>
      </c>
    </row>
    <row r="60" spans="1:22" ht="15" customHeight="1" x14ac:dyDescent="0.25">
      <c r="A60">
        <f>Lcode_mapping!A60</f>
        <v>148</v>
      </c>
      <c r="B60">
        <f>Lcode_mapping!B60</f>
        <v>1</v>
      </c>
      <c r="C60" t="str">
        <f>Lcode_mapping!D60</f>
        <v>ECCTYPES</v>
      </c>
      <c r="D60">
        <f>Lcode_mapping!E60</f>
        <v>11</v>
      </c>
      <c r="E60">
        <f>Lcode_mapping!F60</f>
        <v>1</v>
      </c>
      <c r="F60">
        <f>Lcode_mapping!G60</f>
        <v>1</v>
      </c>
      <c r="G60" t="str">
        <f>Lcode_mapping!H60</f>
        <v>A</v>
      </c>
      <c r="H60">
        <f>Lcode_mapping!I60</f>
        <v>4</v>
      </c>
      <c r="I60" t="str">
        <f>Lcode_mapping!J60</f>
        <v>Eccentricy types - XY or NE.</v>
      </c>
      <c r="J60" t="str">
        <f>Lcode_mapping!K60</f>
        <v>Session</v>
      </c>
      <c r="K60" t="str">
        <f>Lcode_mapping!L60</f>
        <v>-</v>
      </c>
      <c r="L60" t="str">
        <f>Lcode_mapping!M60</f>
        <v>S</v>
      </c>
      <c r="M60" t="str">
        <f>Lcode_mapping!N60</f>
        <v>NGS</v>
      </c>
      <c r="N60" t="str">
        <f>Lcode_mapping!O60</f>
        <v>Apriori</v>
      </c>
      <c r="O60" t="str">
        <f>Lcode_mapping!P60</f>
        <v>Eccentricity</v>
      </c>
      <c r="P60" t="str">
        <f>Lcode_mapping!Q60</f>
        <v>-</v>
      </c>
      <c r="Q60" t="str">
        <f>Lcode_mapping!R60</f>
        <v>EccentricityType</v>
      </c>
      <c r="R60" t="str">
        <f>Lcode_mapping!S60</f>
        <v>-</v>
      </c>
      <c r="S60" t="str">
        <f>Lcode_mapping!T60</f>
        <v>Eccentricity type: XY or NE</v>
      </c>
      <c r="T60" t="str">
        <f>Lcode_mapping!U60</f>
        <v>-</v>
      </c>
      <c r="U60" t="str">
        <f>Lcode_mapping!V60</f>
        <v>-</v>
      </c>
      <c r="V60" t="str">
        <f>Lcode_mapping!W60</f>
        <v>-</v>
      </c>
    </row>
    <row r="61" spans="1:22" ht="15" customHeight="1" x14ac:dyDescent="0.25">
      <c r="A61">
        <f>Lcode_mapping!A61</f>
        <v>146</v>
      </c>
      <c r="B61">
        <f>Lcode_mapping!B61</f>
        <v>1</v>
      </c>
      <c r="C61" t="str">
        <f>Lcode_mapping!D61</f>
        <v>ECCCOORD</v>
      </c>
      <c r="D61">
        <f>Lcode_mapping!E61</f>
        <v>3</v>
      </c>
      <c r="E61">
        <f>Lcode_mapping!F61</f>
        <v>11</v>
      </c>
      <c r="F61">
        <f>Lcode_mapping!G61</f>
        <v>1</v>
      </c>
      <c r="G61" t="str">
        <f>Lcode_mapping!H61</f>
        <v>R</v>
      </c>
      <c r="H61">
        <f>Lcode_mapping!I61</f>
        <v>4</v>
      </c>
      <c r="I61" t="str">
        <f>Lcode_mapping!J61</f>
        <v>Eccentricity coords. (m)</v>
      </c>
      <c r="J61" t="str">
        <f>Lcode_mapping!K61</f>
        <v>Session</v>
      </c>
      <c r="K61" t="str">
        <f>Lcode_mapping!L61</f>
        <v>-</v>
      </c>
      <c r="L61" t="str">
        <f>Lcode_mapping!M61</f>
        <v>S</v>
      </c>
      <c r="M61" t="str">
        <f>Lcode_mapping!N61</f>
        <v>NGS</v>
      </c>
      <c r="N61" t="str">
        <f>Lcode_mapping!O61</f>
        <v>Apriori</v>
      </c>
      <c r="O61" t="str">
        <f>Lcode_mapping!P61</f>
        <v>Eccentricity</v>
      </c>
      <c r="P61" t="str">
        <f>Lcode_mapping!Q61</f>
        <v>-</v>
      </c>
      <c r="Q61" t="str">
        <f>Lcode_mapping!R61</f>
        <v>EccentricityVector</v>
      </c>
      <c r="R61" t="str">
        <f>Lcode_mapping!S61</f>
        <v>-</v>
      </c>
      <c r="S61" t="str">
        <f>Lcode_mapping!T61</f>
        <v>Eccentricity taken from eccentricity file.</v>
      </c>
      <c r="T61" t="str">
        <f>Lcode_mapping!U61</f>
        <v>-</v>
      </c>
      <c r="U61" t="str">
        <f>Lcode_mapping!V61</f>
        <v>Meter</v>
      </c>
      <c r="V61" t="str">
        <f>Lcode_mapping!W61</f>
        <v>-</v>
      </c>
    </row>
    <row r="62" spans="1:22" ht="15" customHeight="1" x14ac:dyDescent="0.25">
      <c r="A62">
        <f>Lcode_mapping!A62</f>
        <v>141</v>
      </c>
      <c r="B62">
        <f>Lcode_mapping!B62</f>
        <v>1</v>
      </c>
      <c r="C62" t="str">
        <f>Lcode_mapping!D62</f>
        <v>STRNAMES</v>
      </c>
      <c r="D62">
        <f>Lcode_mapping!E62</f>
        <v>4</v>
      </c>
      <c r="E62">
        <f>Lcode_mapping!F62</f>
        <v>70</v>
      </c>
      <c r="F62">
        <f>Lcode_mapping!G62</f>
        <v>1</v>
      </c>
      <c r="G62" t="str">
        <f>Lcode_mapping!H62</f>
        <v>A</v>
      </c>
      <c r="H62">
        <f>Lcode_mapping!I62</f>
        <v>1</v>
      </c>
      <c r="I62" t="str">
        <f>Lcode_mapping!J62</f>
        <v>Source names array.</v>
      </c>
      <c r="J62" t="str">
        <f>Lcode_mapping!K62</f>
        <v>Session</v>
      </c>
      <c r="K62" t="str">
        <f>Lcode_mapping!L62</f>
        <v>-</v>
      </c>
      <c r="L62" t="str">
        <f>Lcode_mapping!M62</f>
        <v>N</v>
      </c>
      <c r="M62" t="str">
        <f>Lcode_mapping!N62</f>
        <v>NGS</v>
      </c>
      <c r="N62" t="str">
        <f>Lcode_mapping!O62</f>
        <v>Apriori</v>
      </c>
      <c r="O62" t="str">
        <f>Lcode_mapping!P62</f>
        <v>Source</v>
      </c>
      <c r="P62" t="str">
        <f>Lcode_mapping!Q62</f>
        <v>-</v>
      </c>
      <c r="Q62" t="str">
        <f>Lcode_mapping!R62</f>
        <v>AprioriSourceList</v>
      </c>
      <c r="R62" t="str">
        <f>Lcode_mapping!S62</f>
        <v>-</v>
      </c>
      <c r="S62" t="str">
        <f>Lcode_mapping!T62</f>
        <v>Source names in RA order.</v>
      </c>
      <c r="T62" t="str">
        <f>Lcode_mapping!U62</f>
        <v>-</v>
      </c>
      <c r="U62" t="str">
        <f>Lcode_mapping!V62</f>
        <v>-</v>
      </c>
      <c r="V62" t="str">
        <f>Lcode_mapping!W62</f>
        <v>-</v>
      </c>
    </row>
    <row r="63" spans="1:22" ht="15" customHeight="1" x14ac:dyDescent="0.25">
      <c r="A63">
        <f>Lcode_mapping!A63</f>
        <v>140</v>
      </c>
      <c r="B63">
        <f>Lcode_mapping!B63</f>
        <v>1</v>
      </c>
      <c r="C63" t="str">
        <f>Lcode_mapping!D63</f>
        <v>STAR2000</v>
      </c>
      <c r="D63">
        <f>Lcode_mapping!E63</f>
        <v>2</v>
      </c>
      <c r="E63">
        <f>Lcode_mapping!F63</f>
        <v>70</v>
      </c>
      <c r="F63">
        <f>Lcode_mapping!G63</f>
        <v>1</v>
      </c>
      <c r="G63" t="str">
        <f>Lcode_mapping!H63</f>
        <v>R</v>
      </c>
      <c r="H63">
        <f>Lcode_mapping!I63</f>
        <v>5</v>
      </c>
      <c r="I63" t="str">
        <f>Lcode_mapping!J63</f>
        <v>J2000 source RAs  decs (rd rd).</v>
      </c>
      <c r="J63" t="str">
        <f>Lcode_mapping!K63</f>
        <v>Session</v>
      </c>
      <c r="K63" t="str">
        <f>Lcode_mapping!L63</f>
        <v>-</v>
      </c>
      <c r="L63" t="str">
        <f>Lcode_mapping!M63</f>
        <v>R</v>
      </c>
      <c r="M63" t="str">
        <f>Lcode_mapping!N63</f>
        <v>NGS</v>
      </c>
      <c r="N63" t="str">
        <f>Lcode_mapping!O63</f>
        <v>Apriori</v>
      </c>
      <c r="O63" t="str">
        <f>Lcode_mapping!P63</f>
        <v>Source</v>
      </c>
      <c r="P63" t="str">
        <f>Lcode_mapping!Q63</f>
        <v>-</v>
      </c>
      <c r="Q63" t="str">
        <f>Lcode_mapping!R63</f>
        <v>AprioriSource2000RaDec</v>
      </c>
      <c r="R63" t="str">
        <f>Lcode_mapping!S63</f>
        <v>-</v>
      </c>
      <c r="S63" t="str">
        <f>Lcode_mapping!T63</f>
        <v>J2000 Source RA and Dec</v>
      </c>
      <c r="T63" t="str">
        <f>Lcode_mapping!U63</f>
        <v>-</v>
      </c>
      <c r="U63" t="str">
        <f>Lcode_mapping!V63</f>
        <v>Radian</v>
      </c>
      <c r="V63" t="str">
        <f>Lcode_mapping!W63</f>
        <v>-</v>
      </c>
    </row>
    <row r="64" spans="1:22" ht="15" customHeight="1" x14ac:dyDescent="0.25">
      <c r="A64">
        <f>Lcode_mapping!A64</f>
        <v>139</v>
      </c>
      <c r="B64">
        <f>Lcode_mapping!B64</f>
        <v>1</v>
      </c>
      <c r="C64" t="str">
        <f>Lcode_mapping!D64</f>
        <v>STAR REF</v>
      </c>
      <c r="D64">
        <f>Lcode_mapping!E64</f>
        <v>10</v>
      </c>
      <c r="E64">
        <f>Lcode_mapping!F64</f>
        <v>70</v>
      </c>
      <c r="F64">
        <f>Lcode_mapping!G64</f>
        <v>1</v>
      </c>
      <c r="G64" t="str">
        <f>Lcode_mapping!H64</f>
        <v>A</v>
      </c>
      <c r="H64">
        <f>Lcode_mapping!I64</f>
        <v>5</v>
      </c>
      <c r="I64" t="str">
        <f>Lcode_mapping!J64</f>
        <v>Source of coordinate values.</v>
      </c>
      <c r="J64" t="str">
        <f>Lcode_mapping!K64</f>
        <v>Session</v>
      </c>
      <c r="K64" t="str">
        <f>Lcode_mapping!L64</f>
        <v>-</v>
      </c>
      <c r="L64" t="str">
        <f>Lcode_mapping!M64</f>
        <v>K</v>
      </c>
      <c r="M64" t="str">
        <f>Lcode_mapping!N64</f>
        <v>NGS</v>
      </c>
      <c r="N64" t="str">
        <f>Lcode_mapping!O64</f>
        <v>Apriori</v>
      </c>
      <c r="O64" t="str">
        <f>Lcode_mapping!P64</f>
        <v>Source</v>
      </c>
      <c r="P64" t="str">
        <f>Lcode_mapping!Q64</f>
        <v>-</v>
      </c>
      <c r="Q64" t="str">
        <f>Lcode_mapping!R64</f>
        <v>AprioriSourceReference</v>
      </c>
      <c r="R64" t="str">
        <f>Lcode_mapping!S64</f>
        <v>-</v>
      </c>
      <c r="S64" t="str">
        <f>Lcode_mapping!T64</f>
        <v>-</v>
      </c>
      <c r="T64" t="str">
        <f>Lcode_mapping!U64</f>
        <v>-</v>
      </c>
      <c r="U64" t="str">
        <f>Lcode_mapping!V64</f>
        <v>-</v>
      </c>
      <c r="V64" t="str">
        <f>Lcode_mapping!W64</f>
        <v>-</v>
      </c>
    </row>
    <row r="65" spans="1:22" ht="15" customHeight="1" x14ac:dyDescent="0.25">
      <c r="A65">
        <f>Lcode_mapping!A65</f>
        <v>151</v>
      </c>
      <c r="B65">
        <f>Lcode_mapping!B65</f>
        <v>1</v>
      </c>
      <c r="C65" t="str">
        <f>Lcode_mapping!D65</f>
        <v>SITNAMES</v>
      </c>
      <c r="D65">
        <f>Lcode_mapping!E65</f>
        <v>4</v>
      </c>
      <c r="E65">
        <f>Lcode_mapping!F65</f>
        <v>11</v>
      </c>
      <c r="F65">
        <f>Lcode_mapping!G65</f>
        <v>1</v>
      </c>
      <c r="G65" t="str">
        <f>Lcode_mapping!H65</f>
        <v>A</v>
      </c>
      <c r="H65">
        <f>Lcode_mapping!I65</f>
        <v>1</v>
      </c>
      <c r="I65" t="str">
        <f>Lcode_mapping!J65</f>
        <v>Site names array in alphabetical order</v>
      </c>
      <c r="J65" t="str">
        <f>Lcode_mapping!K65</f>
        <v>Session</v>
      </c>
      <c r="K65" t="str">
        <f>Lcode_mapping!L65</f>
        <v>-</v>
      </c>
      <c r="L65" t="str">
        <f>Lcode_mapping!M65</f>
        <v>N</v>
      </c>
      <c r="M65" t="str">
        <f>Lcode_mapping!N65</f>
        <v>NGS</v>
      </c>
      <c r="N65" t="str">
        <f>Lcode_mapping!O65</f>
        <v>Apriori</v>
      </c>
      <c r="O65" t="str">
        <f>Lcode_mapping!P65</f>
        <v>Station</v>
      </c>
      <c r="P65" t="str">
        <f>Lcode_mapping!Q65</f>
        <v>-</v>
      </c>
      <c r="Q65" t="str">
        <f>Lcode_mapping!R65</f>
        <v>AprioriStationList</v>
      </c>
      <c r="R65" t="str">
        <f>Lcode_mapping!S65</f>
        <v>-</v>
      </c>
      <c r="S65" t="str">
        <f>Lcode_mapping!T65</f>
        <v>Site names in alphabetical order</v>
      </c>
      <c r="T65" t="str">
        <f>Lcode_mapping!U65</f>
        <v>-</v>
      </c>
      <c r="U65" t="str">
        <f>Lcode_mapping!V65</f>
        <v>-</v>
      </c>
      <c r="V65" t="str">
        <f>Lcode_mapping!W65</f>
        <v>-</v>
      </c>
    </row>
    <row r="66" spans="1:22" ht="15" customHeight="1" x14ac:dyDescent="0.25">
      <c r="A66">
        <f>Lcode_mapping!A66</f>
        <v>145</v>
      </c>
      <c r="B66" t="str">
        <f>Lcode_mapping!B66</f>
        <v>X</v>
      </c>
      <c r="C66" t="str">
        <f>Lcode_mapping!D66</f>
        <v>DOMESNR</v>
      </c>
      <c r="D66">
        <f>Lcode_mapping!E66</f>
        <v>4</v>
      </c>
      <c r="E66">
        <f>Lcode_mapping!F66</f>
        <v>1</v>
      </c>
      <c r="F66">
        <f>Lcode_mapping!G66</f>
        <v>1</v>
      </c>
      <c r="G66" t="str">
        <f>Lcode_mapping!H66</f>
        <v>A</v>
      </c>
      <c r="H66" t="str">
        <f>Lcode_mapping!I66</f>
        <v>N</v>
      </c>
      <c r="I66" t="str">
        <f>Lcode_mapping!J66</f>
        <v>Domes number array</v>
      </c>
      <c r="J66" t="str">
        <f>Lcode_mapping!K66</f>
        <v>Session</v>
      </c>
      <c r="K66" t="str">
        <f>Lcode_mapping!L66</f>
        <v>-</v>
      </c>
      <c r="L66" t="str">
        <f>Lcode_mapping!M66</f>
        <v>N</v>
      </c>
      <c r="M66" t="str">
        <f>Lcode_mapping!N66</f>
        <v>NGS</v>
      </c>
      <c r="N66" t="str">
        <f>Lcode_mapping!O66</f>
        <v>Apriori</v>
      </c>
      <c r="O66" t="str">
        <f>Lcode_mapping!P66</f>
        <v>Station</v>
      </c>
      <c r="P66" t="str">
        <f>Lcode_mapping!Q66</f>
        <v>-</v>
      </c>
      <c r="Q66" t="str">
        <f>Lcode_mapping!R66</f>
        <v>AprioriStationDomesNumber</v>
      </c>
      <c r="R66" t="str">
        <f>Lcode_mapping!S66</f>
        <v>-</v>
      </c>
      <c r="S66" t="str">
        <f>Lcode_mapping!T66</f>
        <v>-</v>
      </c>
      <c r="T66" t="str">
        <f>Lcode_mapping!U66</f>
        <v>-</v>
      </c>
      <c r="U66" t="str">
        <f>Lcode_mapping!V66</f>
        <v>-</v>
      </c>
      <c r="V66" t="str">
        <f>Lcode_mapping!W66</f>
        <v>-</v>
      </c>
    </row>
    <row r="67" spans="1:22" ht="15" customHeight="1" x14ac:dyDescent="0.25">
      <c r="A67">
        <f>Lcode_mapping!A67</f>
        <v>149</v>
      </c>
      <c r="B67" t="str">
        <f>Lcode_mapping!B67</f>
        <v>N</v>
      </c>
      <c r="C67" t="str">
        <f>Lcode_mapping!D67</f>
        <v>IERSDES</v>
      </c>
      <c r="D67">
        <f>Lcode_mapping!E67</f>
        <v>4</v>
      </c>
      <c r="E67">
        <f>Lcode_mapping!F67</f>
        <v>1</v>
      </c>
      <c r="F67">
        <f>Lcode_mapping!G67</f>
        <v>1</v>
      </c>
      <c r="G67" t="str">
        <f>Lcode_mapping!H67</f>
        <v>A</v>
      </c>
      <c r="H67" t="str">
        <f>Lcode_mapping!I67</f>
        <v>N</v>
      </c>
      <c r="I67" t="str">
        <f>Lcode_mapping!J67</f>
        <v>IERZS Designation array</v>
      </c>
      <c r="J67" t="str">
        <f>Lcode_mapping!K67</f>
        <v>Session</v>
      </c>
      <c r="K67" t="str">
        <f>Lcode_mapping!L67</f>
        <v>-</v>
      </c>
      <c r="L67" t="str">
        <f>Lcode_mapping!M67</f>
        <v>N</v>
      </c>
      <c r="M67" t="str">
        <f>Lcode_mapping!N67</f>
        <v>NGS</v>
      </c>
      <c r="N67" t="str">
        <f>Lcode_mapping!O67</f>
        <v>Apriori</v>
      </c>
      <c r="O67" t="str">
        <f>Lcode_mapping!P67</f>
        <v>Station</v>
      </c>
      <c r="P67" t="str">
        <f>Lcode_mapping!Q67</f>
        <v>-</v>
      </c>
      <c r="Q67" t="str">
        <f>Lcode_mapping!R67</f>
        <v>AprioriStationIERZSArray</v>
      </c>
      <c r="R67" t="str">
        <f>Lcode_mapping!S67</f>
        <v>-</v>
      </c>
      <c r="S67" t="str">
        <f>Lcode_mapping!T67</f>
        <v>-</v>
      </c>
      <c r="T67" t="str">
        <f>Lcode_mapping!U67</f>
        <v>-</v>
      </c>
      <c r="U67" t="str">
        <f>Lcode_mapping!V67</f>
        <v>-</v>
      </c>
      <c r="V67" t="str">
        <f>Lcode_mapping!W67</f>
        <v>-</v>
      </c>
    </row>
    <row r="68" spans="1:22" ht="15" customHeight="1" x14ac:dyDescent="0.25">
      <c r="A68">
        <f>Lcode_mapping!A68</f>
        <v>150</v>
      </c>
      <c r="B68">
        <f>Lcode_mapping!B68</f>
        <v>1</v>
      </c>
      <c r="C68" t="str">
        <f>Lcode_mapping!D68</f>
        <v>SITERECS</v>
      </c>
      <c r="D68">
        <f>Lcode_mapping!E68</f>
        <v>3</v>
      </c>
      <c r="E68">
        <f>Lcode_mapping!F68</f>
        <v>11</v>
      </c>
      <c r="F68">
        <f>Lcode_mapping!G68</f>
        <v>1</v>
      </c>
      <c r="G68" t="str">
        <f>Lcode_mapping!H68</f>
        <v>R</v>
      </c>
      <c r="H68">
        <f>Lcode_mapping!I68</f>
        <v>5</v>
      </c>
      <c r="I68" t="str">
        <f>Lcode_mapping!J68</f>
        <v>Site cartesian coords (m).</v>
      </c>
      <c r="J68" t="str">
        <f>Lcode_mapping!K68</f>
        <v>Session</v>
      </c>
      <c r="K68" t="str">
        <f>Lcode_mapping!L68</f>
        <v>-</v>
      </c>
      <c r="L68" t="str">
        <f>Lcode_mapping!M68</f>
        <v>N</v>
      </c>
      <c r="M68" t="str">
        <f>Lcode_mapping!N68</f>
        <v>NGS</v>
      </c>
      <c r="N68" t="str">
        <f>Lcode_mapping!O68</f>
        <v>Apriori</v>
      </c>
      <c r="O68" t="str">
        <f>Lcode_mapping!P68</f>
        <v>Station</v>
      </c>
      <c r="P68" t="str">
        <f>Lcode_mapping!Q68</f>
        <v>-</v>
      </c>
      <c r="Q68" t="str">
        <f>Lcode_mapping!R68</f>
        <v>AprioriStationXYZ</v>
      </c>
      <c r="R68" t="str">
        <f>Lcode_mapping!S68</f>
        <v>-</v>
      </c>
      <c r="S68" t="str">
        <f>Lcode_mapping!T68</f>
        <v>-</v>
      </c>
      <c r="T68" t="str">
        <f>Lcode_mapping!U68</f>
        <v>-</v>
      </c>
      <c r="U68" t="str">
        <f>Lcode_mapping!V68</f>
        <v>M</v>
      </c>
      <c r="V68" t="str">
        <f>Lcode_mapping!W68</f>
        <v>-</v>
      </c>
    </row>
    <row r="69" spans="1:22" ht="15" customHeight="1" x14ac:dyDescent="0.25">
      <c r="A69">
        <f>Lcode_mapping!A69</f>
        <v>89</v>
      </c>
      <c r="B69">
        <f>Lcode_mapping!B69</f>
        <v>1</v>
      </c>
      <c r="C69" t="str">
        <f>Lcode_mapping!D69</f>
        <v>TECTPLNM</v>
      </c>
      <c r="D69">
        <f>Lcode_mapping!E69</f>
        <v>2</v>
      </c>
      <c r="E69">
        <f>Lcode_mapping!F69</f>
        <v>11</v>
      </c>
      <c r="F69">
        <f>Lcode_mapping!G69</f>
        <v>1</v>
      </c>
      <c r="G69" t="str">
        <f>Lcode_mapping!H69</f>
        <v>A</v>
      </c>
      <c r="H69">
        <f>Lcode_mapping!I69</f>
        <v>5</v>
      </c>
      <c r="I69" t="str">
        <f>Lcode_mapping!J69</f>
        <v>4-char tectonic plate names.</v>
      </c>
      <c r="J69" t="str">
        <f>Lcode_mapping!K69</f>
        <v>Session</v>
      </c>
      <c r="K69" t="str">
        <f>Lcode_mapping!L69</f>
        <v>-</v>
      </c>
      <c r="L69" t="str">
        <f>Lcode_mapping!M69</f>
        <v>K</v>
      </c>
      <c r="M69" t="str">
        <f>Lcode_mapping!N69</f>
        <v>NGS</v>
      </c>
      <c r="N69" t="str">
        <f>Lcode_mapping!O69</f>
        <v>Apriori</v>
      </c>
      <c r="O69" t="str">
        <f>Lcode_mapping!P69</f>
        <v>Station</v>
      </c>
      <c r="P69" t="str">
        <f>Lcode_mapping!Q69</f>
        <v>-</v>
      </c>
      <c r="Q69" t="str">
        <f>Lcode_mapping!R69</f>
        <v>AprioriStationTectonicPlate</v>
      </c>
      <c r="R69" t="str">
        <f>Lcode_mapping!S69</f>
        <v>-</v>
      </c>
      <c r="S69" t="str">
        <f>Lcode_mapping!T69</f>
        <v>-</v>
      </c>
      <c r="T69" t="str">
        <f>Lcode_mapping!U69</f>
        <v>-</v>
      </c>
      <c r="U69" t="str">
        <f>Lcode_mapping!V69</f>
        <v>-</v>
      </c>
      <c r="V69" t="str">
        <f>Lcode_mapping!W69</f>
        <v>-</v>
      </c>
    </row>
    <row r="70" spans="1:22" ht="15" customHeight="1" x14ac:dyDescent="0.25">
      <c r="A70">
        <f>Lcode_mapping!A70</f>
        <v>158</v>
      </c>
      <c r="B70" t="str">
        <f>Lcode_mapping!B70</f>
        <v>N</v>
      </c>
      <c r="C70" t="str">
        <f>Lcode_mapping!D70</f>
        <v>Obs2Baseline</v>
      </c>
      <c r="D70">
        <f>Lcode_mapping!E70</f>
        <v>2</v>
      </c>
      <c r="E70">
        <f>Lcode_mapping!F70</f>
        <v>1</v>
      </c>
      <c r="F70">
        <f>Lcode_mapping!G70</f>
        <v>1</v>
      </c>
      <c r="G70" t="str">
        <f>Lcode_mapping!H70</f>
        <v>I</v>
      </c>
      <c r="H70" t="str">
        <f>Lcode_mapping!I70</f>
        <v>N</v>
      </c>
      <c r="I70" t="str">
        <f>Lcode_mapping!J70</f>
        <v>-</v>
      </c>
      <c r="J70" t="str">
        <f>Lcode_mapping!K70</f>
        <v>Obs</v>
      </c>
      <c r="K70" t="str">
        <f>Lcode_mapping!L70</f>
        <v>-</v>
      </c>
      <c r="L70" t="str">
        <f>Lcode_mapping!M70</f>
        <v>N</v>
      </c>
      <c r="M70" t="str">
        <f>Lcode_mapping!N70</f>
        <v>NGS</v>
      </c>
      <c r="N70" t="str">
        <f>Lcode_mapping!O70</f>
        <v>CrossReference</v>
      </c>
      <c r="O70" t="str">
        <f>Lcode_mapping!P70</f>
        <v>ObsCrossRef</v>
      </c>
      <c r="P70" t="str">
        <f>Lcode_mapping!Q70</f>
        <v>-</v>
      </c>
      <c r="Q70" t="str">
        <f>Lcode_mapping!R70</f>
        <v>Obs2Baseline</v>
      </c>
      <c r="R70" t="str">
        <f>Lcode_mapping!S70</f>
        <v>-</v>
      </c>
      <c r="S70" t="str">
        <f>Lcode_mapping!T70</f>
        <v>Cross reference from observation to baseline</v>
      </c>
      <c r="T70" t="str">
        <f>Lcode_mapping!U70</f>
        <v>-</v>
      </c>
      <c r="U70" t="str">
        <f>Lcode_mapping!V70</f>
        <v>-</v>
      </c>
      <c r="V70" t="str">
        <f>Lcode_mapping!W70</f>
        <v>-</v>
      </c>
    </row>
    <row r="71" spans="1:22" ht="15" customHeight="1" x14ac:dyDescent="0.25">
      <c r="A71">
        <f>Lcode_mapping!A71</f>
        <v>159</v>
      </c>
      <c r="B71" t="str">
        <f>Lcode_mapping!B71</f>
        <v>N</v>
      </c>
      <c r="C71" t="str">
        <f>Lcode_mapping!D71</f>
        <v>Obs2Scan</v>
      </c>
      <c r="D71">
        <f>Lcode_mapping!E71</f>
        <v>1</v>
      </c>
      <c r="E71">
        <f>Lcode_mapping!F71</f>
        <v>1</v>
      </c>
      <c r="F71">
        <f>Lcode_mapping!G71</f>
        <v>1</v>
      </c>
      <c r="G71" t="str">
        <f>Lcode_mapping!H71</f>
        <v>J</v>
      </c>
      <c r="H71" t="str">
        <f>Lcode_mapping!I71</f>
        <v>N</v>
      </c>
      <c r="I71" t="str">
        <f>Lcode_mapping!J71</f>
        <v>-</v>
      </c>
      <c r="J71" t="str">
        <f>Lcode_mapping!K71</f>
        <v>Obs</v>
      </c>
      <c r="K71" t="str">
        <f>Lcode_mapping!L71</f>
        <v>-</v>
      </c>
      <c r="L71" t="str">
        <f>Lcode_mapping!M71</f>
        <v>N</v>
      </c>
      <c r="M71" t="str">
        <f>Lcode_mapping!N71</f>
        <v>NGS</v>
      </c>
      <c r="N71" t="str">
        <f>Lcode_mapping!O71</f>
        <v>CrossReference</v>
      </c>
      <c r="O71" t="str">
        <f>Lcode_mapping!P71</f>
        <v>ObsCrossRef</v>
      </c>
      <c r="P71" t="str">
        <f>Lcode_mapping!Q71</f>
        <v>-</v>
      </c>
      <c r="Q71" t="str">
        <f>Lcode_mapping!R71</f>
        <v>Obs2Scan</v>
      </c>
      <c r="R71" t="str">
        <f>Lcode_mapping!S71</f>
        <v>-</v>
      </c>
      <c r="S71" t="str">
        <f>Lcode_mapping!T71</f>
        <v>Cross reference from observation to scan</v>
      </c>
      <c r="T71" t="str">
        <f>Lcode_mapping!U71</f>
        <v>-</v>
      </c>
      <c r="U71" t="str">
        <f>Lcode_mapping!V71</f>
        <v>-</v>
      </c>
      <c r="V71" t="str">
        <f>Lcode_mapping!W71</f>
        <v>-</v>
      </c>
    </row>
    <row r="72" spans="1:22" ht="15" customHeight="1" x14ac:dyDescent="0.25">
      <c r="A72">
        <f>Lcode_mapping!A72</f>
        <v>152</v>
      </c>
      <c r="B72" t="str">
        <f>Lcode_mapping!B72</f>
        <v>N</v>
      </c>
      <c r="C72" t="str">
        <f>Lcode_mapping!D72</f>
        <v>Scan2Source</v>
      </c>
      <c r="D72">
        <f>Lcode_mapping!E72</f>
        <v>1</v>
      </c>
      <c r="E72">
        <f>Lcode_mapping!F72</f>
        <v>1</v>
      </c>
      <c r="F72">
        <f>Lcode_mapping!G72</f>
        <v>1</v>
      </c>
      <c r="G72" t="str">
        <f>Lcode_mapping!H72</f>
        <v>J</v>
      </c>
      <c r="H72" t="str">
        <f>Lcode_mapping!I72</f>
        <v>N</v>
      </c>
      <c r="I72" t="str">
        <f>Lcode_mapping!J72</f>
        <v>-</v>
      </c>
      <c r="J72" t="str">
        <f>Lcode_mapping!K72</f>
        <v>Session</v>
      </c>
      <c r="K72" t="str">
        <f>Lcode_mapping!L72</f>
        <v xml:space="preserve">New Lcode  </v>
      </c>
      <c r="L72" t="str">
        <f>Lcode_mapping!M72</f>
        <v>N</v>
      </c>
      <c r="M72" t="str">
        <f>Lcode_mapping!N72</f>
        <v>NGS</v>
      </c>
      <c r="N72" t="str">
        <f>Lcode_mapping!O72</f>
        <v>CrossReference</v>
      </c>
      <c r="O72" t="str">
        <f>Lcode_mapping!P72</f>
        <v>SourceCrossRef</v>
      </c>
      <c r="P72" t="str">
        <f>Lcode_mapping!Q72</f>
        <v>-</v>
      </c>
      <c r="Q72" t="str">
        <f>Lcode_mapping!R72</f>
        <v>Scan2Source</v>
      </c>
      <c r="R72" t="str">
        <f>Lcode_mapping!S72</f>
        <v>-</v>
      </c>
      <c r="S72" t="str">
        <f>Lcode_mapping!T72</f>
        <v>Cross reference scan to source</v>
      </c>
      <c r="T72" t="str">
        <f>Lcode_mapping!U72</f>
        <v>-</v>
      </c>
      <c r="U72" t="str">
        <f>Lcode_mapping!V72</f>
        <v>-</v>
      </c>
      <c r="V72" t="str">
        <f>Lcode_mapping!W72</f>
        <v>-</v>
      </c>
    </row>
    <row r="73" spans="1:22" ht="15" customHeight="1" x14ac:dyDescent="0.25">
      <c r="A73">
        <f>Lcode_mapping!A73</f>
        <v>153</v>
      </c>
      <c r="B73" t="str">
        <f>Lcode_mapping!B73</f>
        <v>N</v>
      </c>
      <c r="C73" t="str">
        <f>Lcode_mapping!D73</f>
        <v>CrossRefSourceList</v>
      </c>
      <c r="D73">
        <f>Lcode_mapping!E73</f>
        <v>4</v>
      </c>
      <c r="E73">
        <f>Lcode_mapping!F73</f>
        <v>70</v>
      </c>
      <c r="F73">
        <f>Lcode_mapping!G73</f>
        <v>1</v>
      </c>
      <c r="G73" t="str">
        <f>Lcode_mapping!H73</f>
        <v>A</v>
      </c>
      <c r="H73">
        <f>Lcode_mapping!I73</f>
        <v>1</v>
      </c>
      <c r="I73" t="str">
        <f>Lcode_mapping!J73</f>
        <v>Source names array.</v>
      </c>
      <c r="J73" t="str">
        <f>Lcode_mapping!K73</f>
        <v>Session</v>
      </c>
      <c r="K73" t="str">
        <f>Lcode_mapping!L73</f>
        <v>-</v>
      </c>
      <c r="L73" t="str">
        <f>Lcode_mapping!M73</f>
        <v>N</v>
      </c>
      <c r="M73" t="str">
        <f>Lcode_mapping!N73</f>
        <v>NGS</v>
      </c>
      <c r="N73" t="str">
        <f>Lcode_mapping!O73</f>
        <v>CrossReference</v>
      </c>
      <c r="O73" t="str">
        <f>Lcode_mapping!P73</f>
        <v>SourceCrossRef</v>
      </c>
      <c r="P73" t="str">
        <f>Lcode_mapping!Q73</f>
        <v>-</v>
      </c>
      <c r="Q73" t="str">
        <f>Lcode_mapping!R73</f>
        <v>CrossRefSourceList</v>
      </c>
      <c r="R73" t="str">
        <f>Lcode_mapping!S73</f>
        <v>-</v>
      </c>
      <c r="S73" t="str">
        <f>Lcode_mapping!T73</f>
        <v>Source names.</v>
      </c>
      <c r="T73" t="str">
        <f>Lcode_mapping!U73</f>
        <v>-</v>
      </c>
      <c r="U73" t="str">
        <f>Lcode_mapping!V73</f>
        <v>-</v>
      </c>
      <c r="V73" t="str">
        <f>Lcode_mapping!W73</f>
        <v>-</v>
      </c>
    </row>
    <row r="74" spans="1:22" ht="15" customHeight="1" x14ac:dyDescent="0.25">
      <c r="A74">
        <f>Lcode_mapping!A74</f>
        <v>154</v>
      </c>
      <c r="B74" t="str">
        <f>Lcode_mapping!B74</f>
        <v>N</v>
      </c>
      <c r="C74" t="str">
        <f>Lcode_mapping!D74</f>
        <v>NumScansPerStation</v>
      </c>
      <c r="D74">
        <f>Lcode_mapping!E74</f>
        <v>1</v>
      </c>
      <c r="E74">
        <f>Lcode_mapping!F74</f>
        <v>1</v>
      </c>
      <c r="F74">
        <f>Lcode_mapping!G74</f>
        <v>1</v>
      </c>
      <c r="G74" t="str">
        <f>Lcode_mapping!H74</f>
        <v>J</v>
      </c>
      <c r="H74" t="str">
        <f>Lcode_mapping!I74</f>
        <v>N</v>
      </c>
      <c r="I74" t="str">
        <f>Lcode_mapping!J74</f>
        <v>-</v>
      </c>
      <c r="J74" t="str">
        <f>Lcode_mapping!K74</f>
        <v>Session</v>
      </c>
      <c r="K74" t="str">
        <f>Lcode_mapping!L74</f>
        <v>-</v>
      </c>
      <c r="L74" t="str">
        <f>Lcode_mapping!M74</f>
        <v>N</v>
      </c>
      <c r="M74" t="str">
        <f>Lcode_mapping!N74</f>
        <v>NGS</v>
      </c>
      <c r="N74" t="str">
        <f>Lcode_mapping!O74</f>
        <v>CrossReference</v>
      </c>
      <c r="O74" t="str">
        <f>Lcode_mapping!P74</f>
        <v>StationCrossRef</v>
      </c>
      <c r="P74" t="str">
        <f>Lcode_mapping!Q74</f>
        <v>-</v>
      </c>
      <c r="Q74" t="str">
        <f>Lcode_mapping!R74</f>
        <v>-</v>
      </c>
      <c r="R74" t="str">
        <f>Lcode_mapping!S74</f>
        <v>-</v>
      </c>
      <c r="S74" t="str">
        <f>Lcode_mapping!T74</f>
        <v>Number of scans per station.</v>
      </c>
      <c r="T74" t="str">
        <f>Lcode_mapping!U74</f>
        <v>-</v>
      </c>
      <c r="U74" t="str">
        <f>Lcode_mapping!V74</f>
        <v>-</v>
      </c>
      <c r="V74" t="str">
        <f>Lcode_mapping!W74</f>
        <v>-</v>
      </c>
    </row>
    <row r="75" spans="1:22" ht="15" customHeight="1" x14ac:dyDescent="0.25">
      <c r="A75">
        <f>Lcode_mapping!A75</f>
        <v>155</v>
      </c>
      <c r="B75" t="str">
        <f>Lcode_mapping!B75</f>
        <v>N</v>
      </c>
      <c r="C75" t="str">
        <f>Lcode_mapping!D75</f>
        <v>Scan2Station</v>
      </c>
      <c r="D75">
        <f>Lcode_mapping!E75</f>
        <v>1</v>
      </c>
      <c r="E75">
        <f>Lcode_mapping!F75</f>
        <v>1</v>
      </c>
      <c r="F75">
        <f>Lcode_mapping!G75</f>
        <v>1</v>
      </c>
      <c r="G75" t="str">
        <f>Lcode_mapping!H75</f>
        <v>J</v>
      </c>
      <c r="H75" t="str">
        <f>Lcode_mapping!I75</f>
        <v>N</v>
      </c>
      <c r="I75" t="str">
        <f>Lcode_mapping!J75</f>
        <v>-</v>
      </c>
      <c r="J75" t="str">
        <f>Lcode_mapping!K75</f>
        <v>Session</v>
      </c>
      <c r="K75" t="str">
        <f>Lcode_mapping!L75</f>
        <v xml:space="preserve">New Lcode  </v>
      </c>
      <c r="L75" t="str">
        <f>Lcode_mapping!M75</f>
        <v>N</v>
      </c>
      <c r="M75" t="str">
        <f>Lcode_mapping!N75</f>
        <v>NGS</v>
      </c>
      <c r="N75" t="str">
        <f>Lcode_mapping!O75</f>
        <v>CrossReference</v>
      </c>
      <c r="O75" t="str">
        <f>Lcode_mapping!P75</f>
        <v>StationCrossRef</v>
      </c>
      <c r="P75" t="str">
        <f>Lcode_mapping!Q75</f>
        <v>-</v>
      </c>
      <c r="Q75" t="str">
        <f>Lcode_mapping!R75</f>
        <v>-</v>
      </c>
      <c r="R75" t="str">
        <f>Lcode_mapping!S75</f>
        <v>-</v>
      </c>
      <c r="S75" t="str">
        <f>Lcode_mapping!T75</f>
        <v>Cross reference scans to station</v>
      </c>
      <c r="T75" t="str">
        <f>Lcode_mapping!U75</f>
        <v>-</v>
      </c>
      <c r="U75" t="str">
        <f>Lcode_mapping!V75</f>
        <v>-</v>
      </c>
      <c r="V75" t="str">
        <f>Lcode_mapping!W75</f>
        <v>-</v>
      </c>
    </row>
    <row r="76" spans="1:22" ht="15" customHeight="1" x14ac:dyDescent="0.25">
      <c r="A76">
        <f>Lcode_mapping!A76</f>
        <v>157</v>
      </c>
      <c r="B76" t="str">
        <f>Lcode_mapping!B76</f>
        <v>N</v>
      </c>
      <c r="C76" t="str">
        <f>Lcode_mapping!D76</f>
        <v>Station2Scan</v>
      </c>
      <c r="D76">
        <f>Lcode_mapping!E76</f>
        <v>1</v>
      </c>
      <c r="E76">
        <f>Lcode_mapping!F76</f>
        <v>1</v>
      </c>
      <c r="F76">
        <f>Lcode_mapping!G76</f>
        <v>1</v>
      </c>
      <c r="G76" t="str">
        <f>Lcode_mapping!H76</f>
        <v>J</v>
      </c>
      <c r="H76" t="str">
        <f>Lcode_mapping!I76</f>
        <v>N</v>
      </c>
      <c r="I76" t="str">
        <f>Lcode_mapping!J76</f>
        <v>-</v>
      </c>
      <c r="J76" t="str">
        <f>Lcode_mapping!K76</f>
        <v>Session</v>
      </c>
      <c r="K76" t="str">
        <f>Lcode_mapping!L76</f>
        <v>-</v>
      </c>
      <c r="L76" t="str">
        <f>Lcode_mapping!M76</f>
        <v>N</v>
      </c>
      <c r="M76" t="str">
        <f>Lcode_mapping!N76</f>
        <v>NGS</v>
      </c>
      <c r="N76" t="str">
        <f>Lcode_mapping!O76</f>
        <v>CrossReference</v>
      </c>
      <c r="O76" t="str">
        <f>Lcode_mapping!P76</f>
        <v>StationCrossRef</v>
      </c>
      <c r="P76" t="str">
        <f>Lcode_mapping!Q76</f>
        <v>-</v>
      </c>
      <c r="Q76" t="str">
        <f>Lcode_mapping!R76</f>
        <v>-</v>
      </c>
      <c r="R76" t="str">
        <f>Lcode_mapping!S76</f>
        <v>-</v>
      </c>
      <c r="S76" t="str">
        <f>Lcode_mapping!T76</f>
        <v>Cross reference station-scan to schedule-scan</v>
      </c>
      <c r="T76" t="str">
        <f>Lcode_mapping!U76</f>
        <v>-</v>
      </c>
      <c r="U76" t="str">
        <f>Lcode_mapping!V76</f>
        <v>-</v>
      </c>
      <c r="V76" t="str">
        <f>Lcode_mapping!W76</f>
        <v>-</v>
      </c>
    </row>
    <row r="77" spans="1:22" ht="15" customHeight="1" x14ac:dyDescent="0.25">
      <c r="A77">
        <f>Lcode_mapping!A77</f>
        <v>156</v>
      </c>
      <c r="B77">
        <f>Lcode_mapping!B77</f>
        <v>1</v>
      </c>
      <c r="C77" t="str">
        <f>Lcode_mapping!D77</f>
        <v>CrossRefStationList</v>
      </c>
      <c r="D77">
        <f>Lcode_mapping!E77</f>
        <v>4</v>
      </c>
      <c r="E77">
        <f>Lcode_mapping!F77</f>
        <v>11</v>
      </c>
      <c r="F77">
        <f>Lcode_mapping!G77</f>
        <v>1</v>
      </c>
      <c r="G77" t="str">
        <f>Lcode_mapping!H77</f>
        <v>A</v>
      </c>
      <c r="H77">
        <f>Lcode_mapping!I77</f>
        <v>1</v>
      </c>
      <c r="I77" t="str">
        <f>Lcode_mapping!J77</f>
        <v>Site names array in alphabetical order</v>
      </c>
      <c r="J77" t="str">
        <f>Lcode_mapping!K77</f>
        <v>Session</v>
      </c>
      <c r="K77" t="str">
        <f>Lcode_mapping!L77</f>
        <v>-</v>
      </c>
      <c r="L77" t="str">
        <f>Lcode_mapping!M77</f>
        <v>N</v>
      </c>
      <c r="M77" t="str">
        <f>Lcode_mapping!N77</f>
        <v>NGS</v>
      </c>
      <c r="N77" t="str">
        <f>Lcode_mapping!O77</f>
        <v>CrossReference</v>
      </c>
      <c r="O77" t="str">
        <f>Lcode_mapping!P77</f>
        <v>StationCrossRef</v>
      </c>
      <c r="P77" t="str">
        <f>Lcode_mapping!Q77</f>
        <v>-</v>
      </c>
      <c r="Q77" t="str">
        <f>Lcode_mapping!R77</f>
        <v>CrossRefStationList</v>
      </c>
      <c r="R77" t="str">
        <f>Lcode_mapping!S77</f>
        <v>-</v>
      </c>
      <c r="S77" t="str">
        <f>Lcode_mapping!T77</f>
        <v>Site names in alphabetical order</v>
      </c>
      <c r="T77" t="str">
        <f>Lcode_mapping!U77</f>
        <v>-</v>
      </c>
      <c r="U77" t="str">
        <f>Lcode_mapping!V77</f>
        <v>-</v>
      </c>
      <c r="V77" t="str">
        <f>Lcode_mapping!W77</f>
        <v>-</v>
      </c>
    </row>
    <row r="78" spans="1:22" ht="15" customHeight="1" x14ac:dyDescent="0.25">
      <c r="A78">
        <f>Lcode_mapping!A78</f>
        <v>295</v>
      </c>
      <c r="B78">
        <f>Lcode_mapping!B78</f>
        <v>2</v>
      </c>
      <c r="C78" t="str">
        <f>Lcode_mapping!D78</f>
        <v>CON CONT</v>
      </c>
      <c r="D78">
        <f>Lcode_mapping!E78</f>
        <v>2</v>
      </c>
      <c r="E78">
        <f>Lcode_mapping!F78</f>
        <v>1</v>
      </c>
      <c r="F78">
        <f>Lcode_mapping!G78</f>
        <v>1</v>
      </c>
      <c r="G78" t="str">
        <f>Lcode_mapping!H78</f>
        <v>R</v>
      </c>
      <c r="H78">
        <f>Lcode_mapping!I78</f>
        <v>5</v>
      </c>
      <c r="I78" t="str">
        <f>Lcode_mapping!J78</f>
        <v>Consensus bending contrib. (sec)</v>
      </c>
      <c r="J78" t="str">
        <f>Lcode_mapping!K78</f>
        <v>Obs</v>
      </c>
      <c r="K78" t="str">
        <f>Lcode_mapping!L78</f>
        <v>-</v>
      </c>
      <c r="L78" t="str">
        <f>Lcode_mapping!M78</f>
        <v>K</v>
      </c>
      <c r="M78" t="str">
        <f>Lcode_mapping!N78</f>
        <v>-</v>
      </c>
      <c r="N78" t="str">
        <f>Lcode_mapping!O78</f>
        <v>ObsCalTheo</v>
      </c>
      <c r="O78" t="str">
        <f>Lcode_mapping!P78</f>
        <v>Cal-Bend</v>
      </c>
      <c r="P78" t="str">
        <f>Lcode_mapping!Q78</f>
        <v>Y</v>
      </c>
      <c r="Q78" t="str">
        <f>Lcode_mapping!R78</f>
        <v>Cal-Bend</v>
      </c>
      <c r="R78" t="str">
        <f>Lcode_mapping!S78</f>
        <v>-</v>
      </c>
      <c r="S78" t="str">
        <f>Lcode_mapping!T78</f>
        <v>-</v>
      </c>
      <c r="T78" t="str">
        <f>Lcode_mapping!U78</f>
        <v>-</v>
      </c>
      <c r="U78" t="str">
        <f>Lcode_mapping!V78</f>
        <v>second</v>
      </c>
      <c r="V78" t="str">
        <f>Lcode_mapping!W78</f>
        <v>-</v>
      </c>
    </row>
    <row r="79" spans="1:22" ht="15" customHeight="1" x14ac:dyDescent="0.25">
      <c r="A79">
        <f>Lcode_mapping!A79</f>
        <v>297</v>
      </c>
      <c r="B79">
        <f>Lcode_mapping!B79</f>
        <v>2</v>
      </c>
      <c r="C79" t="str">
        <f>Lcode_mapping!D79</f>
        <v>SUN CONT</v>
      </c>
      <c r="D79">
        <f>Lcode_mapping!E79</f>
        <v>2</v>
      </c>
      <c r="E79">
        <f>Lcode_mapping!F79</f>
        <v>1</v>
      </c>
      <c r="F79">
        <f>Lcode_mapping!G79</f>
        <v>1</v>
      </c>
      <c r="G79" t="str">
        <f>Lcode_mapping!H79</f>
        <v>R</v>
      </c>
      <c r="H79">
        <f>Lcode_mapping!I79</f>
        <v>5</v>
      </c>
      <c r="I79" t="str">
        <f>Lcode_mapping!J79</f>
        <v>Consensus bending contrib. (sec)</v>
      </c>
      <c r="J79" t="str">
        <f>Lcode_mapping!K79</f>
        <v>Obs</v>
      </c>
      <c r="K79" t="str">
        <f>Lcode_mapping!L79</f>
        <v>-</v>
      </c>
      <c r="L79" t="str">
        <f>Lcode_mapping!M79</f>
        <v>K</v>
      </c>
      <c r="M79" t="str">
        <f>Lcode_mapping!N79</f>
        <v>-</v>
      </c>
      <c r="N79" t="str">
        <f>Lcode_mapping!O79</f>
        <v>ObsCalTheo</v>
      </c>
      <c r="O79" t="str">
        <f>Lcode_mapping!P79</f>
        <v>Cal-BendSun</v>
      </c>
      <c r="P79" t="str">
        <f>Lcode_mapping!Q79</f>
        <v>Y</v>
      </c>
      <c r="Q79" t="str">
        <f>Lcode_mapping!R79</f>
        <v>Cal-BendSun</v>
      </c>
      <c r="R79" t="str">
        <f>Lcode_mapping!S79</f>
        <v>-</v>
      </c>
      <c r="S79" t="str">
        <f>Lcode_mapping!T79</f>
        <v>-</v>
      </c>
      <c r="T79" t="str">
        <f>Lcode_mapping!U79</f>
        <v>-</v>
      </c>
      <c r="U79" t="str">
        <f>Lcode_mapping!V79</f>
        <v>second</v>
      </c>
      <c r="V79" t="str">
        <f>Lcode_mapping!W79</f>
        <v>-</v>
      </c>
    </row>
    <row r="80" spans="1:22" ht="15" customHeight="1" x14ac:dyDescent="0.25">
      <c r="A80">
        <f>Lcode_mapping!A80</f>
        <v>296</v>
      </c>
      <c r="B80">
        <f>Lcode_mapping!B80</f>
        <v>2</v>
      </c>
      <c r="C80" t="str">
        <f>Lcode_mapping!D80</f>
        <v>SUN2CONT</v>
      </c>
      <c r="D80">
        <f>Lcode_mapping!E80</f>
        <v>2</v>
      </c>
      <c r="E80">
        <f>Lcode_mapping!F80</f>
        <v>1</v>
      </c>
      <c r="F80">
        <f>Lcode_mapping!G80</f>
        <v>1</v>
      </c>
      <c r="G80" t="str">
        <f>Lcode_mapping!H80</f>
        <v>R</v>
      </c>
      <c r="H80">
        <f>Lcode_mapping!I80</f>
        <v>5</v>
      </c>
      <c r="I80" t="str">
        <f>Lcode_mapping!J80</f>
        <v>High order bending contrib.(sec)</v>
      </c>
      <c r="J80" t="str">
        <f>Lcode_mapping!K80</f>
        <v>Obs</v>
      </c>
      <c r="K80" t="str">
        <f>Lcode_mapping!L80</f>
        <v>-</v>
      </c>
      <c r="L80" t="str">
        <f>Lcode_mapping!M80</f>
        <v>K</v>
      </c>
      <c r="M80" t="str">
        <f>Lcode_mapping!N80</f>
        <v>-</v>
      </c>
      <c r="N80" t="str">
        <f>Lcode_mapping!O80</f>
        <v>ObsCalTheo</v>
      </c>
      <c r="O80" t="str">
        <f>Lcode_mapping!P80</f>
        <v>Cal-BendSunHigher</v>
      </c>
      <c r="P80" t="str">
        <f>Lcode_mapping!Q80</f>
        <v>Y</v>
      </c>
      <c r="Q80" t="str">
        <f>Lcode_mapping!R80</f>
        <v>Cal-BendSunHigher</v>
      </c>
      <c r="R80" t="str">
        <f>Lcode_mapping!S80</f>
        <v>-</v>
      </c>
      <c r="S80" t="str">
        <f>Lcode_mapping!T80</f>
        <v>-</v>
      </c>
      <c r="T80">
        <f>Lcode_mapping!U80</f>
        <v>2</v>
      </c>
      <c r="U80" t="str">
        <f>Lcode_mapping!V80</f>
        <v>second</v>
      </c>
      <c r="V80" t="str">
        <f>Lcode_mapping!W80</f>
        <v>-</v>
      </c>
    </row>
    <row r="81" spans="1:22" ht="15" customHeight="1" x14ac:dyDescent="0.25">
      <c r="A81">
        <f>Lcode_mapping!A81</f>
        <v>298</v>
      </c>
      <c r="B81" t="str">
        <f>Lcode_mapping!B81</f>
        <v>N</v>
      </c>
      <c r="C81" t="str">
        <f>Lcode_mapping!D81</f>
        <v>AprioriClock</v>
      </c>
      <c r="D81">
        <f>Lcode_mapping!E81</f>
        <v>2</v>
      </c>
      <c r="E81">
        <f>Lcode_mapping!F81</f>
        <v>1</v>
      </c>
      <c r="F81">
        <f>Lcode_mapping!G81</f>
        <v>1</v>
      </c>
      <c r="G81" t="str">
        <f>Lcode_mapping!H81</f>
        <v>R</v>
      </c>
      <c r="H81" t="str">
        <f>Lcode_mapping!I81</f>
        <v>N</v>
      </c>
      <c r="I81" t="str">
        <f>Lcode_mapping!J81</f>
        <v>-</v>
      </c>
      <c r="J81" t="str">
        <f>Lcode_mapping!K81</f>
        <v>Obs</v>
      </c>
      <c r="K81" t="str">
        <f>Lcode_mapping!L81</f>
        <v>-</v>
      </c>
      <c r="L81" t="str">
        <f>Lcode_mapping!M81</f>
        <v>N</v>
      </c>
      <c r="M81" t="str">
        <f>Lcode_mapping!N81</f>
        <v>Solve</v>
      </c>
      <c r="N81" t="str">
        <f>Lcode_mapping!O81</f>
        <v>ObsCalTheo</v>
      </c>
      <c r="O81" t="str">
        <f>Lcode_mapping!P81</f>
        <v>Cal-AprioriClock</v>
      </c>
      <c r="P81" t="str">
        <f>Lcode_mapping!Q81</f>
        <v>-</v>
      </c>
      <c r="Q81" t="str">
        <f>Lcode_mapping!R81</f>
        <v>Cal-AprioriClock</v>
      </c>
      <c r="R81" t="str">
        <f>Lcode_mapping!S81</f>
        <v>-</v>
      </c>
      <c r="S81" t="str">
        <f>Lcode_mapping!T81</f>
        <v>Apriori clock contribution to delay, rate.</v>
      </c>
      <c r="T81">
        <f>Lcode_mapping!U81</f>
        <v>2</v>
      </c>
      <c r="U81" t="str">
        <f>Lcode_mapping!V81</f>
        <v>second</v>
      </c>
      <c r="V81" t="str">
        <f>Lcode_mapping!W81</f>
        <v>-</v>
      </c>
    </row>
    <row r="82" spans="1:22" ht="15" customHeight="1" x14ac:dyDescent="0.25">
      <c r="A82">
        <f>Lcode_mapping!A82</f>
        <v>299</v>
      </c>
      <c r="B82">
        <f>Lcode_mapping!B82</f>
        <v>2</v>
      </c>
      <c r="C82" t="str">
        <f>Lcode_mapping!D82</f>
        <v>ETD CONT</v>
      </c>
      <c r="D82">
        <f>Lcode_mapping!E82</f>
        <v>2</v>
      </c>
      <c r="E82">
        <f>Lcode_mapping!F82</f>
        <v>1</v>
      </c>
      <c r="F82">
        <f>Lcode_mapping!G82</f>
        <v>1</v>
      </c>
      <c r="G82" t="str">
        <f>Lcode_mapping!H82</f>
        <v>R</v>
      </c>
      <c r="H82">
        <f>Lcode_mapping!I82</f>
        <v>5</v>
      </c>
      <c r="I82" t="str">
        <f>Lcode_mapping!J82</f>
        <v>Earth tide contributions def.</v>
      </c>
      <c r="J82" t="str">
        <f>Lcode_mapping!K82</f>
        <v>Obs</v>
      </c>
      <c r="K82" t="str">
        <f>Lcode_mapping!L82</f>
        <v>-</v>
      </c>
      <c r="L82" t="str">
        <f>Lcode_mapping!M82</f>
        <v>K</v>
      </c>
      <c r="M82" t="str">
        <f>Lcode_mapping!N82</f>
        <v>Solve</v>
      </c>
      <c r="N82" t="str">
        <f>Lcode_mapping!O82</f>
        <v>ObsCalTheo</v>
      </c>
      <c r="O82" t="str">
        <f>Lcode_mapping!P82</f>
        <v>Cal-EarthTide_kIERS2003</v>
      </c>
      <c r="P82" t="str">
        <f>Lcode_mapping!Q82</f>
        <v>Y</v>
      </c>
      <c r="Q82" t="str">
        <f>Lcode_mapping!R82</f>
        <v>Cal-EarthTide</v>
      </c>
      <c r="R82" t="str">
        <f>Lcode_mapping!S82</f>
        <v>-</v>
      </c>
      <c r="S82" t="str">
        <f>Lcode_mapping!T82</f>
        <v>-</v>
      </c>
      <c r="T82">
        <f>Lcode_mapping!U82</f>
        <v>2</v>
      </c>
      <c r="U82" t="str">
        <f>Lcode_mapping!V82</f>
        <v>second</v>
      </c>
      <c r="V82" t="str">
        <f>Lcode_mapping!W82</f>
        <v>-</v>
      </c>
    </row>
    <row r="83" spans="1:22" ht="15" customHeight="1" x14ac:dyDescent="0.25">
      <c r="A83">
        <f>Lcode_mapping!A83</f>
        <v>300</v>
      </c>
      <c r="B83" t="str">
        <f>Lcode_mapping!B83</f>
        <v>N</v>
      </c>
      <c r="C83" t="str">
        <f>Lcode_mapping!D83</f>
        <v>EccentricityMap</v>
      </c>
      <c r="D83">
        <f>Lcode_mapping!E83</f>
        <v>2</v>
      </c>
      <c r="E83">
        <f>Lcode_mapping!F83</f>
        <v>1</v>
      </c>
      <c r="F83">
        <f>Lcode_mapping!G83</f>
        <v>1</v>
      </c>
      <c r="G83" t="str">
        <f>Lcode_mapping!H83</f>
        <v>R</v>
      </c>
      <c r="H83" t="str">
        <f>Lcode_mapping!I83</f>
        <v>N</v>
      </c>
      <c r="I83" t="str">
        <f>Lcode_mapping!J83</f>
        <v>-</v>
      </c>
      <c r="J83" t="str">
        <f>Lcode_mapping!K83</f>
        <v>Obs</v>
      </c>
      <c r="K83" t="str">
        <f>Lcode_mapping!L83</f>
        <v>-</v>
      </c>
      <c r="L83" t="str">
        <f>Lcode_mapping!M83</f>
        <v>N</v>
      </c>
      <c r="M83" t="str">
        <f>Lcode_mapping!N83</f>
        <v>Solve</v>
      </c>
      <c r="N83" t="str">
        <f>Lcode_mapping!O83</f>
        <v>ObsCalTheo</v>
      </c>
      <c r="O83" t="str">
        <f>Lcode_mapping!P83</f>
        <v>Cal-EccentricityMap</v>
      </c>
      <c r="P83" t="str">
        <f>Lcode_mapping!Q83</f>
        <v>-</v>
      </c>
      <c r="Q83" t="str">
        <f>Lcode_mapping!R83</f>
        <v>Cal-EccentricityMap</v>
      </c>
      <c r="R83" t="str">
        <f>Lcode_mapping!S83</f>
        <v>-</v>
      </c>
      <c r="S83" t="str">
        <f>Lcode_mapping!T83</f>
        <v>Adding this maps the observables to the  monument.</v>
      </c>
      <c r="T83">
        <f>Lcode_mapping!U83</f>
        <v>2</v>
      </c>
      <c r="U83" t="str">
        <f>Lcode_mapping!V83</f>
        <v>second</v>
      </c>
      <c r="V83" t="str">
        <f>Lcode_mapping!W83</f>
        <v>-</v>
      </c>
    </row>
    <row r="84" spans="1:22" ht="15" customHeight="1" x14ac:dyDescent="0.25">
      <c r="A84">
        <f>Lcode_mapping!A84</f>
        <v>301</v>
      </c>
      <c r="B84">
        <f>Lcode_mapping!B84</f>
        <v>2</v>
      </c>
      <c r="C84" t="str">
        <f>Lcode_mapping!D84</f>
        <v>FEED.COR</v>
      </c>
      <c r="D84">
        <f>Lcode_mapping!E84</f>
        <v>2</v>
      </c>
      <c r="E84">
        <f>Lcode_mapping!F84</f>
        <v>1</v>
      </c>
      <c r="F84">
        <f>Lcode_mapping!G84</f>
        <v>1</v>
      </c>
      <c r="G84" t="str">
        <f>Lcode_mapping!H84</f>
        <v>R</v>
      </c>
      <c r="H84">
        <f>Lcode_mapping!I84</f>
        <v>5</v>
      </c>
      <c r="I84" t="str">
        <f>Lcode_mapping!J84</f>
        <v>Feedhorn corr. in CORFIL scheme</v>
      </c>
      <c r="J84" t="str">
        <f>Lcode_mapping!K84</f>
        <v>Obs</v>
      </c>
      <c r="K84" t="str">
        <f>Lcode_mapping!L84</f>
        <v>-</v>
      </c>
      <c r="L84" t="str">
        <f>Lcode_mapping!M84</f>
        <v>K</v>
      </c>
      <c r="M84" t="str">
        <f>Lcode_mapping!N84</f>
        <v>Solve</v>
      </c>
      <c r="N84" t="str">
        <f>Lcode_mapping!O84</f>
        <v>ObsCalTheo</v>
      </c>
      <c r="O84" t="str">
        <f>Lcode_mapping!P84</f>
        <v>Cal-FeedCorrection</v>
      </c>
      <c r="P84" t="str">
        <f>Lcode_mapping!Q84</f>
        <v>-</v>
      </c>
      <c r="Q84" t="str">
        <f>Lcode_mapping!R84</f>
        <v>Cal-FeedCorrection</v>
      </c>
      <c r="R84" t="str">
        <f>Lcode_mapping!S84</f>
        <v>-</v>
      </c>
      <c r="S84" t="str">
        <f>Lcode_mapping!T84</f>
        <v>-</v>
      </c>
      <c r="T84">
        <f>Lcode_mapping!U84</f>
        <v>2</v>
      </c>
      <c r="U84" t="str">
        <f>Lcode_mapping!V84</f>
        <v>second</v>
      </c>
      <c r="V84" t="str">
        <f>Lcode_mapping!W84</f>
        <v>-</v>
      </c>
    </row>
    <row r="85" spans="1:22" ht="15" customHeight="1" x14ac:dyDescent="0.25">
      <c r="A85">
        <f>Lcode_mapping!A85</f>
        <v>302</v>
      </c>
      <c r="B85">
        <f>Lcode_mapping!B85</f>
        <v>2</v>
      </c>
      <c r="C85" t="str">
        <f>Lcode_mapping!D85</f>
        <v>UT1ORTHO</v>
      </c>
      <c r="D85">
        <f>Lcode_mapping!E85</f>
        <v>2</v>
      </c>
      <c r="E85">
        <f>Lcode_mapping!F85</f>
        <v>1</v>
      </c>
      <c r="F85">
        <f>Lcode_mapping!G85</f>
        <v>1</v>
      </c>
      <c r="G85" t="str">
        <f>Lcode_mapping!H85</f>
        <v>R</v>
      </c>
      <c r="H85">
        <f>Lcode_mapping!I85</f>
        <v>5</v>
      </c>
      <c r="I85" t="str">
        <f>Lcode_mapping!J85</f>
        <v>ORTHO_EOP Tidal UT1 contribution</v>
      </c>
      <c r="J85" t="str">
        <f>Lcode_mapping!K85</f>
        <v>Obs</v>
      </c>
      <c r="K85" t="str">
        <f>Lcode_mapping!L85</f>
        <v>-</v>
      </c>
      <c r="L85" t="str">
        <f>Lcode_mapping!M85</f>
        <v>K</v>
      </c>
      <c r="M85" t="str">
        <f>Lcode_mapping!N85</f>
        <v>Solve</v>
      </c>
      <c r="N85" t="str">
        <f>Lcode_mapping!O85</f>
        <v>ObsCalTheo</v>
      </c>
      <c r="O85" t="str">
        <f>Lcode_mapping!P85</f>
        <v>Cal-HiFreqERP_kIERS2003</v>
      </c>
      <c r="P85" t="str">
        <f>Lcode_mapping!Q85</f>
        <v>Y</v>
      </c>
      <c r="Q85" t="str">
        <f>Lcode_mapping!R85</f>
        <v>Cal-UT1Ortho</v>
      </c>
      <c r="R85" t="str">
        <f>Lcode_mapping!S85</f>
        <v>-</v>
      </c>
      <c r="S85" t="str">
        <f>Lcode_mapping!T85</f>
        <v>-</v>
      </c>
      <c r="T85">
        <f>Lcode_mapping!U85</f>
        <v>2</v>
      </c>
      <c r="U85" t="str">
        <f>Lcode_mapping!V85</f>
        <v>second</v>
      </c>
      <c r="V85" t="str">
        <f>Lcode_mapping!W85</f>
        <v>-</v>
      </c>
    </row>
    <row r="86" spans="1:22" ht="15" customHeight="1" x14ac:dyDescent="0.25">
      <c r="A86">
        <f>Lcode_mapping!A86</f>
        <v>303</v>
      </c>
      <c r="B86">
        <f>Lcode_mapping!B86</f>
        <v>2</v>
      </c>
      <c r="C86" t="str">
        <f>Lcode_mapping!D86</f>
        <v>WOBORTHO</v>
      </c>
      <c r="D86">
        <f>Lcode_mapping!E86</f>
        <v>2</v>
      </c>
      <c r="E86">
        <f>Lcode_mapping!F86</f>
        <v>1</v>
      </c>
      <c r="F86">
        <f>Lcode_mapping!G86</f>
        <v>1</v>
      </c>
      <c r="G86" t="str">
        <f>Lcode_mapping!H86</f>
        <v>R</v>
      </c>
      <c r="H86">
        <f>Lcode_mapping!I86</f>
        <v>5</v>
      </c>
      <c r="I86" t="str">
        <f>Lcode_mapping!J86</f>
        <v>ORTHO_EOP tidal wobble contribtn</v>
      </c>
      <c r="J86" t="str">
        <f>Lcode_mapping!K86</f>
        <v>Obs</v>
      </c>
      <c r="K86" t="str">
        <f>Lcode_mapping!L86</f>
        <v>-</v>
      </c>
      <c r="L86" t="str">
        <f>Lcode_mapping!M86</f>
        <v>K</v>
      </c>
      <c r="M86" t="str">
        <f>Lcode_mapping!N86</f>
        <v>Solve</v>
      </c>
      <c r="N86" t="str">
        <f>Lcode_mapping!O86</f>
        <v>ObsCalTheo</v>
      </c>
      <c r="O86" t="str">
        <f>Lcode_mapping!P86</f>
        <v>Cal-HiFreqERP_kIERS2003</v>
      </c>
      <c r="P86" t="str">
        <f>Lcode_mapping!Q86</f>
        <v>Y</v>
      </c>
      <c r="Q86" t="str">
        <f>Lcode_mapping!R86</f>
        <v>Cal-WobOrtho</v>
      </c>
      <c r="R86" t="str">
        <f>Lcode_mapping!S86</f>
        <v>-</v>
      </c>
      <c r="S86" t="str">
        <f>Lcode_mapping!T86</f>
        <v>-</v>
      </c>
      <c r="T86">
        <f>Lcode_mapping!U86</f>
        <v>2</v>
      </c>
      <c r="U86" t="str">
        <f>Lcode_mapping!V86</f>
        <v>second</v>
      </c>
      <c r="V86" t="str">
        <f>Lcode_mapping!W86</f>
        <v>-</v>
      </c>
    </row>
    <row r="87" spans="1:22" ht="15" customHeight="1" x14ac:dyDescent="0.25">
      <c r="A87">
        <f>Lcode_mapping!A87</f>
        <v>318</v>
      </c>
      <c r="B87">
        <f>Lcode_mapping!B87</f>
        <v>2</v>
      </c>
      <c r="C87" t="str">
        <f>Lcode_mapping!D87</f>
        <v>WOBNUTAT</v>
      </c>
      <c r="D87">
        <f>Lcode_mapping!E87</f>
        <v>2</v>
      </c>
      <c r="E87">
        <f>Lcode_mapping!F87</f>
        <v>1</v>
      </c>
      <c r="F87">
        <f>Lcode_mapping!G87</f>
        <v>1</v>
      </c>
      <c r="G87" t="str">
        <f>Lcode_mapping!H87</f>
        <v>R</v>
      </c>
      <c r="H87">
        <f>Lcode_mapping!I87</f>
        <v>5</v>
      </c>
      <c r="I87" t="str">
        <f>Lcode_mapping!J87</f>
        <v>Short period nutation wobble con</v>
      </c>
      <c r="J87" t="str">
        <f>Lcode_mapping!K87</f>
        <v>Obs</v>
      </c>
      <c r="K87" t="str">
        <f>Lcode_mapping!L87</f>
        <v>-</v>
      </c>
      <c r="L87" t="str">
        <f>Lcode_mapping!M87</f>
        <v>K</v>
      </c>
      <c r="M87" t="str">
        <f>Lcode_mapping!N87</f>
        <v>Solve</v>
      </c>
      <c r="N87" t="str">
        <f>Lcode_mapping!O87</f>
        <v>ObsCalTheo</v>
      </c>
      <c r="O87" t="str">
        <f>Lcode_mapping!P87</f>
        <v>Cal-HiFreqLibration_kIERS2006</v>
      </c>
      <c r="P87" t="str">
        <f>Lcode_mapping!Q87</f>
        <v>Y</v>
      </c>
      <c r="Q87" t="str">
        <f>Lcode_mapping!R87</f>
        <v>Cal-HiFreqLibrationPM</v>
      </c>
      <c r="R87" t="str">
        <f>Lcode_mapping!S87</f>
        <v>-</v>
      </c>
      <c r="S87" t="str">
        <f>Lcode_mapping!T87</f>
        <v>Hi Freq Wobble Libration Contribution</v>
      </c>
      <c r="T87">
        <f>Lcode_mapping!U87</f>
        <v>2</v>
      </c>
      <c r="U87" t="str">
        <f>Lcode_mapping!V87</f>
        <v>second</v>
      </c>
      <c r="V87" t="str">
        <f>Lcode_mapping!W87</f>
        <v>-</v>
      </c>
    </row>
    <row r="88" spans="1:22" ht="15" customHeight="1" x14ac:dyDescent="0.25">
      <c r="A88">
        <f>Lcode_mapping!A88</f>
        <v>318</v>
      </c>
      <c r="B88">
        <f>Lcode_mapping!B88</f>
        <v>2</v>
      </c>
      <c r="C88" t="str">
        <f>Lcode_mapping!D88</f>
        <v>WOBLIBRA</v>
      </c>
      <c r="D88">
        <f>Lcode_mapping!E88</f>
        <v>2</v>
      </c>
      <c r="E88">
        <f>Lcode_mapping!F88</f>
        <v>1</v>
      </c>
      <c r="F88">
        <f>Lcode_mapping!G88</f>
        <v>1</v>
      </c>
      <c r="G88" t="str">
        <f>Lcode_mapping!H88</f>
        <v>R</v>
      </c>
      <c r="H88">
        <f>Lcode_mapping!I88</f>
        <v>5</v>
      </c>
      <c r="I88" t="str">
        <f>Lcode_mapping!J88</f>
        <v>HF  wobble libration contribution</v>
      </c>
      <c r="J88" t="str">
        <f>Lcode_mapping!K88</f>
        <v>Obs</v>
      </c>
      <c r="K88" t="str">
        <f>Lcode_mapping!L88</f>
        <v>-</v>
      </c>
      <c r="L88" t="str">
        <f>Lcode_mapping!M88</f>
        <v>K</v>
      </c>
      <c r="M88" t="str">
        <f>Lcode_mapping!N88</f>
        <v>Solve</v>
      </c>
      <c r="N88" t="str">
        <f>Lcode_mapping!O88</f>
        <v>ObsCalTheo</v>
      </c>
      <c r="O88" t="str">
        <f>Lcode_mapping!P88</f>
        <v>Cal-HiFreqLibration_kIERS2010</v>
      </c>
      <c r="P88" t="str">
        <f>Lcode_mapping!Q88</f>
        <v>Y</v>
      </c>
      <c r="Q88" t="str">
        <f>Lcode_mapping!R88</f>
        <v>Cal-HiFreqLibrationPM</v>
      </c>
      <c r="R88" t="str">
        <f>Lcode_mapping!S88</f>
        <v>-</v>
      </c>
      <c r="S88" t="str">
        <f>Lcode_mapping!T88</f>
        <v>Hi Freq Wobble Libration Contribution</v>
      </c>
      <c r="T88">
        <f>Lcode_mapping!U88</f>
        <v>2</v>
      </c>
      <c r="U88" t="str">
        <f>Lcode_mapping!V88</f>
        <v>second</v>
      </c>
      <c r="V88" t="str">
        <f>Lcode_mapping!W88</f>
        <v>-</v>
      </c>
    </row>
    <row r="89" spans="1:22" ht="15" customHeight="1" x14ac:dyDescent="0.25">
      <c r="A89">
        <f>Lcode_mapping!A89</f>
        <v>318</v>
      </c>
      <c r="B89">
        <f>Lcode_mapping!B89</f>
        <v>2</v>
      </c>
      <c r="C89" t="str">
        <f>Lcode_mapping!D89</f>
        <v>UT1LIBRA</v>
      </c>
      <c r="D89">
        <f>Lcode_mapping!E89</f>
        <v>2</v>
      </c>
      <c r="E89">
        <f>Lcode_mapping!F89</f>
        <v>1</v>
      </c>
      <c r="F89">
        <f>Lcode_mapping!G89</f>
        <v>1</v>
      </c>
      <c r="G89" t="str">
        <f>Lcode_mapping!H89</f>
        <v>R</v>
      </c>
      <c r="H89">
        <f>Lcode_mapping!I89</f>
        <v>5</v>
      </c>
      <c r="I89" t="str">
        <f>Lcode_mapping!J89</f>
        <v>HF UT1 libration contribution</v>
      </c>
      <c r="J89" t="str">
        <f>Lcode_mapping!K89</f>
        <v>Obs</v>
      </c>
      <c r="K89" t="str">
        <f>Lcode_mapping!L89</f>
        <v>-</v>
      </c>
      <c r="L89" t="str">
        <f>Lcode_mapping!M89</f>
        <v>K</v>
      </c>
      <c r="M89" t="str">
        <f>Lcode_mapping!N89</f>
        <v>Solve</v>
      </c>
      <c r="N89" t="str">
        <f>Lcode_mapping!O89</f>
        <v>ObsCalTheo</v>
      </c>
      <c r="O89" t="str">
        <f>Lcode_mapping!P89</f>
        <v>Cal-HiFreqLibration_kIERS2010</v>
      </c>
      <c r="P89" t="str">
        <f>Lcode_mapping!Q89</f>
        <v>Y</v>
      </c>
      <c r="Q89" t="str">
        <f>Lcode_mapping!R89</f>
        <v>Cal-HiFreqLibrationUT1</v>
      </c>
      <c r="R89" t="str">
        <f>Lcode_mapping!S89</f>
        <v>-</v>
      </c>
      <c r="S89" t="str">
        <f>Lcode_mapping!T89</f>
        <v>Hi Freq UT1 Libration Contribution</v>
      </c>
      <c r="T89">
        <f>Lcode_mapping!U89</f>
        <v>2</v>
      </c>
      <c r="U89" t="str">
        <f>Lcode_mapping!V89</f>
        <v>second</v>
      </c>
      <c r="V89" t="str">
        <f>Lcode_mapping!W89</f>
        <v>-</v>
      </c>
    </row>
    <row r="90" spans="1:22" ht="15" customHeight="1" x14ac:dyDescent="0.25">
      <c r="A90">
        <f>Lcode_mapping!A90</f>
        <v>315</v>
      </c>
      <c r="B90">
        <f>Lcode_mapping!B90</f>
        <v>2</v>
      </c>
      <c r="C90" t="str">
        <f>Lcode_mapping!D90</f>
        <v>WAHRCONT</v>
      </c>
      <c r="D90">
        <f>Lcode_mapping!E90</f>
        <v>2</v>
      </c>
      <c r="E90">
        <f>Lcode_mapping!F90</f>
        <v>1</v>
      </c>
      <c r="F90">
        <f>Lcode_mapping!G90</f>
        <v>1</v>
      </c>
      <c r="G90" t="str">
        <f>Lcode_mapping!H90</f>
        <v>R</v>
      </c>
      <c r="H90">
        <f>Lcode_mapping!I90</f>
        <v>5</v>
      </c>
      <c r="I90" t="str">
        <f>Lcode_mapping!J90</f>
        <v>2000A Nut to Wahr Nut Contributn</v>
      </c>
      <c r="J90" t="str">
        <f>Lcode_mapping!K90</f>
        <v>Obs</v>
      </c>
      <c r="K90" t="str">
        <f>Lcode_mapping!L90</f>
        <v>-</v>
      </c>
      <c r="L90" t="str">
        <f>Lcode_mapping!M90</f>
        <v>K</v>
      </c>
      <c r="M90" t="str">
        <f>Lcode_mapping!N90</f>
        <v>Solve</v>
      </c>
      <c r="N90" t="str">
        <f>Lcode_mapping!O90</f>
        <v>ObsCalTheo</v>
      </c>
      <c r="O90" t="str">
        <f>Lcode_mapping!P90</f>
        <v>Cal-NutationEQX_kWahr</v>
      </c>
      <c r="P90" t="str">
        <f>Lcode_mapping!Q90</f>
        <v>Y</v>
      </c>
      <c r="Q90" t="str">
        <f>Lcode_mapping!R90</f>
        <v>Cal-Nutation</v>
      </c>
      <c r="R90" t="str">
        <f>Lcode_mapping!S90</f>
        <v>-</v>
      </c>
      <c r="S90" t="str">
        <f>Lcode_mapping!T90</f>
        <v>-</v>
      </c>
      <c r="T90">
        <f>Lcode_mapping!U90</f>
        <v>2</v>
      </c>
      <c r="U90" t="str">
        <f>Lcode_mapping!V90</f>
        <v>second</v>
      </c>
      <c r="V90" t="str">
        <f>Lcode_mapping!W90</f>
        <v>-</v>
      </c>
    </row>
    <row r="91" spans="1:22" ht="15" customHeight="1" x14ac:dyDescent="0.25">
      <c r="A91">
        <f>Lcode_mapping!A91</f>
        <v>309</v>
      </c>
      <c r="B91">
        <f>Lcode_mapping!B91</f>
        <v>2</v>
      </c>
      <c r="C91" t="str">
        <f>Lcode_mapping!D91</f>
        <v>OCE_OLD</v>
      </c>
      <c r="D91">
        <f>Lcode_mapping!E91</f>
        <v>2</v>
      </c>
      <c r="E91">
        <f>Lcode_mapping!F91</f>
        <v>1</v>
      </c>
      <c r="F91">
        <f>Lcode_mapping!G91</f>
        <v>1</v>
      </c>
      <c r="G91" t="str">
        <f>Lcode_mapping!H91</f>
        <v>R</v>
      </c>
      <c r="H91">
        <f>Lcode_mapping!I91</f>
        <v>5</v>
      </c>
      <c r="I91" t="str">
        <f>Lcode_mapping!J91</f>
        <v>Old Ocean loading contribution.</v>
      </c>
      <c r="J91" t="str">
        <f>Lcode_mapping!K91</f>
        <v>Obs</v>
      </c>
      <c r="K91" t="str">
        <f>Lcode_mapping!L91</f>
        <v>-</v>
      </c>
      <c r="L91" t="str">
        <f>Lcode_mapping!M91</f>
        <v>K</v>
      </c>
      <c r="M91" t="str">
        <f>Lcode_mapping!N91</f>
        <v>Solve</v>
      </c>
      <c r="N91" t="str">
        <f>Lcode_mapping!O91</f>
        <v>ObsCalTheo</v>
      </c>
      <c r="O91" t="str">
        <f>Lcode_mapping!P91</f>
        <v>Cal-OceanLoadOld</v>
      </c>
      <c r="P91" t="str">
        <f>Lcode_mapping!Q91</f>
        <v>Y</v>
      </c>
      <c r="Q91" t="str">
        <f>Lcode_mapping!R91</f>
        <v>Cal-OceanLoadOld</v>
      </c>
      <c r="R91" t="str">
        <f>Lcode_mapping!S91</f>
        <v>-</v>
      </c>
      <c r="S91" t="str">
        <f>Lcode_mapping!T91</f>
        <v>Obs dependent ocean loading</v>
      </c>
      <c r="T91">
        <f>Lcode_mapping!U91</f>
        <v>2</v>
      </c>
      <c r="U91" t="str">
        <f>Lcode_mapping!V91</f>
        <v>second</v>
      </c>
      <c r="V91" t="str">
        <f>Lcode_mapping!W91</f>
        <v>-</v>
      </c>
    </row>
    <row r="92" spans="1:22" ht="15" customHeight="1" x14ac:dyDescent="0.25">
      <c r="A92">
        <f>Lcode_mapping!A92</f>
        <v>309</v>
      </c>
      <c r="B92">
        <f>Lcode_mapping!B92</f>
        <v>2</v>
      </c>
      <c r="C92" t="str">
        <f>Lcode_mapping!D92</f>
        <v>OCE CONT</v>
      </c>
      <c r="D92">
        <f>Lcode_mapping!E92</f>
        <v>2</v>
      </c>
      <c r="E92">
        <f>Lcode_mapping!F92</f>
        <v>1</v>
      </c>
      <c r="F92">
        <f>Lcode_mapping!G92</f>
        <v>1</v>
      </c>
      <c r="G92" t="str">
        <f>Lcode_mapping!H92</f>
        <v>R</v>
      </c>
      <c r="H92">
        <f>Lcode_mapping!I92</f>
        <v>5</v>
      </c>
      <c r="I92" t="str">
        <f>Lcode_mapping!J92</f>
        <v>Ocean loading contributions def.</v>
      </c>
      <c r="J92" t="str">
        <f>Lcode_mapping!K92</f>
        <v>Obs</v>
      </c>
      <c r="K92" t="str">
        <f>Lcode_mapping!L92</f>
        <v>-</v>
      </c>
      <c r="L92" t="str">
        <f>Lcode_mapping!M92</f>
        <v>K</v>
      </c>
      <c r="M92" t="str">
        <f>Lcode_mapping!N92</f>
        <v>Solve</v>
      </c>
      <c r="N92" t="str">
        <f>Lcode_mapping!O92</f>
        <v>ObsCalTheo</v>
      </c>
      <c r="O92" t="str">
        <f>Lcode_mapping!P92</f>
        <v>Cal-OceanLoad</v>
      </c>
      <c r="P92" t="str">
        <f>Lcode_mapping!Q92</f>
        <v>Y</v>
      </c>
      <c r="Q92" t="str">
        <f>Lcode_mapping!R92</f>
        <v>Cal-OceanLoad</v>
      </c>
      <c r="R92" t="str">
        <f>Lcode_mapping!S92</f>
        <v>-</v>
      </c>
      <c r="S92" t="str">
        <f>Lcode_mapping!T92</f>
        <v>Obs dependent ocean loading</v>
      </c>
      <c r="T92">
        <f>Lcode_mapping!U92</f>
        <v>2</v>
      </c>
      <c r="U92" t="str">
        <f>Lcode_mapping!V92</f>
        <v>second</v>
      </c>
      <c r="V92" t="str">
        <f>Lcode_mapping!W92</f>
        <v>-</v>
      </c>
    </row>
    <row r="93" spans="1:22" ht="15" customHeight="1" x14ac:dyDescent="0.25">
      <c r="A93">
        <f>Lcode_mapping!A93</f>
        <v>312</v>
      </c>
      <c r="B93">
        <f>Lcode_mapping!B93</f>
        <v>2</v>
      </c>
      <c r="C93" t="str">
        <f>Lcode_mapping!D93</f>
        <v>OPTLCONT</v>
      </c>
      <c r="D93">
        <f>Lcode_mapping!E93</f>
        <v>2</v>
      </c>
      <c r="E93">
        <f>Lcode_mapping!F93</f>
        <v>1</v>
      </c>
      <c r="F93">
        <f>Lcode_mapping!G93</f>
        <v>1</v>
      </c>
      <c r="G93" t="str">
        <f>Lcode_mapping!H93</f>
        <v>R</v>
      </c>
      <c r="H93">
        <f>Lcode_mapping!I93</f>
        <v>5</v>
      </c>
      <c r="I93" t="str">
        <f>Lcode_mapping!J93</f>
        <v>Ocean Pole Tide Load Contribution</v>
      </c>
      <c r="J93" t="str">
        <f>Lcode_mapping!K93</f>
        <v>Obs</v>
      </c>
      <c r="K93" t="str">
        <f>Lcode_mapping!L93</f>
        <v>-</v>
      </c>
      <c r="L93" t="str">
        <f>Lcode_mapping!M93</f>
        <v>K</v>
      </c>
      <c r="M93" t="str">
        <f>Lcode_mapping!N93</f>
        <v>Solve</v>
      </c>
      <c r="N93" t="str">
        <f>Lcode_mapping!O93</f>
        <v>ObsCalTheo</v>
      </c>
      <c r="O93" t="str">
        <f>Lcode_mapping!P93</f>
        <v>Cal-OceanPoleTideLoad</v>
      </c>
      <c r="P93" t="str">
        <f>Lcode_mapping!Q93</f>
        <v>Y</v>
      </c>
      <c r="Q93" t="str">
        <f>Lcode_mapping!R93</f>
        <v>Cal-OceanPoleTideLoad</v>
      </c>
      <c r="R93" t="str">
        <f>Lcode_mapping!S93</f>
        <v>-</v>
      </c>
      <c r="S93" t="str">
        <f>Lcode_mapping!T93</f>
        <v>-</v>
      </c>
      <c r="T93">
        <f>Lcode_mapping!U93</f>
        <v>2</v>
      </c>
      <c r="U93" t="str">
        <f>Lcode_mapping!V93</f>
        <v>second</v>
      </c>
      <c r="V93" t="str">
        <f>Lcode_mapping!W93</f>
        <v>-</v>
      </c>
    </row>
    <row r="94" spans="1:22" ht="15" customHeight="1" x14ac:dyDescent="0.25">
      <c r="A94">
        <f>Lcode_mapping!A94</f>
        <v>310</v>
      </c>
      <c r="B94">
        <f>Lcode_mapping!B94</f>
        <v>2</v>
      </c>
      <c r="C94" t="str">
        <f>Lcode_mapping!D94</f>
        <v>PLX1PSEC</v>
      </c>
      <c r="D94">
        <f>Lcode_mapping!E94</f>
        <v>2</v>
      </c>
      <c r="E94">
        <f>Lcode_mapping!F94</f>
        <v>1</v>
      </c>
      <c r="F94">
        <f>Lcode_mapping!G94</f>
        <v>1</v>
      </c>
      <c r="G94" t="str">
        <f>Lcode_mapping!H94</f>
        <v>R</v>
      </c>
      <c r="H94">
        <f>Lcode_mapping!I94</f>
        <v>5</v>
      </c>
      <c r="I94" t="str">
        <f>Lcode_mapping!J94</f>
        <v>Parallax partial/contr  1 parsec</v>
      </c>
      <c r="J94" t="str">
        <f>Lcode_mapping!K94</f>
        <v>Obs</v>
      </c>
      <c r="K94" t="str">
        <f>Lcode_mapping!L94</f>
        <v>-</v>
      </c>
      <c r="L94" t="str">
        <f>Lcode_mapping!M94</f>
        <v>K</v>
      </c>
      <c r="M94" t="str">
        <f>Lcode_mapping!N94</f>
        <v>-</v>
      </c>
      <c r="N94" t="str">
        <f>Lcode_mapping!O94</f>
        <v>ObsCalTheo</v>
      </c>
      <c r="O94" t="str">
        <f>Lcode_mapping!P94</f>
        <v>Cal-Parallax</v>
      </c>
      <c r="P94" t="str">
        <f>Lcode_mapping!Q94</f>
        <v>Y</v>
      </c>
      <c r="Q94" t="str">
        <f>Lcode_mapping!R94</f>
        <v>Cal-Parallax</v>
      </c>
      <c r="R94" t="str">
        <f>Lcode_mapping!S94</f>
        <v>-</v>
      </c>
      <c r="S94" t="str">
        <f>Lcode_mapping!T94</f>
        <v>-</v>
      </c>
      <c r="T94" t="str">
        <f>Lcode_mapping!U94</f>
        <v>-</v>
      </c>
      <c r="U94" t="str">
        <f>Lcode_mapping!V94</f>
        <v>second</v>
      </c>
      <c r="V94" t="str">
        <f>Lcode_mapping!W94</f>
        <v>-</v>
      </c>
    </row>
    <row r="95" spans="1:22" ht="15" customHeight="1" x14ac:dyDescent="0.25">
      <c r="A95">
        <f>Lcode_mapping!A95</f>
        <v>311</v>
      </c>
      <c r="B95">
        <f>Lcode_mapping!B95</f>
        <v>2</v>
      </c>
      <c r="C95" t="str">
        <f>Lcode_mapping!D95</f>
        <v>PTD CONT</v>
      </c>
      <c r="D95">
        <f>Lcode_mapping!E95</f>
        <v>2</v>
      </c>
      <c r="E95">
        <f>Lcode_mapping!F95</f>
        <v>1</v>
      </c>
      <c r="F95">
        <f>Lcode_mapping!G95</f>
        <v>1</v>
      </c>
      <c r="G95" t="str">
        <f>Lcode_mapping!H95</f>
        <v>R</v>
      </c>
      <c r="H95">
        <f>Lcode_mapping!I95</f>
        <v>5</v>
      </c>
      <c r="I95" t="str">
        <f>Lcode_mapping!J95</f>
        <v>Pole tide contributions def.</v>
      </c>
      <c r="J95" t="str">
        <f>Lcode_mapping!K95</f>
        <v>Obs</v>
      </c>
      <c r="K95" t="str">
        <f>Lcode_mapping!L95</f>
        <v>-</v>
      </c>
      <c r="L95" t="str">
        <f>Lcode_mapping!M95</f>
        <v>K</v>
      </c>
      <c r="M95" t="str">
        <f>Lcode_mapping!N95</f>
        <v>Solve</v>
      </c>
      <c r="N95" t="str">
        <f>Lcode_mapping!O95</f>
        <v>ObsCalTheo</v>
      </c>
      <c r="O95" t="str">
        <f>Lcode_mapping!P95</f>
        <v>Cal-PoleTide_kIERS2003</v>
      </c>
      <c r="P95" t="str">
        <f>Lcode_mapping!Q95</f>
        <v>Y</v>
      </c>
      <c r="Q95" t="str">
        <f>Lcode_mapping!R95</f>
        <v>Cal-PoleTide</v>
      </c>
      <c r="R95" t="str">
        <f>Lcode_mapping!S95</f>
        <v>-</v>
      </c>
      <c r="S95" t="str">
        <f>Lcode_mapping!T95</f>
        <v>-</v>
      </c>
      <c r="T95">
        <f>Lcode_mapping!U95</f>
        <v>2</v>
      </c>
      <c r="U95" t="str">
        <f>Lcode_mapping!V95</f>
        <v>second</v>
      </c>
      <c r="V95" t="str">
        <f>Lcode_mapping!W95</f>
        <v>-</v>
      </c>
    </row>
    <row r="96" spans="1:22" ht="15" customHeight="1" x14ac:dyDescent="0.25">
      <c r="A96">
        <f>Lcode_mapping!A96</f>
        <v>312</v>
      </c>
      <c r="B96">
        <f>Lcode_mapping!B96</f>
        <v>2</v>
      </c>
      <c r="C96" t="str">
        <f>Lcode_mapping!D96</f>
        <v>PTOLDCON</v>
      </c>
      <c r="D96">
        <f>Lcode_mapping!E96</f>
        <v>2</v>
      </c>
      <c r="E96">
        <f>Lcode_mapping!F96</f>
        <v>1</v>
      </c>
      <c r="F96">
        <f>Lcode_mapping!G96</f>
        <v>1</v>
      </c>
      <c r="G96" t="str">
        <f>Lcode_mapping!H96</f>
        <v>R</v>
      </c>
      <c r="H96">
        <f>Lcode_mapping!I96</f>
        <v>5</v>
      </c>
      <c r="I96" t="str">
        <f>Lcode_mapping!J96</f>
        <v>Old Pole Tide Restorer Contrib.</v>
      </c>
      <c r="J96" t="str">
        <f>Lcode_mapping!K96</f>
        <v>Obs</v>
      </c>
      <c r="K96" t="str">
        <f>Lcode_mapping!L96</f>
        <v>-</v>
      </c>
      <c r="L96" t="str">
        <f>Lcode_mapping!M96</f>
        <v>K</v>
      </c>
      <c r="M96" t="str">
        <f>Lcode_mapping!N96</f>
        <v>Solve</v>
      </c>
      <c r="N96" t="str">
        <f>Lcode_mapping!O96</f>
        <v>ObsCalTheo</v>
      </c>
      <c r="O96" t="str">
        <f>Lcode_mapping!P96</f>
        <v>Cal-PoleTideOldRestore</v>
      </c>
      <c r="P96" t="str">
        <f>Lcode_mapping!Q96</f>
        <v>Y</v>
      </c>
      <c r="Q96" t="str">
        <f>Lcode_mapping!R96</f>
        <v>Cal-PoleTideOldRestore</v>
      </c>
      <c r="R96" t="str">
        <f>Lcode_mapping!S96</f>
        <v>-</v>
      </c>
      <c r="S96" t="str">
        <f>Lcode_mapping!T96</f>
        <v>-</v>
      </c>
      <c r="T96">
        <f>Lcode_mapping!U96</f>
        <v>2</v>
      </c>
      <c r="U96" t="str">
        <f>Lcode_mapping!V96</f>
        <v>second</v>
      </c>
      <c r="V96" t="str">
        <f>Lcode_mapping!W96</f>
        <v>-</v>
      </c>
    </row>
    <row r="97" spans="1:22" ht="15" customHeight="1" x14ac:dyDescent="0.25">
      <c r="A97">
        <f>Lcode_mapping!A97</f>
        <v>313</v>
      </c>
      <c r="B97">
        <f>Lcode_mapping!B97</f>
        <v>2</v>
      </c>
      <c r="C97" t="str">
        <f>Lcode_mapping!D97</f>
        <v>TILTRMVR</v>
      </c>
      <c r="D97">
        <f>Lcode_mapping!E97</f>
        <v>2</v>
      </c>
      <c r="E97">
        <f>Lcode_mapping!F97</f>
        <v>1</v>
      </c>
      <c r="F97">
        <f>Lcode_mapping!G97</f>
        <v>1</v>
      </c>
      <c r="G97" t="str">
        <f>Lcode_mapping!H97</f>
        <v>R</v>
      </c>
      <c r="H97">
        <f>Lcode_mapping!I97</f>
        <v>5</v>
      </c>
      <c r="I97" t="str">
        <f>Lcode_mapping!J97</f>
        <v>Axis Tilt Contribution Remover</v>
      </c>
      <c r="J97" t="str">
        <f>Lcode_mapping!K97</f>
        <v>Obs</v>
      </c>
      <c r="K97" t="str">
        <f>Lcode_mapping!L97</f>
        <v>-</v>
      </c>
      <c r="L97" t="str">
        <f>Lcode_mapping!M97</f>
        <v>K</v>
      </c>
      <c r="M97" t="str">
        <f>Lcode_mapping!N97</f>
        <v>Solve</v>
      </c>
      <c r="N97" t="str">
        <f>Lcode_mapping!O97</f>
        <v>ObsCalTheo</v>
      </c>
      <c r="O97" t="str">
        <f>Lcode_mapping!P97</f>
        <v>Cal-TiltRemover</v>
      </c>
      <c r="P97" t="str">
        <f>Lcode_mapping!Q97</f>
        <v>Y</v>
      </c>
      <c r="Q97" t="str">
        <f>Lcode_mapping!R97</f>
        <v>Cal-TiltRemover</v>
      </c>
      <c r="R97" t="str">
        <f>Lcode_mapping!S97</f>
        <v>-</v>
      </c>
      <c r="S97" t="str">
        <f>Lcode_mapping!T97</f>
        <v>-</v>
      </c>
      <c r="T97">
        <f>Lcode_mapping!U97</f>
        <v>2</v>
      </c>
      <c r="U97" t="str">
        <f>Lcode_mapping!V97</f>
        <v>second</v>
      </c>
      <c r="V97" t="str">
        <f>Lcode_mapping!W97</f>
        <v>-</v>
      </c>
    </row>
    <row r="98" spans="1:22" ht="15" customHeight="1" x14ac:dyDescent="0.25">
      <c r="A98">
        <f>Lcode_mapping!A98</f>
        <v>314</v>
      </c>
      <c r="B98">
        <f>Lcode_mapping!B98</f>
        <v>2</v>
      </c>
      <c r="C98" t="str">
        <f>Lcode_mapping!D98</f>
        <v>UNPHASCL</v>
      </c>
      <c r="D98">
        <f>Lcode_mapping!E98</f>
        <v>2</v>
      </c>
      <c r="E98">
        <f>Lcode_mapping!F98</f>
        <v>2</v>
      </c>
      <c r="F98">
        <f>Lcode_mapping!G98</f>
        <v>1</v>
      </c>
      <c r="G98" t="str">
        <f>Lcode_mapping!H98</f>
        <v>R</v>
      </c>
      <c r="H98">
        <f>Lcode_mapping!I98</f>
        <v>3</v>
      </c>
      <c r="I98" t="str">
        <f>Lcode_mapping!J98</f>
        <v>UnPhaseCal effect - group&amp;rate</v>
      </c>
      <c r="J98" t="str">
        <f>Lcode_mapping!K98</f>
        <v>Obs</v>
      </c>
      <c r="K98" t="str">
        <f>Lcode_mapping!L98</f>
        <v>-</v>
      </c>
      <c r="L98" t="str">
        <f>Lcode_mapping!M98</f>
        <v>K</v>
      </c>
      <c r="M98" t="str">
        <f>Lcode_mapping!N98</f>
        <v>Solve</v>
      </c>
      <c r="N98" t="str">
        <f>Lcode_mapping!O98</f>
        <v>ObsCalTheo</v>
      </c>
      <c r="O98" t="str">
        <f>Lcode_mapping!P98</f>
        <v>Cal-Unphase</v>
      </c>
      <c r="P98" t="str">
        <f>Lcode_mapping!Q98</f>
        <v>Y</v>
      </c>
      <c r="Q98" t="str">
        <f>Lcode_mapping!R98</f>
        <v>Cal-UnPhase</v>
      </c>
      <c r="R98" t="str">
        <f>Lcode_mapping!S98</f>
        <v>-</v>
      </c>
      <c r="S98" t="str">
        <f>Lcode_mapping!T98</f>
        <v>-</v>
      </c>
      <c r="T98">
        <f>Lcode_mapping!U98</f>
        <v>2</v>
      </c>
      <c r="U98" t="str">
        <f>Lcode_mapping!V98</f>
        <v>second</v>
      </c>
      <c r="V98" t="str">
        <f>Lcode_mapping!W98</f>
        <v>-</v>
      </c>
    </row>
    <row r="99" spans="1:22" ht="15" customHeight="1" x14ac:dyDescent="0.25">
      <c r="A99">
        <f>Lcode_mapping!A99</f>
        <v>316</v>
      </c>
      <c r="B99">
        <f>Lcode_mapping!B99</f>
        <v>2</v>
      </c>
      <c r="C99" t="str">
        <f>Lcode_mapping!D99</f>
        <v>WOBXCONT</v>
      </c>
      <c r="D99">
        <f>Lcode_mapping!E99</f>
        <v>2</v>
      </c>
      <c r="E99">
        <f>Lcode_mapping!F99</f>
        <v>1</v>
      </c>
      <c r="F99">
        <f>Lcode_mapping!G99</f>
        <v>1</v>
      </c>
      <c r="G99" t="str">
        <f>Lcode_mapping!H99</f>
        <v>R</v>
      </c>
      <c r="H99">
        <f>Lcode_mapping!I99</f>
        <v>5</v>
      </c>
      <c r="I99" t="str">
        <f>Lcode_mapping!J99</f>
        <v>X Wobble contribution definition</v>
      </c>
      <c r="J99" t="str">
        <f>Lcode_mapping!K99</f>
        <v>Obs</v>
      </c>
      <c r="K99" t="str">
        <f>Lcode_mapping!L99</f>
        <v>-</v>
      </c>
      <c r="L99" t="str">
        <f>Lcode_mapping!M99</f>
        <v>K</v>
      </c>
      <c r="M99" t="str">
        <f>Lcode_mapping!N99</f>
        <v>Solve</v>
      </c>
      <c r="N99" t="str">
        <f>Lcode_mapping!O99</f>
        <v>ObsCalTheo</v>
      </c>
      <c r="O99" t="str">
        <f>Lcode_mapping!P99</f>
        <v>Cal-Wobble</v>
      </c>
      <c r="P99" t="str">
        <f>Lcode_mapping!Q99</f>
        <v>Y</v>
      </c>
      <c r="Q99" t="str">
        <f>Lcode_mapping!R99</f>
        <v>Cal-Xwobble</v>
      </c>
      <c r="R99" t="str">
        <f>Lcode_mapping!S99</f>
        <v>-</v>
      </c>
      <c r="S99" t="str">
        <f>Lcode_mapping!T99</f>
        <v>-</v>
      </c>
      <c r="T99">
        <f>Lcode_mapping!U99</f>
        <v>2</v>
      </c>
      <c r="U99" t="str">
        <f>Lcode_mapping!V99</f>
        <v>second</v>
      </c>
      <c r="V99" t="str">
        <f>Lcode_mapping!W99</f>
        <v>-</v>
      </c>
    </row>
    <row r="100" spans="1:22" ht="15" customHeight="1" x14ac:dyDescent="0.25">
      <c r="A100">
        <f>Lcode_mapping!A100</f>
        <v>317</v>
      </c>
      <c r="B100">
        <f>Lcode_mapping!B100</f>
        <v>2</v>
      </c>
      <c r="C100" t="str">
        <f>Lcode_mapping!D100</f>
        <v>WOBYCONT</v>
      </c>
      <c r="D100">
        <f>Lcode_mapping!E100</f>
        <v>2</v>
      </c>
      <c r="E100">
        <f>Lcode_mapping!F100</f>
        <v>1</v>
      </c>
      <c r="F100">
        <f>Lcode_mapping!G100</f>
        <v>1</v>
      </c>
      <c r="G100" t="str">
        <f>Lcode_mapping!H100</f>
        <v>R</v>
      </c>
      <c r="H100">
        <f>Lcode_mapping!I100</f>
        <v>5</v>
      </c>
      <c r="I100" t="str">
        <f>Lcode_mapping!J100</f>
        <v>Y Wobble contribution definition</v>
      </c>
      <c r="J100" t="str">
        <f>Lcode_mapping!K100</f>
        <v>Obs</v>
      </c>
      <c r="K100" t="str">
        <f>Lcode_mapping!L100</f>
        <v>-</v>
      </c>
      <c r="L100" t="str">
        <f>Lcode_mapping!M100</f>
        <v>K</v>
      </c>
      <c r="M100" t="str">
        <f>Lcode_mapping!N100</f>
        <v>Solve</v>
      </c>
      <c r="N100" t="str">
        <f>Lcode_mapping!O100</f>
        <v>ObsCalTheo</v>
      </c>
      <c r="O100" t="str">
        <f>Lcode_mapping!P100</f>
        <v>Cal-Wobble</v>
      </c>
      <c r="P100" t="str">
        <f>Lcode_mapping!Q100</f>
        <v>Y</v>
      </c>
      <c r="Q100" t="str">
        <f>Lcode_mapping!R100</f>
        <v>Cal-Ywobble</v>
      </c>
      <c r="R100" t="str">
        <f>Lcode_mapping!S100</f>
        <v>-</v>
      </c>
      <c r="S100" t="str">
        <f>Lcode_mapping!T100</f>
        <v>-</v>
      </c>
      <c r="T100">
        <f>Lcode_mapping!U100</f>
        <v>2</v>
      </c>
      <c r="U100" t="str">
        <f>Lcode_mapping!V100</f>
        <v>second</v>
      </c>
      <c r="V100" t="str">
        <f>Lcode_mapping!W100</f>
        <v>-</v>
      </c>
    </row>
    <row r="101" spans="1:22" ht="15" customHeight="1" x14ac:dyDescent="0.25">
      <c r="A101">
        <f>Lcode_mapping!A101</f>
        <v>304</v>
      </c>
      <c r="B101">
        <f>Lcode_mapping!B101</f>
        <v>2</v>
      </c>
      <c r="C101" t="str">
        <f>Lcode_mapping!D101</f>
        <v>ION CORR</v>
      </c>
      <c r="D101">
        <f>Lcode_mapping!E101</f>
        <v>2</v>
      </c>
      <c r="E101">
        <f>Lcode_mapping!F101</f>
        <v>1</v>
      </c>
      <c r="F101">
        <f>Lcode_mapping!G101</f>
        <v>1</v>
      </c>
      <c r="G101" t="str">
        <f>Lcode_mapping!H101</f>
        <v>R</v>
      </c>
      <c r="H101">
        <f>Lcode_mapping!I101</f>
        <v>4</v>
      </c>
      <c r="I101" t="str">
        <f>Lcode_mapping!J101</f>
        <v>Ion correction. Add to theo. sec</v>
      </c>
      <c r="J101" t="str">
        <f>Lcode_mapping!K101</f>
        <v>Obs</v>
      </c>
      <c r="K101" t="str">
        <f>Lcode_mapping!L101</f>
        <v>-</v>
      </c>
      <c r="L101" t="str">
        <f>Lcode_mapping!M101</f>
        <v>K</v>
      </c>
      <c r="M101" t="str">
        <f>Lcode_mapping!N101</f>
        <v>Solve</v>
      </c>
      <c r="N101" t="str">
        <f>Lcode_mapping!O101</f>
        <v>ObsDerived</v>
      </c>
      <c r="O101" t="str">
        <f>Lcode_mapping!P101</f>
        <v>Cal-SlantPathIonoGroup_bX</v>
      </c>
      <c r="P101" t="str">
        <f>Lcode_mapping!Q101</f>
        <v>-</v>
      </c>
      <c r="Q101" t="str">
        <f>Lcode_mapping!R101</f>
        <v>Cal-SlantPathIonoGroup</v>
      </c>
      <c r="R101" t="str">
        <f>Lcode_mapping!S101</f>
        <v>-</v>
      </c>
      <c r="S101" t="str">
        <f>Lcode_mapping!T101</f>
        <v>-</v>
      </c>
      <c r="T101">
        <f>Lcode_mapping!U101</f>
        <v>2</v>
      </c>
      <c r="U101" t="str">
        <f>Lcode_mapping!V101</f>
        <v>second</v>
      </c>
      <c r="V101" t="str">
        <f>Lcode_mapping!W101</f>
        <v>-</v>
      </c>
    </row>
    <row r="102" spans="1:22" ht="15" customHeight="1" x14ac:dyDescent="0.25">
      <c r="A102">
        <f>Lcode_mapping!A102</f>
        <v>305</v>
      </c>
      <c r="B102" t="str">
        <f>Lcode_mapping!B102</f>
        <v>N</v>
      </c>
      <c r="C102" t="str">
        <f>Lcode_mapping!D102</f>
        <v>IonoGroupCalDataFlag</v>
      </c>
      <c r="D102">
        <f>Lcode_mapping!E102</f>
        <v>1</v>
      </c>
      <c r="E102">
        <f>Lcode_mapping!F102</f>
        <v>1</v>
      </c>
      <c r="F102">
        <f>Lcode_mapping!G102</f>
        <v>1</v>
      </c>
      <c r="G102" t="str">
        <f>Lcode_mapping!H102</f>
        <v>I</v>
      </c>
      <c r="H102" t="str">
        <f>Lcode_mapping!I102</f>
        <v>N</v>
      </c>
      <c r="I102" t="str">
        <f>Lcode_mapping!J102</f>
        <v>-</v>
      </c>
      <c r="J102" t="str">
        <f>Lcode_mapping!K102</f>
        <v>Obs</v>
      </c>
      <c r="K102" t="str">
        <f>Lcode_mapping!L102</f>
        <v>New</v>
      </c>
      <c r="L102" t="str">
        <f>Lcode_mapping!M102</f>
        <v>K</v>
      </c>
      <c r="M102" t="str">
        <f>Lcode_mapping!N102</f>
        <v>NGS</v>
      </c>
      <c r="N102" t="str">
        <f>Lcode_mapping!O102</f>
        <v>ObsDerived</v>
      </c>
      <c r="O102" t="str">
        <f>Lcode_mapping!P102</f>
        <v>Cal-SlantPathIonoGroup_bX</v>
      </c>
      <c r="P102" t="str">
        <f>Lcode_mapping!Q102</f>
        <v>-</v>
      </c>
      <c r="Q102" t="str">
        <f>Lcode_mapping!R102</f>
        <v>Cal-SlantPathIonoGroupDataFlag</v>
      </c>
      <c r="R102" t="str">
        <f>Lcode_mapping!S102</f>
        <v>-</v>
      </c>
      <c r="S102" t="str">
        <f>Lcode_mapping!T102</f>
        <v>0=OK, -1=Missing,  -2=bad</v>
      </c>
      <c r="T102" t="str">
        <f>Lcode_mapping!U102</f>
        <v>-</v>
      </c>
      <c r="U102" t="str">
        <f>Lcode_mapping!V102</f>
        <v>-</v>
      </c>
      <c r="V102" t="str">
        <f>Lcode_mapping!W102</f>
        <v>-</v>
      </c>
    </row>
    <row r="103" spans="1:22" ht="15" customHeight="1" x14ac:dyDescent="0.25">
      <c r="A103">
        <f>Lcode_mapping!A103</f>
        <v>306</v>
      </c>
      <c r="B103">
        <f>Lcode_mapping!B103</f>
        <v>2</v>
      </c>
      <c r="C103" t="str">
        <f>Lcode_mapping!D103</f>
        <v>IONSIGMA</v>
      </c>
      <c r="D103">
        <f>Lcode_mapping!E103</f>
        <v>2</v>
      </c>
      <c r="E103">
        <f>Lcode_mapping!F103</f>
        <v>1</v>
      </c>
      <c r="F103">
        <f>Lcode_mapping!G103</f>
        <v>1</v>
      </c>
      <c r="G103" t="str">
        <f>Lcode_mapping!H103</f>
        <v>R</v>
      </c>
      <c r="H103">
        <f>Lcode_mapping!I103</f>
        <v>4</v>
      </c>
      <c r="I103" t="str">
        <f>Lcode_mapping!J103</f>
        <v>Ion correction to sigma. sec</v>
      </c>
      <c r="J103" t="str">
        <f>Lcode_mapping!K103</f>
        <v>Obs</v>
      </c>
      <c r="K103" t="str">
        <f>Lcode_mapping!L103</f>
        <v>-</v>
      </c>
      <c r="L103" t="str">
        <f>Lcode_mapping!M103</f>
        <v>K</v>
      </c>
      <c r="M103" t="str">
        <f>Lcode_mapping!N103</f>
        <v>Solve</v>
      </c>
      <c r="N103" t="str">
        <f>Lcode_mapping!O103</f>
        <v>ObsDerived</v>
      </c>
      <c r="O103" t="str">
        <f>Lcode_mapping!P103</f>
        <v>Cal-SlantPathIonoGroup_bX</v>
      </c>
      <c r="P103" t="str">
        <f>Lcode_mapping!Q103</f>
        <v>-</v>
      </c>
      <c r="Q103" t="str">
        <f>Lcode_mapping!R103</f>
        <v>Cal-SlantPathIonoGroupSigma</v>
      </c>
      <c r="R103" t="str">
        <f>Lcode_mapping!S103</f>
        <v>-</v>
      </c>
      <c r="S103" t="str">
        <f>Lcode_mapping!T103</f>
        <v>-</v>
      </c>
      <c r="T103">
        <f>Lcode_mapping!U103</f>
        <v>2</v>
      </c>
      <c r="U103" t="str">
        <f>Lcode_mapping!V103</f>
        <v>second</v>
      </c>
      <c r="V103" t="str">
        <f>Lcode_mapping!W103</f>
        <v>-</v>
      </c>
    </row>
    <row r="104" spans="1:22" ht="15" customHeight="1" x14ac:dyDescent="0.25">
      <c r="A104">
        <f>Lcode_mapping!A104</f>
        <v>306</v>
      </c>
      <c r="B104">
        <f>Lcode_mapping!B104</f>
        <v>2</v>
      </c>
      <c r="C104" t="str">
        <f>Lcode_mapping!D104</f>
        <v>IONRMS</v>
      </c>
      <c r="D104">
        <f>Lcode_mapping!E104</f>
        <v>2</v>
      </c>
      <c r="E104">
        <f>Lcode_mapping!F104</f>
        <v>1</v>
      </c>
      <c r="F104">
        <f>Lcode_mapping!G104</f>
        <v>1</v>
      </c>
      <c r="G104" t="str">
        <f>Lcode_mapping!H104</f>
        <v>R</v>
      </c>
      <c r="H104">
        <f>Lcode_mapping!I104</f>
        <v>4</v>
      </c>
      <c r="I104" t="str">
        <f>Lcode_mapping!J104</f>
        <v>Ion correction to sigma. sec</v>
      </c>
      <c r="J104" t="str">
        <f>Lcode_mapping!K104</f>
        <v>Obs</v>
      </c>
      <c r="K104" t="str">
        <f>Lcode_mapping!L104</f>
        <v>-</v>
      </c>
      <c r="L104" t="str">
        <f>Lcode_mapping!M104</f>
        <v>K</v>
      </c>
      <c r="M104" t="str">
        <f>Lcode_mapping!N104</f>
        <v>Solve</v>
      </c>
      <c r="N104" t="str">
        <f>Lcode_mapping!O104</f>
        <v>ObsDerived</v>
      </c>
      <c r="O104" t="str">
        <f>Lcode_mapping!P104</f>
        <v>Cal-SlantPathIonoGroup_bX</v>
      </c>
      <c r="P104" t="str">
        <f>Lcode_mapping!Q104</f>
        <v>-</v>
      </c>
      <c r="Q104" t="str">
        <f>Lcode_mapping!R104</f>
        <v>Cal-SlantPathIonoGroupSigma</v>
      </c>
      <c r="R104" t="str">
        <f>Lcode_mapping!S104</f>
        <v>-</v>
      </c>
      <c r="S104" t="str">
        <f>Lcode_mapping!T104</f>
        <v>-</v>
      </c>
      <c r="T104">
        <f>Lcode_mapping!U104</f>
        <v>2</v>
      </c>
      <c r="U104" t="str">
        <f>Lcode_mapping!V104</f>
        <v>second</v>
      </c>
      <c r="V104" t="str">
        <f>Lcode_mapping!W104</f>
        <v>-</v>
      </c>
    </row>
    <row r="105" spans="1:22" ht="15" customHeight="1" x14ac:dyDescent="0.25">
      <c r="A105">
        <f>Lcode_mapping!A105</f>
        <v>307</v>
      </c>
      <c r="B105">
        <f>Lcode_mapping!B105</f>
        <v>2</v>
      </c>
      <c r="C105" t="str">
        <f>Lcode_mapping!D105</f>
        <v>IONPCORR</v>
      </c>
      <c r="D105">
        <f>Lcode_mapping!E105</f>
        <v>1</v>
      </c>
      <c r="E105">
        <f>Lcode_mapping!F105</f>
        <v>1</v>
      </c>
      <c r="F105">
        <f>Lcode_mapping!G105</f>
        <v>1</v>
      </c>
      <c r="G105" t="str">
        <f>Lcode_mapping!H105</f>
        <v>R</v>
      </c>
      <c r="H105">
        <f>Lcode_mapping!I105</f>
        <v>4</v>
      </c>
      <c r="I105" t="str">
        <f>Lcode_mapping!J105</f>
        <v>Phase Corr Iono</v>
      </c>
      <c r="J105" t="str">
        <f>Lcode_mapping!K105</f>
        <v>Obs</v>
      </c>
      <c r="K105" t="str">
        <f>Lcode_mapping!L105</f>
        <v>-</v>
      </c>
      <c r="L105" t="str">
        <f>Lcode_mapping!M105</f>
        <v>K</v>
      </c>
      <c r="M105" t="str">
        <f>Lcode_mapping!N105</f>
        <v>Solve</v>
      </c>
      <c r="N105" t="str">
        <f>Lcode_mapping!O105</f>
        <v>ObsDerived</v>
      </c>
      <c r="O105" t="str">
        <f>Lcode_mapping!P105</f>
        <v>Cal-SlantPathIonoPhase_bX</v>
      </c>
      <c r="P105" t="str">
        <f>Lcode_mapping!Q105</f>
        <v>-</v>
      </c>
      <c r="Q105" t="str">
        <f>Lcode_mapping!R105</f>
        <v>Cal-SlantPathIonoPhase</v>
      </c>
      <c r="R105" t="str">
        <f>Lcode_mapping!S105</f>
        <v>-</v>
      </c>
      <c r="S105" t="str">
        <f>Lcode_mapping!T105</f>
        <v>-</v>
      </c>
      <c r="T105" t="str">
        <f>Lcode_mapping!U105</f>
        <v>-</v>
      </c>
      <c r="U105" t="str">
        <f>Lcode_mapping!V105</f>
        <v>second</v>
      </c>
      <c r="V105" t="str">
        <f>Lcode_mapping!W105</f>
        <v>-</v>
      </c>
    </row>
    <row r="106" spans="1:22" ht="15" customHeight="1" x14ac:dyDescent="0.25">
      <c r="A106">
        <f>Lcode_mapping!A106</f>
        <v>308</v>
      </c>
      <c r="B106">
        <f>Lcode_mapping!B106</f>
        <v>2</v>
      </c>
      <c r="C106" t="str">
        <f>Lcode_mapping!D106</f>
        <v>IONRMSPH</v>
      </c>
      <c r="D106">
        <f>Lcode_mapping!E106</f>
        <v>1</v>
      </c>
      <c r="E106">
        <f>Lcode_mapping!F106</f>
        <v>1</v>
      </c>
      <c r="F106">
        <f>Lcode_mapping!G106</f>
        <v>1</v>
      </c>
      <c r="G106" t="str">
        <f>Lcode_mapping!H106</f>
        <v>R</v>
      </c>
      <c r="H106">
        <f>Lcode_mapping!I106</f>
        <v>4</v>
      </c>
      <c r="I106" t="str">
        <f>Lcode_mapping!J106</f>
        <v>Phase Corr RMS</v>
      </c>
      <c r="J106" t="str">
        <f>Lcode_mapping!K106</f>
        <v>Obs</v>
      </c>
      <c r="K106" t="str">
        <f>Lcode_mapping!L106</f>
        <v>-</v>
      </c>
      <c r="L106" t="str">
        <f>Lcode_mapping!M106</f>
        <v>K</v>
      </c>
      <c r="M106" t="str">
        <f>Lcode_mapping!N106</f>
        <v>Solve</v>
      </c>
      <c r="N106" t="str">
        <f>Lcode_mapping!O106</f>
        <v>ObsDerived</v>
      </c>
      <c r="O106" t="str">
        <f>Lcode_mapping!P106</f>
        <v>Cal-SlantPathIonoPhase_bX</v>
      </c>
      <c r="P106" t="str">
        <f>Lcode_mapping!Q106</f>
        <v>-</v>
      </c>
      <c r="Q106" t="str">
        <f>Lcode_mapping!R106</f>
        <v>Cal-SlantPathIonoPhaseSigma</v>
      </c>
      <c r="R106" t="str">
        <f>Lcode_mapping!S106</f>
        <v>-</v>
      </c>
      <c r="S106" t="str">
        <f>Lcode_mapping!T106</f>
        <v>-</v>
      </c>
      <c r="T106" t="str">
        <f>Lcode_mapping!U106</f>
        <v>-</v>
      </c>
      <c r="U106" t="str">
        <f>Lcode_mapping!V106</f>
        <v>second</v>
      </c>
      <c r="V106" t="str">
        <f>Lcode_mapping!W106</f>
        <v>-</v>
      </c>
    </row>
    <row r="107" spans="1:22" ht="15" customHeight="1" x14ac:dyDescent="0.25">
      <c r="A107">
        <f>Lcode_mapping!A107</f>
        <v>338</v>
      </c>
      <c r="B107" t="str">
        <f>Lcode_mapping!B107</f>
        <v>N</v>
      </c>
      <c r="C107" t="str">
        <f>Lcode_mapping!D107</f>
        <v>FreqGroupIono_bS</v>
      </c>
      <c r="D107">
        <f>Lcode_mapping!E107</f>
        <v>1</v>
      </c>
      <c r="E107">
        <f>Lcode_mapping!F107</f>
        <v>1</v>
      </c>
      <c r="F107">
        <f>Lcode_mapping!G107</f>
        <v>1</v>
      </c>
      <c r="G107" t="str">
        <f>Lcode_mapping!H107</f>
        <v>R</v>
      </c>
      <c r="H107" t="str">
        <f>Lcode_mapping!I107</f>
        <v>N</v>
      </c>
      <c r="I107" t="str">
        <f>Lcode_mapping!J107</f>
        <v>-</v>
      </c>
      <c r="J107" t="str">
        <f>Lcode_mapping!K107</f>
        <v>Obs</v>
      </c>
      <c r="K107" t="str">
        <f>Lcode_mapping!L107</f>
        <v>-</v>
      </c>
      <c r="L107" t="str">
        <f>Lcode_mapping!M107</f>
        <v>N</v>
      </c>
      <c r="M107" t="str">
        <f>Lcode_mapping!N107</f>
        <v>NGS</v>
      </c>
      <c r="N107" t="str">
        <f>Lcode_mapping!O107</f>
        <v>ObsDerived</v>
      </c>
      <c r="O107" t="str">
        <f>Lcode_mapping!P107</f>
        <v>EffFreq_bS</v>
      </c>
      <c r="P107" t="str">
        <f>Lcode_mapping!Q107</f>
        <v>-</v>
      </c>
      <c r="Q107" t="str">
        <f>Lcode_mapping!R107</f>
        <v>FreqGroupIono</v>
      </c>
      <c r="R107" t="str">
        <f>Lcode_mapping!S107</f>
        <v>-</v>
      </c>
      <c r="S107" t="str">
        <f>Lcode_mapping!T107</f>
        <v>Effective Group Delay Ionospheric Frequency</v>
      </c>
      <c r="T107" t="str">
        <f>Lcode_mapping!U107</f>
        <v>-</v>
      </c>
      <c r="U107" t="str">
        <f>Lcode_mapping!V107</f>
        <v>MHz</v>
      </c>
      <c r="V107" t="str">
        <f>Lcode_mapping!W107</f>
        <v>-</v>
      </c>
    </row>
    <row r="108" spans="1:22" ht="15" customHeight="1" x14ac:dyDescent="0.25">
      <c r="A108">
        <f>Lcode_mapping!A108</f>
        <v>339</v>
      </c>
      <c r="B108" t="str">
        <f>Lcode_mapping!B108</f>
        <v>N</v>
      </c>
      <c r="C108" t="str">
        <f>Lcode_mapping!D108</f>
        <v>FreqPhaseIono_bS</v>
      </c>
      <c r="D108">
        <f>Lcode_mapping!E108</f>
        <v>1</v>
      </c>
      <c r="E108">
        <f>Lcode_mapping!F108</f>
        <v>1</v>
      </c>
      <c r="F108">
        <f>Lcode_mapping!G108</f>
        <v>1</v>
      </c>
      <c r="G108" t="str">
        <f>Lcode_mapping!H108</f>
        <v>R</v>
      </c>
      <c r="H108" t="str">
        <f>Lcode_mapping!I108</f>
        <v>N</v>
      </c>
      <c r="I108" t="str">
        <f>Lcode_mapping!J108</f>
        <v>-</v>
      </c>
      <c r="J108" t="str">
        <f>Lcode_mapping!K108</f>
        <v>Obs</v>
      </c>
      <c r="K108" t="str">
        <f>Lcode_mapping!L108</f>
        <v>-</v>
      </c>
      <c r="L108" t="str">
        <f>Lcode_mapping!M108</f>
        <v>N</v>
      </c>
      <c r="M108" t="str">
        <f>Lcode_mapping!N108</f>
        <v>NGS</v>
      </c>
      <c r="N108" t="str">
        <f>Lcode_mapping!O108</f>
        <v>ObsDerived</v>
      </c>
      <c r="O108" t="str">
        <f>Lcode_mapping!P108</f>
        <v>EffFreq_bS</v>
      </c>
      <c r="P108" t="str">
        <f>Lcode_mapping!Q108</f>
        <v>-</v>
      </c>
      <c r="Q108" t="str">
        <f>Lcode_mapping!R108</f>
        <v>FreqPhaseIono</v>
      </c>
      <c r="R108" t="str">
        <f>Lcode_mapping!S108</f>
        <v>-</v>
      </c>
      <c r="S108" t="str">
        <f>Lcode_mapping!T108</f>
        <v>Effective Phase Delay Ionospheric Frequency</v>
      </c>
      <c r="T108" t="str">
        <f>Lcode_mapping!U108</f>
        <v>-</v>
      </c>
      <c r="U108" t="str">
        <f>Lcode_mapping!V108</f>
        <v>MHz</v>
      </c>
      <c r="V108" t="str">
        <f>Lcode_mapping!W108</f>
        <v>-</v>
      </c>
    </row>
    <row r="109" spans="1:22" ht="15" customHeight="1" x14ac:dyDescent="0.25">
      <c r="A109">
        <f>Lcode_mapping!A109</f>
        <v>341</v>
      </c>
      <c r="B109" t="str">
        <f>Lcode_mapping!B109</f>
        <v>N</v>
      </c>
      <c r="C109" t="str">
        <f>Lcode_mapping!D109</f>
        <v>FreqRateIono_bS</v>
      </c>
      <c r="D109">
        <f>Lcode_mapping!E109</f>
        <v>1</v>
      </c>
      <c r="E109">
        <f>Lcode_mapping!F109</f>
        <v>1</v>
      </c>
      <c r="F109">
        <f>Lcode_mapping!G109</f>
        <v>1</v>
      </c>
      <c r="G109" t="str">
        <f>Lcode_mapping!H109</f>
        <v>R</v>
      </c>
      <c r="H109" t="str">
        <f>Lcode_mapping!I109</f>
        <v>N</v>
      </c>
      <c r="I109" t="str">
        <f>Lcode_mapping!J109</f>
        <v>-</v>
      </c>
      <c r="J109" t="str">
        <f>Lcode_mapping!K109</f>
        <v>Obs</v>
      </c>
      <c r="K109" t="str">
        <f>Lcode_mapping!L109</f>
        <v>-</v>
      </c>
      <c r="L109" t="str">
        <f>Lcode_mapping!M109</f>
        <v>N</v>
      </c>
      <c r="M109" t="str">
        <f>Lcode_mapping!N109</f>
        <v>NGS</v>
      </c>
      <c r="N109" t="str">
        <f>Lcode_mapping!O109</f>
        <v>ObsDerived</v>
      </c>
      <c r="O109" t="str">
        <f>Lcode_mapping!P109</f>
        <v>EffFreq_bS</v>
      </c>
      <c r="P109" t="str">
        <f>Lcode_mapping!Q109</f>
        <v>-</v>
      </c>
      <c r="Q109" t="str">
        <f>Lcode_mapping!R109</f>
        <v>FreqRateIono</v>
      </c>
      <c r="R109" t="str">
        <f>Lcode_mapping!S109</f>
        <v>-</v>
      </c>
      <c r="S109" t="str">
        <f>Lcode_mapping!T109</f>
        <v>Effective Group Rate Ionospheric Frequency</v>
      </c>
      <c r="T109" t="str">
        <f>Lcode_mapping!U109</f>
        <v>-</v>
      </c>
      <c r="U109" t="str">
        <f>Lcode_mapping!V109</f>
        <v>MHz</v>
      </c>
      <c r="V109" t="str">
        <f>Lcode_mapping!W109</f>
        <v>-</v>
      </c>
    </row>
    <row r="110" spans="1:22" ht="15" customHeight="1" x14ac:dyDescent="0.25">
      <c r="A110">
        <f>Lcode_mapping!A110</f>
        <v>342</v>
      </c>
      <c r="B110">
        <f>Lcode_mapping!B110</f>
        <v>2</v>
      </c>
      <c r="C110" t="str">
        <f>Lcode_mapping!D110</f>
        <v>GRIONFRQ</v>
      </c>
      <c r="D110">
        <f>Lcode_mapping!E110</f>
        <v>1</v>
      </c>
      <c r="E110">
        <f>Lcode_mapping!F110</f>
        <v>1</v>
      </c>
      <c r="F110">
        <f>Lcode_mapping!G110</f>
        <v>1</v>
      </c>
      <c r="G110" t="str">
        <f>Lcode_mapping!H110</f>
        <v>R</v>
      </c>
      <c r="H110">
        <f>Lcode_mapping!I110</f>
        <v>4</v>
      </c>
      <c r="I110" t="str">
        <f>Lcode_mapping!J110</f>
        <v>Effective ion.frq for gr.del MHz</v>
      </c>
      <c r="J110" t="str">
        <f>Lcode_mapping!K110</f>
        <v>Obs</v>
      </c>
      <c r="K110" t="str">
        <f>Lcode_mapping!L110</f>
        <v>-</v>
      </c>
      <c r="L110" t="str">
        <f>Lcode_mapping!M110</f>
        <v>K</v>
      </c>
      <c r="M110" t="str">
        <f>Lcode_mapping!N110</f>
        <v>NGS</v>
      </c>
      <c r="N110" t="str">
        <f>Lcode_mapping!O110</f>
        <v>ObsDerived</v>
      </c>
      <c r="O110" t="str">
        <f>Lcode_mapping!P110</f>
        <v>EffFreq_bX</v>
      </c>
      <c r="P110" t="str">
        <f>Lcode_mapping!Q110</f>
        <v>-</v>
      </c>
      <c r="Q110" t="str">
        <f>Lcode_mapping!R110</f>
        <v>FreqGroupIono</v>
      </c>
      <c r="R110" t="str">
        <f>Lcode_mapping!S110</f>
        <v>-</v>
      </c>
      <c r="S110" t="str">
        <f>Lcode_mapping!T110</f>
        <v>Effective Group Delay Ionospheric Frequency</v>
      </c>
      <c r="T110" t="str">
        <f>Lcode_mapping!U110</f>
        <v>-</v>
      </c>
      <c r="U110" t="str">
        <f>Lcode_mapping!V110</f>
        <v>Mhz</v>
      </c>
      <c r="V110" t="str">
        <f>Lcode_mapping!W110</f>
        <v>-</v>
      </c>
    </row>
    <row r="111" spans="1:22" ht="15" customHeight="1" x14ac:dyDescent="0.25">
      <c r="A111">
        <f>Lcode_mapping!A111</f>
        <v>343</v>
      </c>
      <c r="B111">
        <f>Lcode_mapping!B111</f>
        <v>2</v>
      </c>
      <c r="C111" t="str">
        <f>Lcode_mapping!D111</f>
        <v>PHIONFRQ</v>
      </c>
      <c r="D111">
        <f>Lcode_mapping!E111</f>
        <v>1</v>
      </c>
      <c r="E111">
        <f>Lcode_mapping!F111</f>
        <v>1</v>
      </c>
      <c r="F111">
        <f>Lcode_mapping!G111</f>
        <v>1</v>
      </c>
      <c r="G111" t="str">
        <f>Lcode_mapping!H111</f>
        <v>R</v>
      </c>
      <c r="H111">
        <f>Lcode_mapping!I111</f>
        <v>4</v>
      </c>
      <c r="I111" t="str">
        <f>Lcode_mapping!J111</f>
        <v>Effective ion.frq for ph.del MHz</v>
      </c>
      <c r="J111" t="str">
        <f>Lcode_mapping!K111</f>
        <v>Obs</v>
      </c>
      <c r="K111" t="str">
        <f>Lcode_mapping!L111</f>
        <v>-</v>
      </c>
      <c r="L111" t="str">
        <f>Lcode_mapping!M111</f>
        <v>K</v>
      </c>
      <c r="M111" t="str">
        <f>Lcode_mapping!N111</f>
        <v>NGS</v>
      </c>
      <c r="N111" t="str">
        <f>Lcode_mapping!O111</f>
        <v>ObsDerived</v>
      </c>
      <c r="O111" t="str">
        <f>Lcode_mapping!P111</f>
        <v>EffFreq_bX</v>
      </c>
      <c r="P111" t="str">
        <f>Lcode_mapping!Q111</f>
        <v>-</v>
      </c>
      <c r="Q111" t="str">
        <f>Lcode_mapping!R111</f>
        <v>FreqPhaseIono</v>
      </c>
      <c r="R111" t="str">
        <f>Lcode_mapping!S111</f>
        <v>-</v>
      </c>
      <c r="S111" t="str">
        <f>Lcode_mapping!T111</f>
        <v>Effective Phase Delay Ionospheric Frequency</v>
      </c>
      <c r="T111" t="str">
        <f>Lcode_mapping!U111</f>
        <v>-</v>
      </c>
      <c r="U111" t="str">
        <f>Lcode_mapping!V111</f>
        <v>Mhz</v>
      </c>
      <c r="V111" t="str">
        <f>Lcode_mapping!W111</f>
        <v>-</v>
      </c>
    </row>
    <row r="112" spans="1:22" ht="15" customHeight="1" x14ac:dyDescent="0.25">
      <c r="A112">
        <f>Lcode_mapping!A112</f>
        <v>345</v>
      </c>
      <c r="B112" t="str">
        <f>Lcode_mapping!B112</f>
        <v>N</v>
      </c>
      <c r="C112" t="str">
        <f>Lcode_mapping!D112</f>
        <v>FreqRateIono_bX</v>
      </c>
      <c r="D112">
        <f>Lcode_mapping!E112</f>
        <v>1</v>
      </c>
      <c r="E112">
        <f>Lcode_mapping!F112</f>
        <v>1</v>
      </c>
      <c r="F112">
        <f>Lcode_mapping!G112</f>
        <v>1</v>
      </c>
      <c r="G112" t="str">
        <f>Lcode_mapping!H112</f>
        <v>R</v>
      </c>
      <c r="H112" t="str">
        <f>Lcode_mapping!I112</f>
        <v>N</v>
      </c>
      <c r="I112" t="str">
        <f>Lcode_mapping!J112</f>
        <v>-</v>
      </c>
      <c r="J112" t="str">
        <f>Lcode_mapping!K112</f>
        <v>Obs</v>
      </c>
      <c r="K112" t="str">
        <f>Lcode_mapping!L112</f>
        <v>-</v>
      </c>
      <c r="L112" t="str">
        <f>Lcode_mapping!M112</f>
        <v>N</v>
      </c>
      <c r="M112" t="str">
        <f>Lcode_mapping!N112</f>
        <v>NGS</v>
      </c>
      <c r="N112" t="str">
        <f>Lcode_mapping!O112</f>
        <v>ObsDerived</v>
      </c>
      <c r="O112" t="str">
        <f>Lcode_mapping!P112</f>
        <v>EffFreq_bX</v>
      </c>
      <c r="P112" t="str">
        <f>Lcode_mapping!Q112</f>
        <v>-</v>
      </c>
      <c r="Q112" t="str">
        <f>Lcode_mapping!R112</f>
        <v>FreqRateIono</v>
      </c>
      <c r="R112" t="str">
        <f>Lcode_mapping!S112</f>
        <v>-</v>
      </c>
      <c r="S112" t="str">
        <f>Lcode_mapping!T112</f>
        <v>Effective Group Rate Ionospheric Frequency</v>
      </c>
      <c r="T112" t="str">
        <f>Lcode_mapping!U112</f>
        <v>-</v>
      </c>
      <c r="U112" t="str">
        <f>Lcode_mapping!V112</f>
        <v>MHz</v>
      </c>
      <c r="V112" t="str">
        <f>Lcode_mapping!W112</f>
        <v>-</v>
      </c>
    </row>
    <row r="113" spans="1:22" ht="15" customHeight="1" x14ac:dyDescent="0.25">
      <c r="A113">
        <f>Lcode_mapping!A113</f>
        <v>346</v>
      </c>
      <c r="B113" t="str">
        <f>Lcode_mapping!B113</f>
        <v>N</v>
      </c>
      <c r="C113" t="str">
        <f>Lcode_mapping!D113</f>
        <v>FreqGroupIonoNoWt_bX</v>
      </c>
      <c r="D113">
        <f>Lcode_mapping!E113</f>
        <v>1</v>
      </c>
      <c r="E113">
        <f>Lcode_mapping!F113</f>
        <v>1</v>
      </c>
      <c r="F113">
        <f>Lcode_mapping!G113</f>
        <v>1</v>
      </c>
      <c r="G113" t="str">
        <f>Lcode_mapping!H113</f>
        <v>R</v>
      </c>
      <c r="H113" t="str">
        <f>Lcode_mapping!I113</f>
        <v>N</v>
      </c>
      <c r="I113" t="str">
        <f>Lcode_mapping!J113</f>
        <v>-</v>
      </c>
      <c r="J113" t="str">
        <f>Lcode_mapping!K113</f>
        <v>Obs</v>
      </c>
      <c r="K113" t="str">
        <f>Lcode_mapping!L113</f>
        <v>-</v>
      </c>
      <c r="L113" t="str">
        <f>Lcode_mapping!M113</f>
        <v>K</v>
      </c>
      <c r="M113" t="str">
        <f>Lcode_mapping!N113</f>
        <v>-</v>
      </c>
      <c r="N113" t="str">
        <f>Lcode_mapping!O113</f>
        <v>ObsDerived</v>
      </c>
      <c r="O113" t="str">
        <f>Lcode_mapping!P113</f>
        <v>EffFreq_kNoAmpWt_bX</v>
      </c>
      <c r="P113" t="str">
        <f>Lcode_mapping!Q113</f>
        <v>-</v>
      </c>
      <c r="Q113" t="str">
        <f>Lcode_mapping!R113</f>
        <v>FreqGroupIono</v>
      </c>
      <c r="R113" t="str">
        <f>Lcode_mapping!S113</f>
        <v>-</v>
      </c>
      <c r="S113" t="str">
        <f>Lcode_mapping!T113</f>
        <v>Effective Group Delay Ionospheric Frequency. All channels equal wt.</v>
      </c>
      <c r="T113" t="str">
        <f>Lcode_mapping!U113</f>
        <v>-</v>
      </c>
      <c r="U113" t="str">
        <f>Lcode_mapping!V113</f>
        <v>Mhz</v>
      </c>
      <c r="V113" t="str">
        <f>Lcode_mapping!W113</f>
        <v>-</v>
      </c>
    </row>
    <row r="114" spans="1:22" ht="15" customHeight="1" x14ac:dyDescent="0.25">
      <c r="A114">
        <f>Lcode_mapping!A114</f>
        <v>347</v>
      </c>
      <c r="B114" t="str">
        <f>Lcode_mapping!B114</f>
        <v>N</v>
      </c>
      <c r="C114" t="str">
        <f>Lcode_mapping!D114</f>
        <v>FreqPhaseIonoNoWt_bX</v>
      </c>
      <c r="D114">
        <f>Lcode_mapping!E114</f>
        <v>1</v>
      </c>
      <c r="E114">
        <f>Lcode_mapping!F114</f>
        <v>1</v>
      </c>
      <c r="F114">
        <f>Lcode_mapping!G114</f>
        <v>1</v>
      </c>
      <c r="G114" t="str">
        <f>Lcode_mapping!H114</f>
        <v>R</v>
      </c>
      <c r="H114" t="str">
        <f>Lcode_mapping!I114</f>
        <v>N</v>
      </c>
      <c r="I114" t="str">
        <f>Lcode_mapping!J114</f>
        <v>-</v>
      </c>
      <c r="J114" t="str">
        <f>Lcode_mapping!K114</f>
        <v>Obs</v>
      </c>
      <c r="K114" t="str">
        <f>Lcode_mapping!L114</f>
        <v>-</v>
      </c>
      <c r="L114" t="str">
        <f>Lcode_mapping!M114</f>
        <v>K</v>
      </c>
      <c r="M114" t="str">
        <f>Lcode_mapping!N114</f>
        <v>-</v>
      </c>
      <c r="N114" t="str">
        <f>Lcode_mapping!O114</f>
        <v>ObsDerived</v>
      </c>
      <c r="O114" t="str">
        <f>Lcode_mapping!P114</f>
        <v>EffFreq_kNoAmpWt_bX</v>
      </c>
      <c r="P114" t="str">
        <f>Lcode_mapping!Q114</f>
        <v>-</v>
      </c>
      <c r="Q114" t="str">
        <f>Lcode_mapping!R114</f>
        <v>FreqPhaseIono</v>
      </c>
      <c r="R114" t="str">
        <f>Lcode_mapping!S114</f>
        <v>-</v>
      </c>
      <c r="S114" t="str">
        <f>Lcode_mapping!T114</f>
        <v>Effective Phase Delay Ionospheric Frequency. All channels equal wt.</v>
      </c>
      <c r="T114" t="str">
        <f>Lcode_mapping!U114</f>
        <v>-</v>
      </c>
      <c r="U114" t="str">
        <f>Lcode_mapping!V114</f>
        <v>Mhz</v>
      </c>
      <c r="V114" t="str">
        <f>Lcode_mapping!W114</f>
        <v>-</v>
      </c>
    </row>
    <row r="115" spans="1:22" ht="15" customHeight="1" x14ac:dyDescent="0.25">
      <c r="A115">
        <f>Lcode_mapping!A115</f>
        <v>348</v>
      </c>
      <c r="B115" t="str">
        <f>Lcode_mapping!B115</f>
        <v>N</v>
      </c>
      <c r="C115" t="str">
        <f>Lcode_mapping!D115</f>
        <v>FreqRateIonoNoWt_bX</v>
      </c>
      <c r="D115">
        <f>Lcode_mapping!E115</f>
        <v>1</v>
      </c>
      <c r="E115">
        <f>Lcode_mapping!F115</f>
        <v>1</v>
      </c>
      <c r="F115">
        <f>Lcode_mapping!G115</f>
        <v>1</v>
      </c>
      <c r="G115" t="str">
        <f>Lcode_mapping!H115</f>
        <v>R</v>
      </c>
      <c r="H115" t="str">
        <f>Lcode_mapping!I115</f>
        <v>N</v>
      </c>
      <c r="I115" t="str">
        <f>Lcode_mapping!J115</f>
        <v>-</v>
      </c>
      <c r="J115" t="str">
        <f>Lcode_mapping!K115</f>
        <v>Obs</v>
      </c>
      <c r="K115" t="str">
        <f>Lcode_mapping!L115</f>
        <v>-</v>
      </c>
      <c r="L115" t="str">
        <f>Lcode_mapping!M115</f>
        <v>N</v>
      </c>
      <c r="M115" t="str">
        <f>Lcode_mapping!N115</f>
        <v>-</v>
      </c>
      <c r="N115" t="str">
        <f>Lcode_mapping!O115</f>
        <v>ObsDerived</v>
      </c>
      <c r="O115" t="str">
        <f>Lcode_mapping!P115</f>
        <v>EffFreq_kNoAmpWt_bX</v>
      </c>
      <c r="P115" t="str">
        <f>Lcode_mapping!Q115</f>
        <v>-</v>
      </c>
      <c r="Q115" t="str">
        <f>Lcode_mapping!R115</f>
        <v>FreqRateIono</v>
      </c>
      <c r="R115" t="str">
        <f>Lcode_mapping!S115</f>
        <v>-</v>
      </c>
      <c r="S115" t="str">
        <f>Lcode_mapping!T115</f>
        <v>Effective Group Rate Ionospheric Frequency. All channels equal wt.</v>
      </c>
      <c r="T115" t="str">
        <f>Lcode_mapping!U115</f>
        <v>-</v>
      </c>
      <c r="U115" t="str">
        <f>Lcode_mapping!V115</f>
        <v>MHz</v>
      </c>
      <c r="V115" t="str">
        <f>Lcode_mapping!W115</f>
        <v>-</v>
      </c>
    </row>
    <row r="116" spans="1:22" ht="15" customHeight="1" x14ac:dyDescent="0.25">
      <c r="A116">
        <f>Lcode_mapping!A116</f>
        <v>319</v>
      </c>
      <c r="B116" t="str">
        <f>Lcode_mapping!B116</f>
        <v>N</v>
      </c>
      <c r="C116" t="str">
        <f>Lcode_mapping!D116</f>
        <v>FeedHorn</v>
      </c>
      <c r="D116">
        <f>Lcode_mapping!E116</f>
        <v>1</v>
      </c>
      <c r="E116">
        <f>Lcode_mapping!F116</f>
        <v>1</v>
      </c>
      <c r="F116">
        <f>Lcode_mapping!G116</f>
        <v>1</v>
      </c>
      <c r="G116" t="str">
        <f>Lcode_mapping!H116</f>
        <v>R</v>
      </c>
      <c r="H116" t="str">
        <f>Lcode_mapping!I116</f>
        <v>N</v>
      </c>
      <c r="I116" t="str">
        <f>Lcode_mapping!J116</f>
        <v>-</v>
      </c>
      <c r="J116" t="str">
        <f>Lcode_mapping!K116</f>
        <v>Obs</v>
      </c>
      <c r="K116" t="str">
        <f>Lcode_mapping!L116</f>
        <v>-</v>
      </c>
      <c r="L116" t="str">
        <f>Lcode_mapping!M116</f>
        <v>N</v>
      </c>
      <c r="M116" t="str">
        <f>Lcode_mapping!N116</f>
        <v>Solve</v>
      </c>
      <c r="N116" t="str">
        <f>Lcode_mapping!O116</f>
        <v>ObsDerived</v>
      </c>
      <c r="O116" t="str">
        <f>Lcode_mapping!P116</f>
        <v>FeedRotNet</v>
      </c>
      <c r="P116" t="str">
        <f>Lcode_mapping!Q116</f>
        <v>-</v>
      </c>
      <c r="Q116" t="str">
        <f>Lcode_mapping!R116</f>
        <v>FeedRotNet</v>
      </c>
      <c r="R116" t="str">
        <f>Lcode_mapping!S116</f>
        <v>-</v>
      </c>
      <c r="S116" t="str">
        <f>Lcode_mapping!T116</f>
        <v>Feedhorn correction for phase delay= FeedRotSite1-FeedRotSite2</v>
      </c>
      <c r="T116" t="str">
        <f>Lcode_mapping!U116</f>
        <v>-</v>
      </c>
      <c r="U116" t="str">
        <f>Lcode_mapping!V116</f>
        <v>radian</v>
      </c>
      <c r="V116" t="str">
        <f>Lcode_mapping!W116</f>
        <v>-</v>
      </c>
    </row>
    <row r="117" spans="1:22" ht="15" customHeight="1" x14ac:dyDescent="0.25">
      <c r="A117">
        <f>Lcode_mapping!A117</f>
        <v>324</v>
      </c>
      <c r="B117">
        <f>Lcode_mapping!B117</f>
        <v>2</v>
      </c>
      <c r="C117" t="str">
        <f>Lcode_mapping!D117</f>
        <v>DELUFLAG</v>
      </c>
      <c r="D117">
        <f>Lcode_mapping!E117</f>
        <v>1</v>
      </c>
      <c r="E117">
        <f>Lcode_mapping!F117</f>
        <v>1</v>
      </c>
      <c r="F117">
        <f>Lcode_mapping!G117</f>
        <v>1</v>
      </c>
      <c r="G117" t="str">
        <f>Lcode_mapping!H117</f>
        <v>I</v>
      </c>
      <c r="H117">
        <f>Lcode_mapping!I117</f>
        <v>4</v>
      </c>
      <c r="I117" t="str">
        <f>Lcode_mapping!J117</f>
        <v>Delay unweight flag</v>
      </c>
      <c r="J117" t="str">
        <f>Lcode_mapping!K117</f>
        <v>Obs</v>
      </c>
      <c r="K117" t="str">
        <f>Lcode_mapping!L117</f>
        <v>-</v>
      </c>
      <c r="L117" t="str">
        <f>Lcode_mapping!M117</f>
        <v>K</v>
      </c>
      <c r="M117" t="str">
        <f>Lcode_mapping!N117</f>
        <v>Solve</v>
      </c>
      <c r="N117" t="str">
        <f>Lcode_mapping!O117</f>
        <v>ObsEdit</v>
      </c>
      <c r="O117" t="str">
        <f>Lcode_mapping!P117</f>
        <v>Edit</v>
      </c>
      <c r="P117" t="str">
        <f>Lcode_mapping!Q117</f>
        <v>-</v>
      </c>
      <c r="Q117" t="str">
        <f>Lcode_mapping!R117</f>
        <v>DelayFlag</v>
      </c>
      <c r="R117" t="str">
        <f>Lcode_mapping!S117</f>
        <v>-</v>
      </c>
      <c r="S117" t="str">
        <f>Lcode_mapping!T117</f>
        <v>-</v>
      </c>
      <c r="T117" t="str">
        <f>Lcode_mapping!U117</f>
        <v>-</v>
      </c>
      <c r="U117" t="str">
        <f>Lcode_mapping!V117</f>
        <v>-</v>
      </c>
      <c r="V117" t="str">
        <f>Lcode_mapping!W117</f>
        <v>-</v>
      </c>
    </row>
    <row r="118" spans="1:22" ht="15" customHeight="1" x14ac:dyDescent="0.25">
      <c r="A118">
        <f>Lcode_mapping!A118</f>
        <v>325</v>
      </c>
      <c r="B118">
        <f>Lcode_mapping!B118</f>
        <v>2</v>
      </c>
      <c r="C118" t="str">
        <f>Lcode_mapping!D118</f>
        <v>PHSUFLAG</v>
      </c>
      <c r="D118">
        <f>Lcode_mapping!E118</f>
        <v>1</v>
      </c>
      <c r="E118">
        <f>Lcode_mapping!F118</f>
        <v>1</v>
      </c>
      <c r="F118">
        <f>Lcode_mapping!G118</f>
        <v>1</v>
      </c>
      <c r="G118" t="str">
        <f>Lcode_mapping!H118</f>
        <v>I</v>
      </c>
      <c r="H118">
        <f>Lcode_mapping!I118</f>
        <v>4</v>
      </c>
      <c r="I118" t="str">
        <f>Lcode_mapping!J118</f>
        <v>Phase unweight flag</v>
      </c>
      <c r="J118" t="str">
        <f>Lcode_mapping!K118</f>
        <v>Obs</v>
      </c>
      <c r="K118" t="str">
        <f>Lcode_mapping!L118</f>
        <v>-</v>
      </c>
      <c r="L118" t="str">
        <f>Lcode_mapping!M118</f>
        <v>K</v>
      </c>
      <c r="M118" t="str">
        <f>Lcode_mapping!N118</f>
        <v>Solve</v>
      </c>
      <c r="N118" t="str">
        <f>Lcode_mapping!O118</f>
        <v>ObsEdit</v>
      </c>
      <c r="O118" t="str">
        <f>Lcode_mapping!P118</f>
        <v>Edit</v>
      </c>
      <c r="P118" t="str">
        <f>Lcode_mapping!Q118</f>
        <v>-</v>
      </c>
      <c r="Q118" t="str">
        <f>Lcode_mapping!R118</f>
        <v>PhaseFlag</v>
      </c>
      <c r="R118" t="str">
        <f>Lcode_mapping!S118</f>
        <v>-</v>
      </c>
      <c r="S118" t="str">
        <f>Lcode_mapping!T118</f>
        <v>-</v>
      </c>
      <c r="T118" t="str">
        <f>Lcode_mapping!U118</f>
        <v>-</v>
      </c>
      <c r="U118" t="str">
        <f>Lcode_mapping!V118</f>
        <v>-</v>
      </c>
      <c r="V118" t="str">
        <f>Lcode_mapping!W118</f>
        <v>-</v>
      </c>
    </row>
    <row r="119" spans="1:22" ht="15" customHeight="1" x14ac:dyDescent="0.25">
      <c r="A119">
        <f>Lcode_mapping!A119</f>
        <v>326</v>
      </c>
      <c r="B119">
        <f>Lcode_mapping!B119</f>
        <v>2</v>
      </c>
      <c r="C119" t="str">
        <f>Lcode_mapping!D119</f>
        <v>RATUFLAG</v>
      </c>
      <c r="D119">
        <f>Lcode_mapping!E119</f>
        <v>1</v>
      </c>
      <c r="E119">
        <f>Lcode_mapping!F119</f>
        <v>1</v>
      </c>
      <c r="F119">
        <f>Lcode_mapping!G119</f>
        <v>1</v>
      </c>
      <c r="G119" t="str">
        <f>Lcode_mapping!H119</f>
        <v>I</v>
      </c>
      <c r="H119">
        <f>Lcode_mapping!I119</f>
        <v>1</v>
      </c>
      <c r="I119" t="str">
        <f>Lcode_mapping!J119</f>
        <v>Delay rate unweight flag.</v>
      </c>
      <c r="J119" t="str">
        <f>Lcode_mapping!K119</f>
        <v>Obs</v>
      </c>
      <c r="K119" t="str">
        <f>Lcode_mapping!L119</f>
        <v>-</v>
      </c>
      <c r="L119" t="str">
        <f>Lcode_mapping!M119</f>
        <v>K</v>
      </c>
      <c r="M119" t="str">
        <f>Lcode_mapping!N119</f>
        <v>Solve</v>
      </c>
      <c r="N119" t="str">
        <f>Lcode_mapping!O119</f>
        <v>ObsEdit</v>
      </c>
      <c r="O119" t="str">
        <f>Lcode_mapping!P119</f>
        <v>Edit</v>
      </c>
      <c r="P119" t="str">
        <f>Lcode_mapping!Q119</f>
        <v>-</v>
      </c>
      <c r="Q119" t="str">
        <f>Lcode_mapping!R119</f>
        <v>RateFlag</v>
      </c>
      <c r="R119" t="str">
        <f>Lcode_mapping!S119</f>
        <v>-</v>
      </c>
      <c r="S119" t="str">
        <f>Lcode_mapping!T119</f>
        <v>-</v>
      </c>
      <c r="T119" t="str">
        <f>Lcode_mapping!U119</f>
        <v>-</v>
      </c>
      <c r="U119" t="str">
        <f>Lcode_mapping!V119</f>
        <v>-</v>
      </c>
      <c r="V119" t="str">
        <f>Lcode_mapping!W119</f>
        <v>-</v>
      </c>
    </row>
    <row r="120" spans="1:22" ht="15" customHeight="1" x14ac:dyDescent="0.25">
      <c r="A120">
        <f>Lcode_mapping!A120</f>
        <v>327</v>
      </c>
      <c r="B120">
        <f>Lcode_mapping!B120</f>
        <v>2</v>
      </c>
      <c r="C120" t="str">
        <f>Lcode_mapping!D120</f>
        <v>UACSUP</v>
      </c>
      <c r="D120">
        <f>Lcode_mapping!E120</f>
        <v>1</v>
      </c>
      <c r="E120">
        <f>Lcode_mapping!F120</f>
        <v>1</v>
      </c>
      <c r="F120">
        <f>Lcode_mapping!G120</f>
        <v>1</v>
      </c>
      <c r="G120" t="str">
        <f>Lcode_mapping!H120</f>
        <v>I</v>
      </c>
      <c r="H120">
        <f>Lcode_mapping!I120</f>
        <v>4</v>
      </c>
      <c r="I120" t="str">
        <f>Lcode_mapping!J120</f>
        <v>User action for suppression</v>
      </c>
      <c r="J120" t="str">
        <f>Lcode_mapping!K120</f>
        <v>Obs</v>
      </c>
      <c r="K120" t="str">
        <f>Lcode_mapping!L120</f>
        <v>-</v>
      </c>
      <c r="L120" t="str">
        <f>Lcode_mapping!M120</f>
        <v>K</v>
      </c>
      <c r="M120" t="str">
        <f>Lcode_mapping!N120</f>
        <v>Solve</v>
      </c>
      <c r="N120" t="str">
        <f>Lcode_mapping!O120</f>
        <v>ObsEdit</v>
      </c>
      <c r="O120" t="str">
        <f>Lcode_mapping!P120</f>
        <v>Edit</v>
      </c>
      <c r="P120" t="str">
        <f>Lcode_mapping!Q120</f>
        <v>-</v>
      </c>
      <c r="Q120" t="str">
        <f>Lcode_mapping!R120</f>
        <v>UserSup</v>
      </c>
      <c r="R120" t="str">
        <f>Lcode_mapping!S120</f>
        <v>-</v>
      </c>
      <c r="S120" t="str">
        <f>Lcode_mapping!T120</f>
        <v>-</v>
      </c>
      <c r="T120" t="str">
        <f>Lcode_mapping!U120</f>
        <v>-</v>
      </c>
      <c r="U120" t="str">
        <f>Lcode_mapping!V120</f>
        <v>-</v>
      </c>
      <c r="V120" t="str">
        <f>Lcode_mapping!W120</f>
        <v>-</v>
      </c>
    </row>
    <row r="121" spans="1:22" ht="15" customHeight="1" x14ac:dyDescent="0.25">
      <c r="A121">
        <f>Lcode_mapping!A121</f>
        <v>320</v>
      </c>
      <c r="B121">
        <f>Lcode_mapping!B121</f>
        <v>2</v>
      </c>
      <c r="C121" t="str">
        <f>Lcode_mapping!D121</f>
        <v>DLOBS XS</v>
      </c>
      <c r="D121">
        <f>Lcode_mapping!E121</f>
        <v>1</v>
      </c>
      <c r="E121">
        <f>Lcode_mapping!F121</f>
        <v>1</v>
      </c>
      <c r="F121">
        <f>Lcode_mapping!G121</f>
        <v>1</v>
      </c>
      <c r="G121" t="str">
        <f>Lcode_mapping!H121</f>
        <v>R</v>
      </c>
      <c r="H121">
        <f>Lcode_mapping!I121</f>
        <v>4</v>
      </c>
      <c r="I121" t="str">
        <f>Lcode_mapping!J121</f>
        <v>Delay observable  opposite band</v>
      </c>
      <c r="J121" t="str">
        <f>Lcode_mapping!K121</f>
        <v>Obs</v>
      </c>
      <c r="K121" t="str">
        <f>Lcode_mapping!L121</f>
        <v>-</v>
      </c>
      <c r="L121" t="str">
        <f>Lcode_mapping!M121</f>
        <v>K</v>
      </c>
      <c r="M121" t="str">
        <f>Lcode_mapping!N121</f>
        <v>NGS</v>
      </c>
      <c r="N121" t="str">
        <f>Lcode_mapping!O121</f>
        <v>ObsEdit</v>
      </c>
      <c r="O121" t="str">
        <f>Lcode_mapping!P121</f>
        <v>GroupDelayFull_bS</v>
      </c>
      <c r="P121" t="str">
        <f>Lcode_mapping!Q121</f>
        <v>-</v>
      </c>
      <c r="Q121" t="str">
        <f>Lcode_mapping!R121</f>
        <v>GroupDelayFull</v>
      </c>
      <c r="R121" t="str">
        <f>Lcode_mapping!S121</f>
        <v>-</v>
      </c>
      <c r="S121" t="str">
        <f>Lcode_mapping!T121</f>
        <v>Delay Observable with ambiguities resolved and added.</v>
      </c>
      <c r="T121" t="str">
        <f>Lcode_mapping!U121</f>
        <v>-</v>
      </c>
      <c r="U121" t="str">
        <f>Lcode_mapping!V121</f>
        <v>microsecond</v>
      </c>
      <c r="V121" t="str">
        <f>Lcode_mapping!W121</f>
        <v>-</v>
      </c>
    </row>
    <row r="122" spans="1:22" ht="15" customHeight="1" x14ac:dyDescent="0.25">
      <c r="A122">
        <f>Lcode_mapping!A122</f>
        <v>321</v>
      </c>
      <c r="B122" t="str">
        <f>Lcode_mapping!B122</f>
        <v>N</v>
      </c>
      <c r="C122" t="str">
        <f>Lcode_mapping!D122</f>
        <v>GroupDelayFull_bX</v>
      </c>
      <c r="D122">
        <f>Lcode_mapping!E122</f>
        <v>1</v>
      </c>
      <c r="E122">
        <f>Lcode_mapping!F122</f>
        <v>1</v>
      </c>
      <c r="F122">
        <f>Lcode_mapping!G122</f>
        <v>1</v>
      </c>
      <c r="G122" t="str">
        <f>Lcode_mapping!H122</f>
        <v>R</v>
      </c>
      <c r="H122" t="str">
        <f>Lcode_mapping!I122</f>
        <v>N</v>
      </c>
      <c r="I122" t="str">
        <f>Lcode_mapping!J122</f>
        <v>-</v>
      </c>
      <c r="J122" t="str">
        <f>Lcode_mapping!K122</f>
        <v>Obs</v>
      </c>
      <c r="K122" t="str">
        <f>Lcode_mapping!L122</f>
        <v>-</v>
      </c>
      <c r="L122" t="str">
        <f>Lcode_mapping!M122</f>
        <v>N</v>
      </c>
      <c r="M122" t="str">
        <f>Lcode_mapping!N122</f>
        <v>NGS</v>
      </c>
      <c r="N122" t="str">
        <f>Lcode_mapping!O122</f>
        <v>ObsEdit</v>
      </c>
      <c r="O122" t="str">
        <f>Lcode_mapping!P122</f>
        <v>GroupDelayFull_bX</v>
      </c>
      <c r="P122" t="str">
        <f>Lcode_mapping!Q122</f>
        <v>-</v>
      </c>
      <c r="Q122" t="str">
        <f>Lcode_mapping!R122</f>
        <v>GroupDelayFull</v>
      </c>
      <c r="R122" t="str">
        <f>Lcode_mapping!S122</f>
        <v>-</v>
      </c>
      <c r="S122" t="str">
        <f>Lcode_mapping!T122</f>
        <v>Delay Observable with ambiguities resolved and added.</v>
      </c>
      <c r="T122" t="str">
        <f>Lcode_mapping!U122</f>
        <v>-</v>
      </c>
      <c r="U122" t="str">
        <f>Lcode_mapping!V122</f>
        <v>second</v>
      </c>
      <c r="V122" t="str">
        <f>Lcode_mapping!W122</f>
        <v>-</v>
      </c>
    </row>
    <row r="123" spans="1:22" ht="15" customHeight="1" x14ac:dyDescent="0.25">
      <c r="A123">
        <f>Lcode_mapping!A123</f>
        <v>328</v>
      </c>
      <c r="B123" t="str">
        <f>Lcode_mapping!B123</f>
        <v>N</v>
      </c>
      <c r="C123" t="str">
        <f>Lcode_mapping!D123</f>
        <v>NGSQualityFlag</v>
      </c>
      <c r="D123">
        <f>Lcode_mapping!E123</f>
        <v>1</v>
      </c>
      <c r="E123">
        <f>Lcode_mapping!F123</f>
        <v>1</v>
      </c>
      <c r="F123">
        <f>Lcode_mapping!G123</f>
        <v>1</v>
      </c>
      <c r="G123" t="str">
        <f>Lcode_mapping!H123</f>
        <v>I</v>
      </c>
      <c r="H123" t="str">
        <f>Lcode_mapping!I123</f>
        <v>N</v>
      </c>
      <c r="I123" t="str">
        <f>Lcode_mapping!J123</f>
        <v>-</v>
      </c>
      <c r="J123" t="str">
        <f>Lcode_mapping!K123</f>
        <v>Obs</v>
      </c>
      <c r="K123" t="str">
        <f>Lcode_mapping!L123</f>
        <v>-</v>
      </c>
      <c r="L123" t="str">
        <f>Lcode_mapping!M123</f>
        <v>K</v>
      </c>
      <c r="M123" t="str">
        <f>Lcode_mapping!N123</f>
        <v>NGS</v>
      </c>
      <c r="N123" t="str">
        <f>Lcode_mapping!O123</f>
        <v>ObsEdit</v>
      </c>
      <c r="O123" t="str">
        <f>Lcode_mapping!P123</f>
        <v>NGSQualityFlag</v>
      </c>
      <c r="P123" t="str">
        <f>Lcode_mapping!Q123</f>
        <v>-</v>
      </c>
      <c r="Q123" t="str">
        <f>Lcode_mapping!R123</f>
        <v>-</v>
      </c>
      <c r="R123" t="str">
        <f>Lcode_mapping!S123</f>
        <v>-</v>
      </c>
      <c r="S123" t="str">
        <f>Lcode_mapping!T123</f>
        <v>Zero means good. A Combination of DelayFlag and IonCode</v>
      </c>
      <c r="T123" t="str">
        <f>Lcode_mapping!U123</f>
        <v>-</v>
      </c>
      <c r="U123" t="str">
        <f>Lcode_mapping!V123</f>
        <v>-</v>
      </c>
      <c r="V123" t="str">
        <f>Lcode_mapping!W123</f>
        <v>-</v>
      </c>
    </row>
    <row r="124" spans="1:22" ht="15" customHeight="1" x14ac:dyDescent="0.25">
      <c r="A124">
        <f>Lcode_mapping!A124</f>
        <v>329</v>
      </c>
      <c r="B124">
        <f>Lcode_mapping!B124</f>
        <v>2</v>
      </c>
      <c r="C124" t="str">
        <f>Lcode_mapping!D124</f>
        <v>#GAMBG_S</v>
      </c>
      <c r="D124">
        <f>Lcode_mapping!E124</f>
        <v>1</v>
      </c>
      <c r="E124">
        <f>Lcode_mapping!F124</f>
        <v>1</v>
      </c>
      <c r="F124">
        <f>Lcode_mapping!G124</f>
        <v>1</v>
      </c>
      <c r="G124" t="str">
        <f>Lcode_mapping!H124</f>
        <v>I</v>
      </c>
      <c r="H124">
        <f>Lcode_mapping!I124</f>
        <v>4</v>
      </c>
      <c r="I124" t="str">
        <f>Lcode_mapping!J124</f>
        <v>No. of ambiguities for S-band</v>
      </c>
      <c r="J124" t="str">
        <f>Lcode_mapping!K124</f>
        <v>Obs</v>
      </c>
      <c r="K124" t="str">
        <f>Lcode_mapping!L124</f>
        <v>-</v>
      </c>
      <c r="L124" t="str">
        <f>Lcode_mapping!M124</f>
        <v>K</v>
      </c>
      <c r="M124" t="str">
        <f>Lcode_mapping!N124</f>
        <v>NGS</v>
      </c>
      <c r="N124" t="str">
        <f>Lcode_mapping!O124</f>
        <v>ObsEdit</v>
      </c>
      <c r="O124" t="str">
        <f>Lcode_mapping!P124</f>
        <v>NumGroupAmbig_bS</v>
      </c>
      <c r="P124" t="str">
        <f>Lcode_mapping!Q124</f>
        <v>-</v>
      </c>
      <c r="Q124" t="str">
        <f>Lcode_mapping!R124</f>
        <v>NumGroupAmbig</v>
      </c>
      <c r="R124" t="str">
        <f>Lcode_mapping!S124</f>
        <v>-</v>
      </c>
      <c r="S124" t="str">
        <f>Lcode_mapping!T124</f>
        <v>Number of group delay ambiguities</v>
      </c>
      <c r="T124" t="str">
        <f>Lcode_mapping!U124</f>
        <v>-</v>
      </c>
      <c r="U124" t="str">
        <f>Lcode_mapping!V124</f>
        <v>-</v>
      </c>
      <c r="V124" t="str">
        <f>Lcode_mapping!W124</f>
        <v>-</v>
      </c>
    </row>
    <row r="125" spans="1:22" ht="15" customHeight="1" x14ac:dyDescent="0.25">
      <c r="A125">
        <f>Lcode_mapping!A125</f>
        <v>330</v>
      </c>
      <c r="B125">
        <f>Lcode_mapping!B125</f>
        <v>2</v>
      </c>
      <c r="C125" t="str">
        <f>Lcode_mapping!D125</f>
        <v># AMBIG</v>
      </c>
      <c r="D125">
        <f>Lcode_mapping!E125</f>
        <v>1</v>
      </c>
      <c r="E125">
        <f>Lcode_mapping!F125</f>
        <v>1</v>
      </c>
      <c r="F125">
        <f>Lcode_mapping!G125</f>
        <v>1</v>
      </c>
      <c r="G125" t="str">
        <f>Lcode_mapping!H125</f>
        <v>I</v>
      </c>
      <c r="H125">
        <f>Lcode_mapping!I125</f>
        <v>4</v>
      </c>
      <c r="I125" t="str">
        <f>Lcode_mapping!J125</f>
        <v>No. of ambiguities</v>
      </c>
      <c r="J125" t="str">
        <f>Lcode_mapping!K125</f>
        <v>Obs</v>
      </c>
      <c r="K125" t="str">
        <f>Lcode_mapping!L125</f>
        <v>-</v>
      </c>
      <c r="L125" t="str">
        <f>Lcode_mapping!M125</f>
        <v>K</v>
      </c>
      <c r="M125" t="str">
        <f>Lcode_mapping!N125</f>
        <v>NGS</v>
      </c>
      <c r="N125" t="str">
        <f>Lcode_mapping!O125</f>
        <v>ObsEdit</v>
      </c>
      <c r="O125" t="str">
        <f>Lcode_mapping!P125</f>
        <v>NumGroupAmbig_bX</v>
      </c>
      <c r="P125" t="str">
        <f>Lcode_mapping!Q125</f>
        <v>-</v>
      </c>
      <c r="Q125" t="str">
        <f>Lcode_mapping!R125</f>
        <v>NumGroupAmbig</v>
      </c>
      <c r="R125" t="str">
        <f>Lcode_mapping!S125</f>
        <v>-</v>
      </c>
      <c r="S125" t="str">
        <f>Lcode_mapping!T125</f>
        <v>Number of group delay ambiguities</v>
      </c>
      <c r="T125" t="str">
        <f>Lcode_mapping!U125</f>
        <v>-</v>
      </c>
      <c r="U125" t="str">
        <f>Lcode_mapping!V125</f>
        <v>-</v>
      </c>
      <c r="V125" t="str">
        <f>Lcode_mapping!W125</f>
        <v>-</v>
      </c>
    </row>
    <row r="126" spans="1:22" ht="15" customHeight="1" x14ac:dyDescent="0.25">
      <c r="A126">
        <f>Lcode_mapping!A126</f>
        <v>331</v>
      </c>
      <c r="B126">
        <f>Lcode_mapping!B126</f>
        <v>2</v>
      </c>
      <c r="C126" t="str">
        <f>Lcode_mapping!D126</f>
        <v>#PAMBG_S</v>
      </c>
      <c r="D126">
        <f>Lcode_mapping!E126</f>
        <v>1</v>
      </c>
      <c r="E126">
        <f>Lcode_mapping!F126</f>
        <v>1</v>
      </c>
      <c r="F126">
        <f>Lcode_mapping!G126</f>
        <v>1</v>
      </c>
      <c r="G126" t="str">
        <f>Lcode_mapping!H126</f>
        <v>J</v>
      </c>
      <c r="H126">
        <f>Lcode_mapping!I126</f>
        <v>4</v>
      </c>
      <c r="I126" t="str">
        <f>Lcode_mapping!J126</f>
        <v># phase ambiguities for S-band</v>
      </c>
      <c r="J126" t="str">
        <f>Lcode_mapping!K126</f>
        <v>Obs</v>
      </c>
      <c r="K126" t="str">
        <f>Lcode_mapping!L126</f>
        <v>-</v>
      </c>
      <c r="L126" t="str">
        <f>Lcode_mapping!M126</f>
        <v>K</v>
      </c>
      <c r="M126" t="str">
        <f>Lcode_mapping!N126</f>
        <v>NGS</v>
      </c>
      <c r="N126" t="str">
        <f>Lcode_mapping!O126</f>
        <v>ObsEdit</v>
      </c>
      <c r="O126" t="str">
        <f>Lcode_mapping!P126</f>
        <v>NumPhaseAmbig_bS</v>
      </c>
      <c r="P126" t="str">
        <f>Lcode_mapping!Q126</f>
        <v>-</v>
      </c>
      <c r="Q126" t="str">
        <f>Lcode_mapping!R126</f>
        <v>NumPhaseAmbig</v>
      </c>
      <c r="R126" t="str">
        <f>Lcode_mapping!S126</f>
        <v>-</v>
      </c>
      <c r="S126" t="str">
        <f>Lcode_mapping!T126</f>
        <v>Number of phase ambiguities</v>
      </c>
      <c r="T126" t="str">
        <f>Lcode_mapping!U126</f>
        <v>-</v>
      </c>
      <c r="U126" t="str">
        <f>Lcode_mapping!V126</f>
        <v>-</v>
      </c>
      <c r="V126" t="str">
        <f>Lcode_mapping!W126</f>
        <v>-</v>
      </c>
    </row>
    <row r="127" spans="1:22" ht="15" customHeight="1" x14ac:dyDescent="0.25">
      <c r="A127">
        <f>Lcode_mapping!A127</f>
        <v>332</v>
      </c>
      <c r="B127">
        <f>Lcode_mapping!B127</f>
        <v>2</v>
      </c>
      <c r="C127" t="str">
        <f>Lcode_mapping!D127</f>
        <v>#PAMBIG</v>
      </c>
      <c r="D127">
        <f>Lcode_mapping!E127</f>
        <v>1</v>
      </c>
      <c r="E127">
        <f>Lcode_mapping!F127</f>
        <v>1</v>
      </c>
      <c r="F127">
        <f>Lcode_mapping!G127</f>
        <v>1</v>
      </c>
      <c r="G127" t="str">
        <f>Lcode_mapping!H127</f>
        <v>J</v>
      </c>
      <c r="H127">
        <f>Lcode_mapping!I127</f>
        <v>4</v>
      </c>
      <c r="I127" t="str">
        <f>Lcode_mapping!J127</f>
        <v># phase ambiguities for X-band</v>
      </c>
      <c r="J127" t="str">
        <f>Lcode_mapping!K127</f>
        <v>Obs</v>
      </c>
      <c r="K127" t="str">
        <f>Lcode_mapping!L127</f>
        <v>-</v>
      </c>
      <c r="L127" t="str">
        <f>Lcode_mapping!M127</f>
        <v>K</v>
      </c>
      <c r="M127" t="str">
        <f>Lcode_mapping!N127</f>
        <v>NGS</v>
      </c>
      <c r="N127" t="str">
        <f>Lcode_mapping!O127</f>
        <v>ObsEdit</v>
      </c>
      <c r="O127" t="str">
        <f>Lcode_mapping!P127</f>
        <v>NumPhaseAmbig_bX</v>
      </c>
      <c r="P127" t="str">
        <f>Lcode_mapping!Q127</f>
        <v>-</v>
      </c>
      <c r="Q127" t="str">
        <f>Lcode_mapping!R127</f>
        <v>NumPhaseAmbig</v>
      </c>
      <c r="R127" t="str">
        <f>Lcode_mapping!S127</f>
        <v>-</v>
      </c>
      <c r="S127" t="str">
        <f>Lcode_mapping!T127</f>
        <v>Number of phase ambiguities</v>
      </c>
      <c r="T127" t="str">
        <f>Lcode_mapping!U127</f>
        <v>-</v>
      </c>
      <c r="U127" t="str">
        <f>Lcode_mapping!V127</f>
        <v>-</v>
      </c>
      <c r="V127" t="str">
        <f>Lcode_mapping!W127</f>
        <v>-</v>
      </c>
    </row>
    <row r="128" spans="1:22" ht="15" customHeight="1" x14ac:dyDescent="0.25">
      <c r="A128">
        <f>Lcode_mapping!A128</f>
        <v>322</v>
      </c>
      <c r="B128">
        <f>Lcode_mapping!B128</f>
        <v>2</v>
      </c>
      <c r="C128" t="str">
        <f>Lcode_mapping!D128</f>
        <v>DPHAS XS</v>
      </c>
      <c r="D128">
        <f>Lcode_mapping!E128</f>
        <v>1</v>
      </c>
      <c r="E128">
        <f>Lcode_mapping!F128</f>
        <v>1</v>
      </c>
      <c r="F128">
        <f>Lcode_mapping!G128</f>
        <v>1</v>
      </c>
      <c r="G128" t="str">
        <f>Lcode_mapping!H128</f>
        <v>R</v>
      </c>
      <c r="H128">
        <f>Lcode_mapping!I128</f>
        <v>4</v>
      </c>
      <c r="I128" t="str">
        <f>Lcode_mapping!J128</f>
        <v>Phase observable  opposite band</v>
      </c>
      <c r="J128" t="str">
        <f>Lcode_mapping!K128</f>
        <v>Obs</v>
      </c>
      <c r="K128" t="str">
        <f>Lcode_mapping!L128</f>
        <v>-</v>
      </c>
      <c r="L128" t="str">
        <f>Lcode_mapping!M128</f>
        <v>K</v>
      </c>
      <c r="M128" t="str">
        <f>Lcode_mapping!N128</f>
        <v>Solve</v>
      </c>
      <c r="N128" t="str">
        <f>Lcode_mapping!O128</f>
        <v>ObsEdit</v>
      </c>
      <c r="O128" t="str">
        <f>Lcode_mapping!P128</f>
        <v>PhaseDelayFull_bS</v>
      </c>
      <c r="P128" t="str">
        <f>Lcode_mapping!Q128</f>
        <v>-</v>
      </c>
      <c r="Q128" t="str">
        <f>Lcode_mapping!R128</f>
        <v>PhaseDelay</v>
      </c>
      <c r="R128" t="str">
        <f>Lcode_mapping!S128</f>
        <v>-</v>
      </c>
      <c r="S128" t="str">
        <f>Lcode_mapping!T128</f>
        <v>Phase delay resolved with ambiguities added.</v>
      </c>
      <c r="T128" t="str">
        <f>Lcode_mapping!U128</f>
        <v>-</v>
      </c>
      <c r="U128" t="str">
        <f>Lcode_mapping!V128</f>
        <v>second</v>
      </c>
      <c r="V128" t="str">
        <f>Lcode_mapping!W128</f>
        <v>-</v>
      </c>
    </row>
    <row r="129" spans="1:22" ht="15" customHeight="1" x14ac:dyDescent="0.25">
      <c r="A129">
        <f>Lcode_mapping!A129</f>
        <v>323</v>
      </c>
      <c r="B129" t="str">
        <f>Lcode_mapping!B129</f>
        <v>N</v>
      </c>
      <c r="C129" t="str">
        <f>Lcode_mapping!D129</f>
        <v>PhaseDelayFull_bX</v>
      </c>
      <c r="D129">
        <f>Lcode_mapping!E129</f>
        <v>1</v>
      </c>
      <c r="E129">
        <f>Lcode_mapping!F129</f>
        <v>1</v>
      </c>
      <c r="F129">
        <f>Lcode_mapping!G129</f>
        <v>1</v>
      </c>
      <c r="G129" t="str">
        <f>Lcode_mapping!H129</f>
        <v>R</v>
      </c>
      <c r="H129">
        <f>Lcode_mapping!I129</f>
        <v>4</v>
      </c>
      <c r="I129" t="str">
        <f>Lcode_mapping!J129</f>
        <v>Phase observable  opposite band</v>
      </c>
      <c r="J129" t="str">
        <f>Lcode_mapping!K129</f>
        <v>Obs</v>
      </c>
      <c r="K129" t="str">
        <f>Lcode_mapping!L129</f>
        <v>-</v>
      </c>
      <c r="L129" t="str">
        <f>Lcode_mapping!M129</f>
        <v>N</v>
      </c>
      <c r="M129" t="str">
        <f>Lcode_mapping!N129</f>
        <v>Solve</v>
      </c>
      <c r="N129" t="str">
        <f>Lcode_mapping!O129</f>
        <v>ObsEdit</v>
      </c>
      <c r="O129" t="str">
        <f>Lcode_mapping!P129</f>
        <v>PhaseDelayFull_bX</v>
      </c>
      <c r="P129" t="str">
        <f>Lcode_mapping!Q129</f>
        <v>-</v>
      </c>
      <c r="Q129" t="str">
        <f>Lcode_mapping!R129</f>
        <v>PhaseDelayFull</v>
      </c>
      <c r="R129" t="str">
        <f>Lcode_mapping!S129</f>
        <v>-</v>
      </c>
      <c r="S129" t="str">
        <f>Lcode_mapping!T129</f>
        <v>Phase delay resolved with ambiguities added.</v>
      </c>
      <c r="T129" t="str">
        <f>Lcode_mapping!U129</f>
        <v>-</v>
      </c>
      <c r="U129" t="str">
        <f>Lcode_mapping!V129</f>
        <v>second</v>
      </c>
      <c r="V129" t="str">
        <f>Lcode_mapping!W129</f>
        <v>-</v>
      </c>
    </row>
    <row r="130" spans="1:22" ht="15" customHeight="1" x14ac:dyDescent="0.25">
      <c r="A130">
        <f>Lcode_mapping!A130</f>
        <v>333</v>
      </c>
      <c r="B130">
        <f>Lcode_mapping!B130</f>
        <v>2</v>
      </c>
      <c r="C130" t="str">
        <f>Lcode_mapping!D130</f>
        <v>GRPAMB_S</v>
      </c>
      <c r="D130">
        <f>Lcode_mapping!E130</f>
        <v>1</v>
      </c>
      <c r="E130">
        <f>Lcode_mapping!F130</f>
        <v>1</v>
      </c>
      <c r="F130">
        <f>Lcode_mapping!G130</f>
        <v>1</v>
      </c>
      <c r="G130" t="str">
        <f>Lcode_mapping!H130</f>
        <v>R</v>
      </c>
      <c r="H130">
        <f>Lcode_mapping!I130</f>
        <v>4</v>
      </c>
      <c r="I130" t="str">
        <f>Lcode_mapping!J130</f>
        <v>Group delay ambiguity for S-band</v>
      </c>
      <c r="J130" t="str">
        <f>Lcode_mapping!K130</f>
        <v>Obs</v>
      </c>
      <c r="K130" t="str">
        <f>Lcode_mapping!L130</f>
        <v>-</v>
      </c>
      <c r="L130" t="str">
        <f>Lcode_mapping!M130</f>
        <v>K</v>
      </c>
      <c r="M130" t="str">
        <f>Lcode_mapping!N130</f>
        <v>NGS</v>
      </c>
      <c r="N130" t="str">
        <f>Lcode_mapping!O130</f>
        <v>Observables</v>
      </c>
      <c r="O130" t="str">
        <f>Lcode_mapping!P130</f>
        <v>AmbigSize_bS</v>
      </c>
      <c r="P130" t="str">
        <f>Lcode_mapping!Q130</f>
        <v>-</v>
      </c>
      <c r="Q130" t="str">
        <f>Lcode_mapping!R130</f>
        <v>AmbigSize</v>
      </c>
      <c r="R130" t="str">
        <f>Lcode_mapping!S130</f>
        <v>-</v>
      </c>
      <c r="S130" t="str">
        <f>Lcode_mapping!T130</f>
        <v>Group delay ambiguity spacing</v>
      </c>
      <c r="T130" t="str">
        <f>Lcode_mapping!U130</f>
        <v>-</v>
      </c>
      <c r="U130" t="str">
        <f>Lcode_mapping!V130</f>
        <v>second</v>
      </c>
      <c r="V130" t="str">
        <f>Lcode_mapping!W130</f>
        <v>-</v>
      </c>
    </row>
    <row r="131" spans="1:22" ht="15" customHeight="1" x14ac:dyDescent="0.25">
      <c r="A131">
        <f>Lcode_mapping!A131</f>
        <v>334</v>
      </c>
      <c r="B131">
        <f>Lcode_mapping!B131</f>
        <v>2</v>
      </c>
      <c r="C131" t="str">
        <f>Lcode_mapping!D131</f>
        <v>GPDLAMBG</v>
      </c>
      <c r="D131">
        <f>Lcode_mapping!E131</f>
        <v>1</v>
      </c>
      <c r="E131">
        <f>Lcode_mapping!F131</f>
        <v>1</v>
      </c>
      <c r="F131">
        <f>Lcode_mapping!G131</f>
        <v>1</v>
      </c>
      <c r="G131" t="str">
        <f>Lcode_mapping!H131</f>
        <v>R</v>
      </c>
      <c r="H131">
        <f>Lcode_mapping!I131</f>
        <v>4</v>
      </c>
      <c r="I131" t="str">
        <f>Lcode_mapping!J131</f>
        <v>Group delay ambiguity (sec).</v>
      </c>
      <c r="J131" t="str">
        <f>Lcode_mapping!K131</f>
        <v>Obs</v>
      </c>
      <c r="K131" t="str">
        <f>Lcode_mapping!L131</f>
        <v>-</v>
      </c>
      <c r="L131" t="str">
        <f>Lcode_mapping!M131</f>
        <v>K</v>
      </c>
      <c r="M131" t="str">
        <f>Lcode_mapping!N131</f>
        <v>NGS</v>
      </c>
      <c r="N131" t="str">
        <f>Lcode_mapping!O131</f>
        <v>Observables</v>
      </c>
      <c r="O131" t="str">
        <f>Lcode_mapping!P131</f>
        <v>AmbigSize_bX</v>
      </c>
      <c r="P131" t="str">
        <f>Lcode_mapping!Q131</f>
        <v>-</v>
      </c>
      <c r="Q131" t="str">
        <f>Lcode_mapping!R131</f>
        <v>AmbigSize</v>
      </c>
      <c r="R131" t="str">
        <f>Lcode_mapping!S131</f>
        <v>-</v>
      </c>
      <c r="S131" t="str">
        <f>Lcode_mapping!T131</f>
        <v>Group delay ambiguity spacing</v>
      </c>
      <c r="T131" t="str">
        <f>Lcode_mapping!U131</f>
        <v>-</v>
      </c>
      <c r="U131" t="str">
        <f>Lcode_mapping!V131</f>
        <v>second</v>
      </c>
      <c r="V131" t="str">
        <f>Lcode_mapping!W131</f>
        <v>-</v>
      </c>
    </row>
    <row r="132" spans="1:22" ht="15" customHeight="1" x14ac:dyDescent="0.25">
      <c r="A132">
        <f>Lcode_mapping!A132</f>
        <v>335</v>
      </c>
      <c r="B132">
        <f>Lcode_mapping!B132</f>
        <v>2</v>
      </c>
      <c r="C132" t="str">
        <f>Lcode_mapping!D132</f>
        <v>BASELINE</v>
      </c>
      <c r="D132">
        <f>Lcode_mapping!E132</f>
        <v>4</v>
      </c>
      <c r="E132">
        <f>Lcode_mapping!F132</f>
        <v>2</v>
      </c>
      <c r="F132">
        <f>Lcode_mapping!G132</f>
        <v>1</v>
      </c>
      <c r="G132" t="str">
        <f>Lcode_mapping!H132</f>
        <v>A</v>
      </c>
      <c r="H132">
        <f>Lcode_mapping!I132</f>
        <v>1</v>
      </c>
      <c r="I132" t="str">
        <f>Lcode_mapping!J132</f>
        <v>Ref and rem site names.</v>
      </c>
      <c r="J132" t="str">
        <f>Lcode_mapping!K132</f>
        <v>OBs</v>
      </c>
      <c r="K132" t="str">
        <f>Lcode_mapping!L132</f>
        <v>-</v>
      </c>
      <c r="L132" t="str">
        <f>Lcode_mapping!M132</f>
        <v>K</v>
      </c>
      <c r="M132" t="str">
        <f>Lcode_mapping!N132</f>
        <v>NGS</v>
      </c>
      <c r="N132" t="str">
        <f>Lcode_mapping!O132</f>
        <v>Observables</v>
      </c>
      <c r="O132" t="str">
        <f>Lcode_mapping!P132</f>
        <v>Baseline</v>
      </c>
      <c r="P132" t="str">
        <f>Lcode_mapping!Q132</f>
        <v>-</v>
      </c>
      <c r="Q132" t="str">
        <f>Lcode_mapping!R132</f>
        <v>Baseline</v>
      </c>
      <c r="R132" t="str">
        <f>Lcode_mapping!S132</f>
        <v>-</v>
      </c>
      <c r="S132" t="str">
        <f>Lcode_mapping!T132</f>
        <v>-</v>
      </c>
      <c r="T132" t="str">
        <f>Lcode_mapping!U132</f>
        <v>-</v>
      </c>
      <c r="U132" t="str">
        <f>Lcode_mapping!V132</f>
        <v>-</v>
      </c>
      <c r="V132" t="str">
        <f>Lcode_mapping!W132</f>
        <v>-</v>
      </c>
    </row>
    <row r="133" spans="1:22" ht="15" customHeight="1" x14ac:dyDescent="0.25">
      <c r="A133">
        <f>Lcode_mapping!A133</f>
        <v>366</v>
      </c>
      <c r="B133">
        <f>Lcode_mapping!B133</f>
        <v>2</v>
      </c>
      <c r="C133" t="str">
        <f>Lcode_mapping!D133</f>
        <v>COHCOR_S</v>
      </c>
      <c r="D133">
        <f>Lcode_mapping!E133</f>
        <v>1</v>
      </c>
      <c r="E133">
        <f>Lcode_mapping!F133</f>
        <v>1</v>
      </c>
      <c r="F133">
        <f>Lcode_mapping!G133</f>
        <v>1</v>
      </c>
      <c r="G133" t="str">
        <f>Lcode_mapping!H133</f>
        <v>R</v>
      </c>
      <c r="H133">
        <f>Lcode_mapping!I133</f>
        <v>4</v>
      </c>
      <c r="I133" t="str">
        <f>Lcode_mapping!J133</f>
        <v>Corr coeff (0 --&gt; 1) for S-band</v>
      </c>
      <c r="J133" t="str">
        <f>Lcode_mapping!K133</f>
        <v>Obs</v>
      </c>
      <c r="K133" t="str">
        <f>Lcode_mapping!L133</f>
        <v>-</v>
      </c>
      <c r="L133" t="str">
        <f>Lcode_mapping!M133</f>
        <v>K</v>
      </c>
      <c r="M133" t="str">
        <f>Lcode_mapping!N133</f>
        <v>Solve</v>
      </c>
      <c r="N133" t="str">
        <f>Lcode_mapping!O133</f>
        <v>Observables</v>
      </c>
      <c r="O133" t="str">
        <f>Lcode_mapping!P133</f>
        <v>Correlation_bS</v>
      </c>
      <c r="P133" t="str">
        <f>Lcode_mapping!Q133</f>
        <v>-</v>
      </c>
      <c r="Q133" t="str">
        <f>Lcode_mapping!R133</f>
        <v>Correlation</v>
      </c>
      <c r="R133" t="str">
        <f>Lcode_mapping!S133</f>
        <v>-</v>
      </c>
      <c r="S133" t="str">
        <f>Lcode_mapping!T133</f>
        <v>-</v>
      </c>
      <c r="T133" t="str">
        <f>Lcode_mapping!U133</f>
        <v>-</v>
      </c>
      <c r="U133" t="str">
        <f>Lcode_mapping!V133</f>
        <v>-</v>
      </c>
      <c r="V133" t="str">
        <f>Lcode_mapping!W133</f>
        <v>-</v>
      </c>
    </row>
    <row r="134" spans="1:22" ht="15" customHeight="1" x14ac:dyDescent="0.25">
      <c r="A134">
        <f>Lcode_mapping!A134</f>
        <v>369</v>
      </c>
      <c r="B134">
        <f>Lcode_mapping!B134</f>
        <v>2</v>
      </c>
      <c r="C134" t="str">
        <f>Lcode_mapping!D134</f>
        <v>COHERCOR</v>
      </c>
      <c r="D134">
        <f>Lcode_mapping!E134</f>
        <v>1</v>
      </c>
      <c r="E134">
        <f>Lcode_mapping!F134</f>
        <v>1</v>
      </c>
      <c r="F134">
        <f>Lcode_mapping!G134</f>
        <v>1</v>
      </c>
      <c r="G134" t="str">
        <f>Lcode_mapping!H134</f>
        <v>R</v>
      </c>
      <c r="H134">
        <f>Lcode_mapping!I134</f>
        <v>1</v>
      </c>
      <c r="I134" t="str">
        <f>Lcode_mapping!J134</f>
        <v>Corr coeff (0 --&gt; 1).</v>
      </c>
      <c r="J134" t="str">
        <f>Lcode_mapping!K134</f>
        <v>Obs</v>
      </c>
      <c r="K134" t="str">
        <f>Lcode_mapping!L134</f>
        <v>-</v>
      </c>
      <c r="L134" t="str">
        <f>Lcode_mapping!M134</f>
        <v>K</v>
      </c>
      <c r="M134" t="str">
        <f>Lcode_mapping!N134</f>
        <v>Solve</v>
      </c>
      <c r="N134" t="str">
        <f>Lcode_mapping!O134</f>
        <v>Observables</v>
      </c>
      <c r="O134" t="str">
        <f>Lcode_mapping!P134</f>
        <v>Correlation_bX</v>
      </c>
      <c r="P134" t="str">
        <f>Lcode_mapping!Q134</f>
        <v>-</v>
      </c>
      <c r="Q134" t="str">
        <f>Lcode_mapping!R134</f>
        <v>Correlation</v>
      </c>
      <c r="R134" t="str">
        <f>Lcode_mapping!S134</f>
        <v>-</v>
      </c>
      <c r="S134" t="str">
        <f>Lcode_mapping!T134</f>
        <v>-</v>
      </c>
      <c r="T134" t="str">
        <f>Lcode_mapping!U134</f>
        <v>-</v>
      </c>
      <c r="U134" t="str">
        <f>Lcode_mapping!V134</f>
        <v>-</v>
      </c>
      <c r="V134" t="str">
        <f>Lcode_mapping!W134</f>
        <v>-</v>
      </c>
    </row>
    <row r="135" spans="1:22" ht="15" customHeight="1" x14ac:dyDescent="0.25">
      <c r="A135">
        <f>Lcode_mapping!A135</f>
        <v>382</v>
      </c>
      <c r="B135">
        <f>Lcode_mapping!B135</f>
        <v>3</v>
      </c>
      <c r="C135" t="str">
        <f>Lcode_mapping!D135</f>
        <v>ABASACCE</v>
      </c>
      <c r="D135">
        <f>Lcode_mapping!E135</f>
        <v>1</v>
      </c>
      <c r="E135">
        <f>Lcode_mapping!F135</f>
        <v>1</v>
      </c>
      <c r="F135">
        <f>Lcode_mapping!G135</f>
        <v>1</v>
      </c>
      <c r="G135" t="str">
        <f>Lcode_mapping!H135</f>
        <v>R</v>
      </c>
      <c r="H135">
        <f>Lcode_mapping!I135</f>
        <v>1</v>
      </c>
      <c r="I135" t="str">
        <f>Lcode_mapping!J135</f>
        <v>Corel bas/apr accel (1/sec**2).</v>
      </c>
      <c r="J135" t="str">
        <f>Lcode_mapping!K135</f>
        <v>Obs</v>
      </c>
      <c r="K135" t="str">
        <f>Lcode_mapping!L135</f>
        <v>-</v>
      </c>
      <c r="L135" t="str">
        <f>Lcode_mapping!M135</f>
        <v>K</v>
      </c>
      <c r="M135" t="str">
        <f>Lcode_mapping!N135</f>
        <v>-</v>
      </c>
      <c r="N135" t="str">
        <f>Lcode_mapping!O135</f>
        <v>Observables</v>
      </c>
      <c r="O135" t="str">
        <f>Lcode_mapping!P135</f>
        <v>CorrInfo_bX</v>
      </c>
      <c r="P135" t="str">
        <f>Lcode_mapping!Q135</f>
        <v>-</v>
      </c>
      <c r="Q135" t="str">
        <f>Lcode_mapping!R135</f>
        <v>-</v>
      </c>
      <c r="R135" t="str">
        <f>Lcode_mapping!S135</f>
        <v>-</v>
      </c>
      <c r="S135" t="str">
        <f>Lcode_mapping!T135</f>
        <v>-</v>
      </c>
      <c r="T135" t="str">
        <f>Lcode_mapping!U135</f>
        <v>-</v>
      </c>
      <c r="U135" t="str">
        <f>Lcode_mapping!V135</f>
        <v>-</v>
      </c>
      <c r="V135" t="str">
        <f>Lcode_mapping!W135</f>
        <v>-</v>
      </c>
    </row>
    <row r="136" spans="1:22" ht="15" customHeight="1" x14ac:dyDescent="0.25">
      <c r="A136">
        <f>Lcode_mapping!A136</f>
        <v>383</v>
      </c>
      <c r="B136">
        <f>Lcode_mapping!B136</f>
        <v>3</v>
      </c>
      <c r="C136" t="str">
        <f>Lcode_mapping!D136</f>
        <v>ABASDEL</v>
      </c>
      <c r="D136">
        <f>Lcode_mapping!E136</f>
        <v>1</v>
      </c>
      <c r="E136">
        <f>Lcode_mapping!F136</f>
        <v>1</v>
      </c>
      <c r="F136">
        <f>Lcode_mapping!G136</f>
        <v>1</v>
      </c>
      <c r="G136" t="str">
        <f>Lcode_mapping!H136</f>
        <v>R</v>
      </c>
      <c r="H136">
        <f>Lcode_mapping!I136</f>
        <v>1</v>
      </c>
      <c r="I136" t="str">
        <f>Lcode_mapping!J136</f>
        <v>Corel bas/apr delay (sec).</v>
      </c>
      <c r="J136" t="str">
        <f>Lcode_mapping!K136</f>
        <v>Obs</v>
      </c>
      <c r="K136" t="str">
        <f>Lcode_mapping!L136</f>
        <v>-</v>
      </c>
      <c r="L136" t="str">
        <f>Lcode_mapping!M136</f>
        <v>K</v>
      </c>
      <c r="M136" t="str">
        <f>Lcode_mapping!N136</f>
        <v>-</v>
      </c>
      <c r="N136" t="str">
        <f>Lcode_mapping!O136</f>
        <v>Observables</v>
      </c>
      <c r="O136" t="str">
        <f>Lcode_mapping!P136</f>
        <v>CorrInfo_bX</v>
      </c>
      <c r="P136" t="str">
        <f>Lcode_mapping!Q136</f>
        <v>-</v>
      </c>
      <c r="Q136" t="str">
        <f>Lcode_mapping!R136</f>
        <v>-</v>
      </c>
      <c r="R136" t="str">
        <f>Lcode_mapping!S136</f>
        <v>-</v>
      </c>
      <c r="S136" t="str">
        <f>Lcode_mapping!T136</f>
        <v>-</v>
      </c>
      <c r="T136" t="str">
        <f>Lcode_mapping!U136</f>
        <v>-</v>
      </c>
      <c r="U136" t="str">
        <f>Lcode_mapping!V136</f>
        <v>-</v>
      </c>
      <c r="V136" t="str">
        <f>Lcode_mapping!W136</f>
        <v>-</v>
      </c>
    </row>
    <row r="137" spans="1:22" ht="15" customHeight="1" x14ac:dyDescent="0.25">
      <c r="A137">
        <f>Lcode_mapping!A137</f>
        <v>384</v>
      </c>
      <c r="B137">
        <f>Lcode_mapping!B137</f>
        <v>3</v>
      </c>
      <c r="C137" t="str">
        <f>Lcode_mapping!D137</f>
        <v>ABASRATE</v>
      </c>
      <c r="D137">
        <f>Lcode_mapping!E137</f>
        <v>1</v>
      </c>
      <c r="E137">
        <f>Lcode_mapping!F137</f>
        <v>1</v>
      </c>
      <c r="F137">
        <f>Lcode_mapping!G137</f>
        <v>1</v>
      </c>
      <c r="G137" t="str">
        <f>Lcode_mapping!H137</f>
        <v>R</v>
      </c>
      <c r="H137">
        <f>Lcode_mapping!I137</f>
        <v>1</v>
      </c>
      <c r="I137" t="str">
        <f>Lcode_mapping!J137</f>
        <v>Corel bas/apr delay rate (s/s).</v>
      </c>
      <c r="J137" t="str">
        <f>Lcode_mapping!K137</f>
        <v>Obs</v>
      </c>
      <c r="K137" t="str">
        <f>Lcode_mapping!L137</f>
        <v>-</v>
      </c>
      <c r="L137" t="str">
        <f>Lcode_mapping!M137</f>
        <v>K</v>
      </c>
      <c r="M137" t="str">
        <f>Lcode_mapping!N137</f>
        <v>-</v>
      </c>
      <c r="N137" t="str">
        <f>Lcode_mapping!O137</f>
        <v>Observables</v>
      </c>
      <c r="O137" t="str">
        <f>Lcode_mapping!P137</f>
        <v>CorrInfo_bX</v>
      </c>
      <c r="P137" t="str">
        <f>Lcode_mapping!Q137</f>
        <v>-</v>
      </c>
      <c r="Q137" t="str">
        <f>Lcode_mapping!R137</f>
        <v>-</v>
      </c>
      <c r="R137" t="str">
        <f>Lcode_mapping!S137</f>
        <v>-</v>
      </c>
      <c r="S137" t="str">
        <f>Lcode_mapping!T137</f>
        <v>-</v>
      </c>
      <c r="T137" t="str">
        <f>Lcode_mapping!U137</f>
        <v>-</v>
      </c>
      <c r="U137" t="str">
        <f>Lcode_mapping!V137</f>
        <v>-</v>
      </c>
      <c r="V137" t="str">
        <f>Lcode_mapping!W137</f>
        <v>-</v>
      </c>
    </row>
    <row r="138" spans="1:22" ht="15" customHeight="1" x14ac:dyDescent="0.25">
      <c r="A138">
        <f>Lcode_mapping!A138</f>
        <v>386</v>
      </c>
      <c r="B138">
        <f>Lcode_mapping!B138</f>
        <v>3</v>
      </c>
      <c r="C138" t="str">
        <f>Lcode_mapping!D138</f>
        <v>APCLOFST</v>
      </c>
      <c r="D138">
        <f>Lcode_mapping!E138</f>
        <v>1</v>
      </c>
      <c r="E138">
        <f>Lcode_mapping!F138</f>
        <v>1</v>
      </c>
      <c r="F138">
        <f>Lcode_mapping!G138</f>
        <v>1</v>
      </c>
      <c r="G138" t="str">
        <f>Lcode_mapping!H138</f>
        <v>R</v>
      </c>
      <c r="H138" t="str">
        <f>Lcode_mapping!I138</f>
        <v>x</v>
      </c>
      <c r="I138" t="str">
        <f>Lcode_mapping!J138</f>
        <v xml:space="preserve">Apriori clock offset microsec. </v>
      </c>
      <c r="J138" t="str">
        <f>Lcode_mapping!K138</f>
        <v>Obs</v>
      </c>
      <c r="K138" t="str">
        <f>Lcode_mapping!L138</f>
        <v>-</v>
      </c>
      <c r="L138" t="str">
        <f>Lcode_mapping!M138</f>
        <v>K</v>
      </c>
      <c r="M138" t="str">
        <f>Lcode_mapping!N138</f>
        <v>-</v>
      </c>
      <c r="N138" t="str">
        <f>Lcode_mapping!O138</f>
        <v>Observables</v>
      </c>
      <c r="O138" t="str">
        <f>Lcode_mapping!P138</f>
        <v>CorrInfo_bX</v>
      </c>
      <c r="P138" t="str">
        <f>Lcode_mapping!Q138</f>
        <v>-</v>
      </c>
      <c r="Q138" t="str">
        <f>Lcode_mapping!R138</f>
        <v>-</v>
      </c>
      <c r="R138" t="str">
        <f>Lcode_mapping!S138</f>
        <v>-</v>
      </c>
      <c r="S138" t="str">
        <f>Lcode_mapping!T138</f>
        <v>-</v>
      </c>
      <c r="T138" t="str">
        <f>Lcode_mapping!U138</f>
        <v>-</v>
      </c>
      <c r="U138" t="str">
        <f>Lcode_mapping!V138</f>
        <v>-</v>
      </c>
      <c r="V138" t="str">
        <f>Lcode_mapping!W138</f>
        <v>-</v>
      </c>
    </row>
    <row r="139" spans="1:22" ht="15" customHeight="1" x14ac:dyDescent="0.25">
      <c r="A139">
        <f>Lcode_mapping!A139</f>
        <v>387</v>
      </c>
      <c r="B139">
        <f>Lcode_mapping!B139</f>
        <v>3</v>
      </c>
      <c r="C139" t="str">
        <f>Lcode_mapping!D139</f>
        <v>AUTOEDIT</v>
      </c>
      <c r="D139">
        <f>Lcode_mapping!E139</f>
        <v>1</v>
      </c>
      <c r="E139">
        <f>Lcode_mapping!F139</f>
        <v>1</v>
      </c>
      <c r="F139">
        <f>Lcode_mapping!G139</f>
        <v>1</v>
      </c>
      <c r="G139" t="str">
        <f>Lcode_mapping!H139</f>
        <v>I</v>
      </c>
      <c r="H139" t="str">
        <f>Lcode_mapping!I139</f>
        <v>x</v>
      </c>
      <c r="I139" t="str">
        <f>Lcode_mapping!J139</f>
        <v xml:space="preserve">1=Run resulted from AUTOEDIT. </v>
      </c>
      <c r="J139" t="str">
        <f>Lcode_mapping!K139</f>
        <v>Obs</v>
      </c>
      <c r="K139" t="str">
        <f>Lcode_mapping!L139</f>
        <v>-</v>
      </c>
      <c r="L139" t="str">
        <f>Lcode_mapping!M139</f>
        <v>K</v>
      </c>
      <c r="M139" t="str">
        <f>Lcode_mapping!N139</f>
        <v>-</v>
      </c>
      <c r="N139" t="str">
        <f>Lcode_mapping!O139</f>
        <v>Observables</v>
      </c>
      <c r="O139" t="str">
        <f>Lcode_mapping!P139</f>
        <v>CorrInfo_bX</v>
      </c>
      <c r="P139" t="str">
        <f>Lcode_mapping!Q139</f>
        <v>-</v>
      </c>
      <c r="Q139" t="str">
        <f>Lcode_mapping!R139</f>
        <v>-</v>
      </c>
      <c r="R139" t="str">
        <f>Lcode_mapping!S139</f>
        <v>-</v>
      </c>
      <c r="S139" t="str">
        <f>Lcode_mapping!T139</f>
        <v>-</v>
      </c>
      <c r="T139" t="str">
        <f>Lcode_mapping!U139</f>
        <v>-</v>
      </c>
      <c r="U139" t="str">
        <f>Lcode_mapping!V139</f>
        <v>-</v>
      </c>
      <c r="V139" t="str">
        <f>Lcode_mapping!W139</f>
        <v>-</v>
      </c>
    </row>
    <row r="140" spans="1:22" ht="15" customHeight="1" x14ac:dyDescent="0.25">
      <c r="A140">
        <f>Lcode_mapping!A140</f>
        <v>388</v>
      </c>
      <c r="B140">
        <f>Lcode_mapping!B140</f>
        <v>2</v>
      </c>
      <c r="C140" t="str">
        <f>Lcode_mapping!D140</f>
        <v>BBC IND</v>
      </c>
      <c r="D140">
        <f>Lcode_mapping!E140</f>
        <v>2</v>
      </c>
      <c r="E140">
        <f>Lcode_mapping!F140</f>
        <v>16</v>
      </c>
      <c r="F140">
        <f>Lcode_mapping!G140</f>
        <v>1</v>
      </c>
      <c r="G140" t="str">
        <f>Lcode_mapping!H140</f>
        <v>I</v>
      </c>
      <c r="H140">
        <f>Lcode_mapping!I140</f>
        <v>1</v>
      </c>
      <c r="I140" t="str">
        <f>Lcode_mapping!J140</f>
        <v>Physical BBC number by channel.</v>
      </c>
      <c r="J140" t="str">
        <f>Lcode_mapping!K140</f>
        <v>Obs</v>
      </c>
      <c r="K140" t="str">
        <f>Lcode_mapping!L140</f>
        <v>-</v>
      </c>
      <c r="L140" t="str">
        <f>Lcode_mapping!M140</f>
        <v>K</v>
      </c>
      <c r="M140" t="str">
        <f>Lcode_mapping!N140</f>
        <v>-</v>
      </c>
      <c r="N140" t="str">
        <f>Lcode_mapping!O140</f>
        <v>Observables</v>
      </c>
      <c r="O140" t="str">
        <f>Lcode_mapping!P140</f>
        <v>CorrInfo_bX</v>
      </c>
      <c r="P140" t="str">
        <f>Lcode_mapping!Q140</f>
        <v>-</v>
      </c>
      <c r="Q140" t="str">
        <f>Lcode_mapping!R140</f>
        <v>BBCIndex</v>
      </c>
      <c r="R140" t="str">
        <f>Lcode_mapping!S140</f>
        <v>-</v>
      </c>
      <c r="S140" t="str">
        <f>Lcode_mapping!T140</f>
        <v>-</v>
      </c>
      <c r="T140" t="str">
        <f>Lcode_mapping!U140</f>
        <v>-</v>
      </c>
      <c r="U140" t="str">
        <f>Lcode_mapping!V140</f>
        <v>-</v>
      </c>
      <c r="V140" t="str">
        <f>Lcode_mapping!W140</f>
        <v>-</v>
      </c>
    </row>
    <row r="141" spans="1:22" ht="15" customHeight="1" x14ac:dyDescent="0.25">
      <c r="A141">
        <f>Lcode_mapping!A141</f>
        <v>389</v>
      </c>
      <c r="B141">
        <f>Lcode_mapping!B141</f>
        <v>2</v>
      </c>
      <c r="C141" t="str">
        <f>Lcode_mapping!D141</f>
        <v>BITSAMPL</v>
      </c>
      <c r="D141">
        <f>Lcode_mapping!E141</f>
        <v>1</v>
      </c>
      <c r="E141">
        <f>Lcode_mapping!F141</f>
        <v>1</v>
      </c>
      <c r="F141">
        <f>Lcode_mapping!G141</f>
        <v>1</v>
      </c>
      <c r="G141" t="str">
        <f>Lcode_mapping!H141</f>
        <v>I</v>
      </c>
      <c r="H141">
        <f>Lcode_mapping!I141</f>
        <v>0</v>
      </c>
      <c r="I141" t="str">
        <f>Lcode_mapping!J141</f>
        <v xml:space="preserve">Number of bits per sample. </v>
      </c>
      <c r="J141" t="str">
        <f>Lcode_mapping!K141</f>
        <v>Obs</v>
      </c>
      <c r="K141" t="str">
        <f>Lcode_mapping!L141</f>
        <v>-</v>
      </c>
      <c r="L141" t="str">
        <f>Lcode_mapping!M141</f>
        <v>K</v>
      </c>
      <c r="M141" t="str">
        <f>Lcode_mapping!N141</f>
        <v>-</v>
      </c>
      <c r="N141" t="str">
        <f>Lcode_mapping!O141</f>
        <v>Observables</v>
      </c>
      <c r="O141" t="str">
        <f>Lcode_mapping!P141</f>
        <v>CorrInfo_bX</v>
      </c>
      <c r="P141" t="str">
        <f>Lcode_mapping!Q141</f>
        <v>-</v>
      </c>
      <c r="Q141" t="str">
        <f>Lcode_mapping!R141</f>
        <v>-</v>
      </c>
      <c r="R141" t="str">
        <f>Lcode_mapping!S141</f>
        <v>-</v>
      </c>
      <c r="S141" t="str">
        <f>Lcode_mapping!T141</f>
        <v>-</v>
      </c>
      <c r="T141" t="str">
        <f>Lcode_mapping!U141</f>
        <v>-</v>
      </c>
      <c r="U141" t="str">
        <f>Lcode_mapping!V141</f>
        <v>-</v>
      </c>
      <c r="V141" t="str">
        <f>Lcode_mapping!W141</f>
        <v>-</v>
      </c>
    </row>
    <row r="142" spans="1:22" ht="15" customHeight="1" x14ac:dyDescent="0.25">
      <c r="A142">
        <f>Lcode_mapping!A142</f>
        <v>385</v>
      </c>
      <c r="B142">
        <f>Lcode_mapping!B142</f>
        <v>2</v>
      </c>
      <c r="C142" t="str">
        <f>Lcode_mapping!D142</f>
        <v>AMPBYFRQ</v>
      </c>
      <c r="D142">
        <f>Lcode_mapping!E142</f>
        <v>2</v>
      </c>
      <c r="E142">
        <f>Lcode_mapping!F142</f>
        <v>16</v>
      </c>
      <c r="F142">
        <f>Lcode_mapping!G142</f>
        <v>1</v>
      </c>
      <c r="G142" t="str">
        <f>Lcode_mapping!H142</f>
        <v>R</v>
      </c>
      <c r="H142">
        <f>Lcode_mapping!I142</f>
        <v>1</v>
      </c>
      <c r="I142" t="str">
        <f>Lcode_mapping!J142</f>
        <v>Amp(0-1)  phs by chan(-180to180)</v>
      </c>
      <c r="J142" t="str">
        <f>Lcode_mapping!K142</f>
        <v>Obs</v>
      </c>
      <c r="K142" t="str">
        <f>Lcode_mapping!L142</f>
        <v>-</v>
      </c>
      <c r="L142" t="str">
        <f>Lcode_mapping!M142</f>
        <v>K</v>
      </c>
      <c r="M142" t="str">
        <f>Lcode_mapping!N142</f>
        <v>-</v>
      </c>
      <c r="N142" t="str">
        <f>Lcode_mapping!O142</f>
        <v>Observables</v>
      </c>
      <c r="O142" t="str">
        <f>Lcode_mapping!P142</f>
        <v>CorrInfo_bX</v>
      </c>
      <c r="P142" t="str">
        <f>Lcode_mapping!Q142</f>
        <v>-</v>
      </c>
      <c r="Q142" t="str">
        <f>Lcode_mapping!R142</f>
        <v>ChanAmpPhase</v>
      </c>
      <c r="R142" t="str">
        <f>Lcode_mapping!S142</f>
        <v>-</v>
      </c>
      <c r="S142" t="str">
        <f>Lcode_mapping!T142</f>
        <v>-</v>
      </c>
      <c r="T142" t="str">
        <f>Lcode_mapping!U142</f>
        <v>-</v>
      </c>
      <c r="U142" t="str">
        <f>Lcode_mapping!V142</f>
        <v>-</v>
      </c>
      <c r="V142" t="str">
        <f>Lcode_mapping!W142</f>
        <v>-</v>
      </c>
    </row>
    <row r="143" spans="1:22" ht="15" customHeight="1" x14ac:dyDescent="0.25">
      <c r="A143">
        <f>Lcode_mapping!A143</f>
        <v>437</v>
      </c>
      <c r="B143">
        <f>Lcode_mapping!B143</f>
        <v>2</v>
      </c>
      <c r="C143" t="str">
        <f>Lcode_mapping!D143</f>
        <v>RFREQ</v>
      </c>
      <c r="D143">
        <f>Lcode_mapping!E143</f>
        <v>16</v>
      </c>
      <c r="E143">
        <f>Lcode_mapping!F143</f>
        <v>1</v>
      </c>
      <c r="F143">
        <f>Lcode_mapping!G143</f>
        <v>1</v>
      </c>
      <c r="G143" t="str">
        <f>Lcode_mapping!H143</f>
        <v>R</v>
      </c>
      <c r="H143">
        <f>Lcode_mapping!I143</f>
        <v>1</v>
      </c>
      <c r="I143" t="str">
        <f>Lcode_mapping!J143</f>
        <v>RF freq by channel (MHz).</v>
      </c>
      <c r="J143" t="str">
        <f>Lcode_mapping!K143</f>
        <v>Obs</v>
      </c>
      <c r="K143" t="str">
        <f>Lcode_mapping!L143</f>
        <v>-</v>
      </c>
      <c r="L143" t="str">
        <f>Lcode_mapping!M143</f>
        <v>K</v>
      </c>
      <c r="M143" t="str">
        <f>Lcode_mapping!N143</f>
        <v>-</v>
      </c>
      <c r="N143" t="str">
        <f>Lcode_mapping!O143</f>
        <v>Observables</v>
      </c>
      <c r="O143" t="str">
        <f>Lcode_mapping!P143</f>
        <v>CorrInfo_bX</v>
      </c>
      <c r="P143" t="str">
        <f>Lcode_mapping!Q143</f>
        <v>-</v>
      </c>
      <c r="Q143" t="str">
        <f>Lcode_mapping!R143</f>
        <v>ChannelFreq</v>
      </c>
      <c r="R143" t="str">
        <f>Lcode_mapping!S143</f>
        <v>-</v>
      </c>
      <c r="S143" t="str">
        <f>Lcode_mapping!T143</f>
        <v>-</v>
      </c>
      <c r="T143" t="str">
        <f>Lcode_mapping!U143</f>
        <v>-</v>
      </c>
      <c r="U143" t="str">
        <f>Lcode_mapping!V143</f>
        <v>Mhz</v>
      </c>
      <c r="V143" t="str">
        <f>Lcode_mapping!W143</f>
        <v>-</v>
      </c>
    </row>
    <row r="144" spans="1:22" ht="15" customHeight="1" x14ac:dyDescent="0.25">
      <c r="A144">
        <f>Lcode_mapping!A144</f>
        <v>391</v>
      </c>
      <c r="B144">
        <f>Lcode_mapping!B144</f>
        <v>3</v>
      </c>
      <c r="C144" t="str">
        <f>Lcode_mapping!D144</f>
        <v>CHAN ID</v>
      </c>
      <c r="D144">
        <f>Lcode_mapping!E144</f>
        <v>16</v>
      </c>
      <c r="E144">
        <f>Lcode_mapping!F144</f>
        <v>1</v>
      </c>
      <c r="F144">
        <f>Lcode_mapping!G144</f>
        <v>1</v>
      </c>
      <c r="G144" t="str">
        <f>Lcode_mapping!H144</f>
        <v>A</v>
      </c>
      <c r="H144">
        <f>Lcode_mapping!I144</f>
        <v>1</v>
      </c>
      <c r="I144" t="str">
        <f>Lcode_mapping!J144</f>
        <v>One-letter Fourfit channel ID.</v>
      </c>
      <c r="J144" t="str">
        <f>Lcode_mapping!K144</f>
        <v>Obs</v>
      </c>
      <c r="K144" t="str">
        <f>Lcode_mapping!L144</f>
        <v>-</v>
      </c>
      <c r="L144" t="str">
        <f>Lcode_mapping!M144</f>
        <v>K</v>
      </c>
      <c r="M144" t="str">
        <f>Lcode_mapping!N144</f>
        <v>-</v>
      </c>
      <c r="N144" t="str">
        <f>Lcode_mapping!O144</f>
        <v>Observables</v>
      </c>
      <c r="O144" t="str">
        <f>Lcode_mapping!P144</f>
        <v>CorrInfo_bX</v>
      </c>
      <c r="P144" t="str">
        <f>Lcode_mapping!Q144</f>
        <v>-</v>
      </c>
      <c r="Q144" t="str">
        <f>Lcode_mapping!R144</f>
        <v>ChannelID</v>
      </c>
      <c r="R144" t="str">
        <f>Lcode_mapping!S144</f>
        <v>-</v>
      </c>
      <c r="S144" t="str">
        <f>Lcode_mapping!T144</f>
        <v>-</v>
      </c>
      <c r="T144" t="str">
        <f>Lcode_mapping!U144</f>
        <v>-</v>
      </c>
      <c r="U144" t="str">
        <f>Lcode_mapping!V144</f>
        <v>-</v>
      </c>
      <c r="V144" t="str">
        <f>Lcode_mapping!W144</f>
        <v>-</v>
      </c>
    </row>
    <row r="145" spans="1:22" ht="15" customHeight="1" x14ac:dyDescent="0.25">
      <c r="A145">
        <f>Lcode_mapping!A145</f>
        <v>392</v>
      </c>
      <c r="B145">
        <f>Lcode_mapping!B145</f>
        <v>3</v>
      </c>
      <c r="C145" t="str">
        <f>Lcode_mapping!D145</f>
        <v>CORBASCD</v>
      </c>
      <c r="D145">
        <f>Lcode_mapping!E145</f>
        <v>1</v>
      </c>
      <c r="E145">
        <f>Lcode_mapping!F145</f>
        <v>1</v>
      </c>
      <c r="F145">
        <f>Lcode_mapping!G145</f>
        <v>1</v>
      </c>
      <c r="G145" t="str">
        <f>Lcode_mapping!H145</f>
        <v>A</v>
      </c>
      <c r="H145">
        <f>Lcode_mapping!I145</f>
        <v>1</v>
      </c>
      <c r="I145" t="str">
        <f>Lcode_mapping!J145</f>
        <v>Correlator baseline code (2 ch).</v>
      </c>
      <c r="J145" t="str">
        <f>Lcode_mapping!K145</f>
        <v>Obs</v>
      </c>
      <c r="K145" t="str">
        <f>Lcode_mapping!L145</f>
        <v>-</v>
      </c>
      <c r="L145" t="str">
        <f>Lcode_mapping!M145</f>
        <v>K</v>
      </c>
      <c r="M145" t="str">
        <f>Lcode_mapping!N145</f>
        <v>-</v>
      </c>
      <c r="N145" t="str">
        <f>Lcode_mapping!O145</f>
        <v>Observables</v>
      </c>
      <c r="O145" t="str">
        <f>Lcode_mapping!P145</f>
        <v>CorrInfo_bX</v>
      </c>
      <c r="P145" t="str">
        <f>Lcode_mapping!Q145</f>
        <v>-</v>
      </c>
      <c r="Q145" t="str">
        <f>Lcode_mapping!R145</f>
        <v>-</v>
      </c>
      <c r="R145" t="str">
        <f>Lcode_mapping!S145</f>
        <v>-</v>
      </c>
      <c r="S145" t="str">
        <f>Lcode_mapping!T145</f>
        <v>-</v>
      </c>
      <c r="T145" t="str">
        <f>Lcode_mapping!U145</f>
        <v>-</v>
      </c>
      <c r="U145" t="str">
        <f>Lcode_mapping!V145</f>
        <v>-</v>
      </c>
      <c r="V145" t="str">
        <f>Lcode_mapping!W145</f>
        <v>-</v>
      </c>
    </row>
    <row r="146" spans="1:22" ht="15" customHeight="1" x14ac:dyDescent="0.25">
      <c r="A146">
        <f>Lcode_mapping!A146</f>
        <v>393</v>
      </c>
      <c r="B146">
        <f>Lcode_mapping!B146</f>
        <v>3</v>
      </c>
      <c r="C146" t="str">
        <f>Lcode_mapping!D146</f>
        <v>CORBASNO</v>
      </c>
      <c r="D146">
        <f>Lcode_mapping!E146</f>
        <v>1</v>
      </c>
      <c r="E146">
        <f>Lcode_mapping!F146</f>
        <v>1</v>
      </c>
      <c r="F146">
        <f>Lcode_mapping!G146</f>
        <v>1</v>
      </c>
      <c r="G146" t="str">
        <f>Lcode_mapping!H146</f>
        <v>I</v>
      </c>
      <c r="H146" t="str">
        <f>Lcode_mapping!I146</f>
        <v>x</v>
      </c>
      <c r="I146" t="str">
        <f>Lcode_mapping!J146</f>
        <v xml:space="preserve">Correlator baseline number. </v>
      </c>
      <c r="J146" t="str">
        <f>Lcode_mapping!K146</f>
        <v>Obs</v>
      </c>
      <c r="K146" t="str">
        <f>Lcode_mapping!L146</f>
        <v>-</v>
      </c>
      <c r="L146" t="str">
        <f>Lcode_mapping!M146</f>
        <v>K</v>
      </c>
      <c r="M146" t="str">
        <f>Lcode_mapping!N146</f>
        <v>-</v>
      </c>
      <c r="N146" t="str">
        <f>Lcode_mapping!O146</f>
        <v>Observables</v>
      </c>
      <c r="O146" t="str">
        <f>Lcode_mapping!P146</f>
        <v>CorrInfo_bX</v>
      </c>
      <c r="P146" t="str">
        <f>Lcode_mapping!Q146</f>
        <v>-</v>
      </c>
      <c r="Q146" t="str">
        <f>Lcode_mapping!R146</f>
        <v>-</v>
      </c>
      <c r="R146" t="str">
        <f>Lcode_mapping!S146</f>
        <v>-</v>
      </c>
      <c r="S146" t="str">
        <f>Lcode_mapping!T146</f>
        <v>-</v>
      </c>
      <c r="T146" t="str">
        <f>Lcode_mapping!U146</f>
        <v>-</v>
      </c>
      <c r="U146" t="str">
        <f>Lcode_mapping!V146</f>
        <v>-</v>
      </c>
      <c r="V146" t="str">
        <f>Lcode_mapping!W146</f>
        <v>-</v>
      </c>
    </row>
    <row r="147" spans="1:22" ht="15" customHeight="1" x14ac:dyDescent="0.25">
      <c r="A147">
        <f>Lcode_mapping!A147</f>
        <v>394</v>
      </c>
      <c r="B147">
        <f>Lcode_mapping!B147</f>
        <v>3</v>
      </c>
      <c r="C147" t="str">
        <f>Lcode_mapping!D147</f>
        <v>CORCLOCK</v>
      </c>
      <c r="D147">
        <f>Lcode_mapping!E147</f>
        <v>2</v>
      </c>
      <c r="E147">
        <f>Lcode_mapping!F147</f>
        <v>2</v>
      </c>
      <c r="F147">
        <f>Lcode_mapping!G147</f>
        <v>1</v>
      </c>
      <c r="G147" t="str">
        <f>Lcode_mapping!H147</f>
        <v>R</v>
      </c>
      <c r="H147">
        <f>Lcode_mapping!I147</f>
        <v>1</v>
      </c>
      <c r="I147" t="str">
        <f>Lcode_mapping!J147</f>
        <v>Clock offset(sec)/rate(sec/sec).</v>
      </c>
      <c r="J147" t="str">
        <f>Lcode_mapping!K147</f>
        <v>Obs</v>
      </c>
      <c r="K147" t="str">
        <f>Lcode_mapping!L147</f>
        <v>-</v>
      </c>
      <c r="L147" t="str">
        <f>Lcode_mapping!M147</f>
        <v>K</v>
      </c>
      <c r="M147" t="str">
        <f>Lcode_mapping!N147</f>
        <v>-</v>
      </c>
      <c r="N147" t="str">
        <f>Lcode_mapping!O147</f>
        <v>Observables</v>
      </c>
      <c r="O147" t="str">
        <f>Lcode_mapping!P147</f>
        <v>CorrInfo_bX</v>
      </c>
      <c r="P147" t="str">
        <f>Lcode_mapping!Q147</f>
        <v>-</v>
      </c>
      <c r="Q147" t="str">
        <f>Lcode_mapping!R147</f>
        <v>-</v>
      </c>
      <c r="R147" t="str">
        <f>Lcode_mapping!S147</f>
        <v>-</v>
      </c>
      <c r="S147" t="str">
        <f>Lcode_mapping!T147</f>
        <v>-</v>
      </c>
      <c r="T147" t="str">
        <f>Lcode_mapping!U147</f>
        <v>-</v>
      </c>
      <c r="U147" t="str">
        <f>Lcode_mapping!V147</f>
        <v>-</v>
      </c>
      <c r="V147" t="str">
        <f>Lcode_mapping!W147</f>
        <v>-</v>
      </c>
    </row>
    <row r="148" spans="1:22" ht="15" customHeight="1" x14ac:dyDescent="0.25">
      <c r="A148">
        <f>Lcode_mapping!A148</f>
        <v>459</v>
      </c>
      <c r="B148">
        <f>Lcode_mapping!B148</f>
        <v>2</v>
      </c>
      <c r="C148" t="str">
        <f>Lcode_mapping!D148</f>
        <v>CCOR ERR</v>
      </c>
      <c r="D148">
        <f>Lcode_mapping!E148</f>
        <v>1</v>
      </c>
      <c r="E148">
        <f>Lcode_mapping!F148</f>
        <v>1</v>
      </c>
      <c r="F148">
        <f>Lcode_mapping!G148</f>
        <v>1</v>
      </c>
      <c r="G148" t="str">
        <f>Lcode_mapping!H148</f>
        <v>R</v>
      </c>
      <c r="H148">
        <f>Lcode_mapping!I148</f>
        <v>1</v>
      </c>
      <c r="I148" t="str">
        <f>Lcode_mapping!J148</f>
        <v>Corr. Coeff. formal error</v>
      </c>
      <c r="J148" t="str">
        <f>Lcode_mapping!K148</f>
        <v>Obs</v>
      </c>
      <c r="K148" t="str">
        <f>Lcode_mapping!L148</f>
        <v>-</v>
      </c>
      <c r="L148" t="str">
        <f>Lcode_mapping!M148</f>
        <v>K</v>
      </c>
      <c r="M148" t="str">
        <f>Lcode_mapping!N148</f>
        <v>-</v>
      </c>
      <c r="N148" t="str">
        <f>Lcode_mapping!O148</f>
        <v>Observables</v>
      </c>
      <c r="O148" t="str">
        <f>Lcode_mapping!P148</f>
        <v>CorrInfo_bX</v>
      </c>
      <c r="P148" t="str">
        <f>Lcode_mapping!Q148</f>
        <v>-</v>
      </c>
      <c r="Q148" t="str">
        <f>Lcode_mapping!R148</f>
        <v>CorCofErr</v>
      </c>
      <c r="R148" t="str">
        <f>Lcode_mapping!S148</f>
        <v>-</v>
      </c>
      <c r="S148" t="str">
        <f>Lcode_mapping!T148</f>
        <v>-</v>
      </c>
      <c r="T148" t="str">
        <f>Lcode_mapping!U148</f>
        <v>-</v>
      </c>
      <c r="U148" t="str">
        <f>Lcode_mapping!V148</f>
        <v>-</v>
      </c>
      <c r="V148" t="str">
        <f>Lcode_mapping!W148</f>
        <v>-</v>
      </c>
    </row>
    <row r="149" spans="1:22" ht="15" customHeight="1" x14ac:dyDescent="0.25">
      <c r="A149">
        <f>Lcode_mapping!A149</f>
        <v>395</v>
      </c>
      <c r="B149">
        <f>Lcode_mapping!B149</f>
        <v>3</v>
      </c>
      <c r="C149" t="str">
        <f>Lcode_mapping!D149</f>
        <v>CORELVER</v>
      </c>
      <c r="D149">
        <f>Lcode_mapping!E149</f>
        <v>1</v>
      </c>
      <c r="E149">
        <f>Lcode_mapping!F149</f>
        <v>1</v>
      </c>
      <c r="F149">
        <f>Lcode_mapping!G149</f>
        <v>1</v>
      </c>
      <c r="G149" t="str">
        <f>Lcode_mapping!H149</f>
        <v>I</v>
      </c>
      <c r="H149">
        <f>Lcode_mapping!I149</f>
        <v>1</v>
      </c>
      <c r="I149" t="str">
        <f>Lcode_mapping!J149</f>
        <v>Correlator software version numb</v>
      </c>
      <c r="J149" t="str">
        <f>Lcode_mapping!K149</f>
        <v>Obs</v>
      </c>
      <c r="K149" t="str">
        <f>Lcode_mapping!L149</f>
        <v>-</v>
      </c>
      <c r="L149" t="str">
        <f>Lcode_mapping!M149</f>
        <v>K</v>
      </c>
      <c r="M149" t="str">
        <f>Lcode_mapping!N149</f>
        <v>-</v>
      </c>
      <c r="N149" t="str">
        <f>Lcode_mapping!O149</f>
        <v>Observables</v>
      </c>
      <c r="O149" t="str">
        <f>Lcode_mapping!P149</f>
        <v>CorrInfo_bX</v>
      </c>
      <c r="P149" t="str">
        <f>Lcode_mapping!Q149</f>
        <v>-</v>
      </c>
      <c r="Q149" t="str">
        <f>Lcode_mapping!R149</f>
        <v>-</v>
      </c>
      <c r="R149" t="str">
        <f>Lcode_mapping!S149</f>
        <v>-</v>
      </c>
      <c r="S149" t="str">
        <f>Lcode_mapping!T149</f>
        <v>-</v>
      </c>
      <c r="T149" t="str">
        <f>Lcode_mapping!U149</f>
        <v>-</v>
      </c>
      <c r="U149" t="str">
        <f>Lcode_mapping!V149</f>
        <v>-</v>
      </c>
      <c r="V149" t="str">
        <f>Lcode_mapping!W149</f>
        <v>-</v>
      </c>
    </row>
    <row r="150" spans="1:22" ht="15" customHeight="1" x14ac:dyDescent="0.25">
      <c r="A150">
        <f>Lcode_mapping!A150</f>
        <v>397</v>
      </c>
      <c r="B150">
        <f>Lcode_mapping!B150</f>
        <v>3</v>
      </c>
      <c r="C150" t="str">
        <f>Lcode_mapping!D150</f>
        <v>CROOTFIL</v>
      </c>
      <c r="D150">
        <f>Lcode_mapping!E150</f>
        <v>8</v>
      </c>
      <c r="E150">
        <f>Lcode_mapping!F150</f>
        <v>1</v>
      </c>
      <c r="F150">
        <f>Lcode_mapping!G150</f>
        <v>1</v>
      </c>
      <c r="G150" t="str">
        <f>Lcode_mapping!H150</f>
        <v>A</v>
      </c>
      <c r="H150">
        <f>Lcode_mapping!I150</f>
        <v>1</v>
      </c>
      <c r="I150" t="str">
        <f>Lcode_mapping!J150</f>
        <v>Correlator root file name.</v>
      </c>
      <c r="J150" t="str">
        <f>Lcode_mapping!K150</f>
        <v>Obs</v>
      </c>
      <c r="K150" t="str">
        <f>Lcode_mapping!L150</f>
        <v>-</v>
      </c>
      <c r="L150" t="str">
        <f>Lcode_mapping!M150</f>
        <v>K</v>
      </c>
      <c r="M150" t="str">
        <f>Lcode_mapping!N150</f>
        <v>-</v>
      </c>
      <c r="N150" t="str">
        <f>Lcode_mapping!O150</f>
        <v>Observables</v>
      </c>
      <c r="O150" t="str">
        <f>Lcode_mapping!P150</f>
        <v>CorrInfo_bX</v>
      </c>
      <c r="P150" t="str">
        <f>Lcode_mapping!Q150</f>
        <v>-</v>
      </c>
      <c r="Q150" t="str">
        <f>Lcode_mapping!R150</f>
        <v>-</v>
      </c>
      <c r="R150" t="str">
        <f>Lcode_mapping!S150</f>
        <v>-</v>
      </c>
      <c r="S150" t="str">
        <f>Lcode_mapping!T150</f>
        <v>-</v>
      </c>
      <c r="T150" t="str">
        <f>Lcode_mapping!U150</f>
        <v>-</v>
      </c>
      <c r="U150" t="str">
        <f>Lcode_mapping!V150</f>
        <v>-</v>
      </c>
      <c r="V150" t="str">
        <f>Lcode_mapping!W150</f>
        <v>-</v>
      </c>
    </row>
    <row r="151" spans="1:22" ht="15" customHeight="1" x14ac:dyDescent="0.25">
      <c r="A151">
        <f>Lcode_mapping!A151</f>
        <v>398</v>
      </c>
      <c r="B151">
        <f>Lcode_mapping!B151</f>
        <v>3</v>
      </c>
      <c r="C151" t="str">
        <f>Lcode_mapping!D151</f>
        <v>DBEDITVE</v>
      </c>
      <c r="D151">
        <f>Lcode_mapping!E151</f>
        <v>3</v>
      </c>
      <c r="E151">
        <f>Lcode_mapping!F151</f>
        <v>1</v>
      </c>
      <c r="F151">
        <f>Lcode_mapping!G151</f>
        <v>1</v>
      </c>
      <c r="G151" t="str">
        <f>Lcode_mapping!H151</f>
        <v>I</v>
      </c>
      <c r="H151">
        <f>Lcode_mapping!I151</f>
        <v>1</v>
      </c>
      <c r="I151" t="str">
        <f>Lcode_mapping!J151</f>
        <v>Dbedit revision date YYYY MM DD</v>
      </c>
      <c r="J151" t="str">
        <f>Lcode_mapping!K151</f>
        <v>Obs</v>
      </c>
      <c r="K151" t="str">
        <f>Lcode_mapping!L151</f>
        <v>-</v>
      </c>
      <c r="L151" t="str">
        <f>Lcode_mapping!M151</f>
        <v>K</v>
      </c>
      <c r="M151" t="str">
        <f>Lcode_mapping!N151</f>
        <v>-</v>
      </c>
      <c r="N151" t="str">
        <f>Lcode_mapping!O151</f>
        <v>Observables</v>
      </c>
      <c r="O151" t="str">
        <f>Lcode_mapping!P151</f>
        <v>CorrInfo_bX</v>
      </c>
      <c r="P151" t="str">
        <f>Lcode_mapping!Q151</f>
        <v>-</v>
      </c>
      <c r="Q151" t="str">
        <f>Lcode_mapping!R151</f>
        <v>-</v>
      </c>
      <c r="R151" t="str">
        <f>Lcode_mapping!S151</f>
        <v>-</v>
      </c>
      <c r="S151" t="str">
        <f>Lcode_mapping!T151</f>
        <v>-</v>
      </c>
      <c r="T151" t="str">
        <f>Lcode_mapping!U151</f>
        <v>-</v>
      </c>
      <c r="U151" t="str">
        <f>Lcode_mapping!V151</f>
        <v>-</v>
      </c>
      <c r="V151" t="str">
        <f>Lcode_mapping!W151</f>
        <v>-</v>
      </c>
    </row>
    <row r="152" spans="1:22" ht="15" customHeight="1" x14ac:dyDescent="0.25">
      <c r="A152">
        <f>Lcode_mapping!A152</f>
        <v>399</v>
      </c>
      <c r="B152">
        <f>Lcode_mapping!B152</f>
        <v>2</v>
      </c>
      <c r="C152" t="str">
        <f>Lcode_mapping!D152</f>
        <v>DELOBSVM</v>
      </c>
      <c r="D152">
        <f>Lcode_mapping!E152</f>
        <v>2</v>
      </c>
      <c r="E152">
        <f>Lcode_mapping!F152</f>
        <v>1</v>
      </c>
      <c r="F152">
        <f>Lcode_mapping!G152</f>
        <v>1</v>
      </c>
      <c r="G152" t="str">
        <f>Lcode_mapping!H152</f>
        <v>R</v>
      </c>
      <c r="H152">
        <f>Lcode_mapping!I152</f>
        <v>0</v>
      </c>
      <c r="I152" t="str">
        <f>Lcode_mapping!J152</f>
        <v xml:space="preserve">Obs delay at central epoch us. </v>
      </c>
      <c r="J152" t="str">
        <f>Lcode_mapping!K152</f>
        <v>Obs</v>
      </c>
      <c r="K152" t="str">
        <f>Lcode_mapping!L152</f>
        <v>-</v>
      </c>
      <c r="L152" t="str">
        <f>Lcode_mapping!M152</f>
        <v>K</v>
      </c>
      <c r="M152" t="str">
        <f>Lcode_mapping!N152</f>
        <v>-</v>
      </c>
      <c r="N152" t="str">
        <f>Lcode_mapping!O152</f>
        <v>Observables</v>
      </c>
      <c r="O152" t="str">
        <f>Lcode_mapping!P152</f>
        <v>CorrInfo_bX</v>
      </c>
      <c r="P152" t="str">
        <f>Lcode_mapping!Q152</f>
        <v>-</v>
      </c>
      <c r="Q152" t="str">
        <f>Lcode_mapping!R152</f>
        <v>-</v>
      </c>
      <c r="R152" t="str">
        <f>Lcode_mapping!S152</f>
        <v>-</v>
      </c>
      <c r="S152" t="str">
        <f>Lcode_mapping!T152</f>
        <v>-</v>
      </c>
      <c r="T152" t="str">
        <f>Lcode_mapping!U152</f>
        <v>-</v>
      </c>
      <c r="U152" t="str">
        <f>Lcode_mapping!V152</f>
        <v>-</v>
      </c>
      <c r="V152" t="str">
        <f>Lcode_mapping!W152</f>
        <v>-</v>
      </c>
    </row>
    <row r="153" spans="1:22" ht="15" customHeight="1" x14ac:dyDescent="0.25">
      <c r="A153">
        <f>Lcode_mapping!A153</f>
        <v>400</v>
      </c>
      <c r="B153">
        <f>Lcode_mapping!B153</f>
        <v>2</v>
      </c>
      <c r="C153" t="str">
        <f>Lcode_mapping!D153</f>
        <v>DELRESID</v>
      </c>
      <c r="D153">
        <f>Lcode_mapping!E153</f>
        <v>1</v>
      </c>
      <c r="E153">
        <f>Lcode_mapping!F153</f>
        <v>1</v>
      </c>
      <c r="F153">
        <f>Lcode_mapping!G153</f>
        <v>1</v>
      </c>
      <c r="G153" t="str">
        <f>Lcode_mapping!H153</f>
        <v>R</v>
      </c>
      <c r="H153">
        <f>Lcode_mapping!I153</f>
        <v>1</v>
      </c>
      <c r="I153" t="str">
        <f>Lcode_mapping!J153</f>
        <v>Delay residual (sec).</v>
      </c>
      <c r="J153" t="str">
        <f>Lcode_mapping!K153</f>
        <v>Obs</v>
      </c>
      <c r="K153">
        <f>Lcode_mapping!L153</f>
        <v>0</v>
      </c>
      <c r="L153" t="str">
        <f>Lcode_mapping!M153</f>
        <v>K</v>
      </c>
      <c r="M153" t="str">
        <f>Lcode_mapping!N153</f>
        <v>-</v>
      </c>
      <c r="N153" t="str">
        <f>Lcode_mapping!O153</f>
        <v>Observables</v>
      </c>
      <c r="O153" t="str">
        <f>Lcode_mapping!P153</f>
        <v>CorrInfo_bX</v>
      </c>
      <c r="P153" t="str">
        <f>Lcode_mapping!Q153</f>
        <v>-</v>
      </c>
      <c r="Q153" t="str">
        <f>Lcode_mapping!R153</f>
        <v>-</v>
      </c>
      <c r="R153" t="str">
        <f>Lcode_mapping!S153</f>
        <v>-</v>
      </c>
      <c r="S153" t="str">
        <f>Lcode_mapping!T153</f>
        <v>-</v>
      </c>
      <c r="T153" t="str">
        <f>Lcode_mapping!U153</f>
        <v>-</v>
      </c>
      <c r="U153" t="str">
        <f>Lcode_mapping!V153</f>
        <v>-</v>
      </c>
      <c r="V153" t="str">
        <f>Lcode_mapping!W153</f>
        <v>-</v>
      </c>
    </row>
    <row r="154" spans="1:22" ht="15" customHeight="1" x14ac:dyDescent="0.25">
      <c r="A154">
        <f>Lcode_mapping!A154</f>
        <v>401</v>
      </c>
      <c r="B154">
        <f>Lcode_mapping!B154</f>
        <v>2</v>
      </c>
      <c r="C154" t="str">
        <f>Lcode_mapping!D154</f>
        <v>DELTAEPO</v>
      </c>
      <c r="D154">
        <f>Lcode_mapping!E154</f>
        <v>1</v>
      </c>
      <c r="E154">
        <f>Lcode_mapping!F154</f>
        <v>1</v>
      </c>
      <c r="F154">
        <f>Lcode_mapping!G154</f>
        <v>1</v>
      </c>
      <c r="G154" t="str">
        <f>Lcode_mapping!H154</f>
        <v>R</v>
      </c>
      <c r="H154">
        <f>Lcode_mapping!I154</f>
        <v>1</v>
      </c>
      <c r="I154" t="str">
        <f>Lcode_mapping!J154</f>
        <v>Offset from center of scan (sec)</v>
      </c>
      <c r="J154" t="str">
        <f>Lcode_mapping!K154</f>
        <v>Obs</v>
      </c>
      <c r="K154" t="str">
        <f>Lcode_mapping!L154</f>
        <v>-</v>
      </c>
      <c r="L154" t="str">
        <f>Lcode_mapping!M154</f>
        <v>K</v>
      </c>
      <c r="M154" t="str">
        <f>Lcode_mapping!N154</f>
        <v>-</v>
      </c>
      <c r="N154" t="str">
        <f>Lcode_mapping!O154</f>
        <v>Observables</v>
      </c>
      <c r="O154" t="str">
        <f>Lcode_mapping!P154</f>
        <v>CorrInfo_bX</v>
      </c>
      <c r="P154" t="str">
        <f>Lcode_mapping!Q154</f>
        <v>-</v>
      </c>
      <c r="Q154" t="str">
        <f>Lcode_mapping!R154</f>
        <v>-</v>
      </c>
      <c r="R154" t="str">
        <f>Lcode_mapping!S154</f>
        <v>-</v>
      </c>
      <c r="S154" t="str">
        <f>Lcode_mapping!T154</f>
        <v>-</v>
      </c>
      <c r="T154" t="str">
        <f>Lcode_mapping!U154</f>
        <v>-</v>
      </c>
      <c r="U154" t="str">
        <f>Lcode_mapping!V154</f>
        <v>-</v>
      </c>
      <c r="V154" t="str">
        <f>Lcode_mapping!W154</f>
        <v>-</v>
      </c>
    </row>
    <row r="155" spans="1:22" ht="15" customHeight="1" x14ac:dyDescent="0.25">
      <c r="A155">
        <f>Lcode_mapping!A155</f>
        <v>402</v>
      </c>
      <c r="B155">
        <f>Lcode_mapping!B155</f>
        <v>3</v>
      </c>
      <c r="C155" t="str">
        <f>Lcode_mapping!D155</f>
        <v>DISCARD</v>
      </c>
      <c r="D155">
        <f>Lcode_mapping!E155</f>
        <v>1</v>
      </c>
      <c r="E155">
        <f>Lcode_mapping!F155</f>
        <v>1</v>
      </c>
      <c r="F155">
        <f>Lcode_mapping!G155</f>
        <v>1</v>
      </c>
      <c r="G155" t="str">
        <f>Lcode_mapping!H155</f>
        <v>R</v>
      </c>
      <c r="H155">
        <f>Lcode_mapping!I155</f>
        <v>1</v>
      </c>
      <c r="I155" t="str">
        <f>Lcode_mapping!J155</f>
        <v>Percent data discarded by FRNGE.</v>
      </c>
      <c r="J155" t="str">
        <f>Lcode_mapping!K155</f>
        <v>Obs</v>
      </c>
      <c r="K155" t="str">
        <f>Lcode_mapping!L155</f>
        <v>-</v>
      </c>
      <c r="L155" t="str">
        <f>Lcode_mapping!M155</f>
        <v>K</v>
      </c>
      <c r="M155" t="str">
        <f>Lcode_mapping!N155</f>
        <v>-</v>
      </c>
      <c r="N155" t="str">
        <f>Lcode_mapping!O155</f>
        <v>Observables</v>
      </c>
      <c r="O155" t="str">
        <f>Lcode_mapping!P155</f>
        <v>CorrInfo_bX</v>
      </c>
      <c r="P155" t="str">
        <f>Lcode_mapping!Q155</f>
        <v>-</v>
      </c>
      <c r="Q155" t="str">
        <f>Lcode_mapping!R155</f>
        <v>-</v>
      </c>
      <c r="R155" t="str">
        <f>Lcode_mapping!S155</f>
        <v>-</v>
      </c>
      <c r="S155" t="str">
        <f>Lcode_mapping!T155</f>
        <v>-</v>
      </c>
      <c r="T155" t="str">
        <f>Lcode_mapping!U155</f>
        <v>-</v>
      </c>
      <c r="U155" t="str">
        <f>Lcode_mapping!V155</f>
        <v>-</v>
      </c>
      <c r="V155" t="str">
        <f>Lcode_mapping!W155</f>
        <v>-</v>
      </c>
    </row>
    <row r="156" spans="1:22" ht="15" customHeight="1" x14ac:dyDescent="0.25">
      <c r="A156">
        <f>Lcode_mapping!A156</f>
        <v>403</v>
      </c>
      <c r="B156">
        <f>Lcode_mapping!B156</f>
        <v>3</v>
      </c>
      <c r="C156" t="str">
        <f>Lcode_mapping!D156</f>
        <v>DLYEPO+1</v>
      </c>
      <c r="D156">
        <f>Lcode_mapping!E156</f>
        <v>2</v>
      </c>
      <c r="E156">
        <f>Lcode_mapping!F156</f>
        <v>1</v>
      </c>
      <c r="F156">
        <f>Lcode_mapping!G156</f>
        <v>1</v>
      </c>
      <c r="G156" t="str">
        <f>Lcode_mapping!H156</f>
        <v>R</v>
      </c>
      <c r="H156" t="str">
        <f>Lcode_mapping!I156</f>
        <v>x</v>
      </c>
      <c r="I156" t="str">
        <f>Lcode_mapping!J156</f>
        <v xml:space="preserve">Phase delay at epoch+1 sec. </v>
      </c>
      <c r="J156" t="str">
        <f>Lcode_mapping!K156</f>
        <v>Obs</v>
      </c>
      <c r="K156" t="str">
        <f>Lcode_mapping!L156</f>
        <v>-</v>
      </c>
      <c r="L156" t="str">
        <f>Lcode_mapping!M156</f>
        <v>K</v>
      </c>
      <c r="M156" t="str">
        <f>Lcode_mapping!N156</f>
        <v>-</v>
      </c>
      <c r="N156" t="str">
        <f>Lcode_mapping!O156</f>
        <v>Observables</v>
      </c>
      <c r="O156" t="str">
        <f>Lcode_mapping!P156</f>
        <v>CorrInfo_bX</v>
      </c>
      <c r="P156" t="str">
        <f>Lcode_mapping!Q156</f>
        <v>-</v>
      </c>
      <c r="Q156" t="str">
        <f>Lcode_mapping!R156</f>
        <v>-</v>
      </c>
      <c r="R156" t="str">
        <f>Lcode_mapping!S156</f>
        <v>-</v>
      </c>
      <c r="S156" t="str">
        <f>Lcode_mapping!T156</f>
        <v>-</v>
      </c>
      <c r="T156" t="str">
        <f>Lcode_mapping!U156</f>
        <v>-</v>
      </c>
      <c r="U156" t="str">
        <f>Lcode_mapping!V156</f>
        <v>microsecond</v>
      </c>
      <c r="V156" t="str">
        <f>Lcode_mapping!W156</f>
        <v>-</v>
      </c>
    </row>
    <row r="157" spans="1:22" ht="15" customHeight="1" x14ac:dyDescent="0.25">
      <c r="A157">
        <f>Lcode_mapping!A157</f>
        <v>404</v>
      </c>
      <c r="B157">
        <f>Lcode_mapping!B157</f>
        <v>3</v>
      </c>
      <c r="C157" t="str">
        <f>Lcode_mapping!D157</f>
        <v>DLYEPO-1</v>
      </c>
      <c r="D157">
        <f>Lcode_mapping!E157</f>
        <v>2</v>
      </c>
      <c r="E157">
        <f>Lcode_mapping!F157</f>
        <v>1</v>
      </c>
      <c r="F157">
        <f>Lcode_mapping!G157</f>
        <v>1</v>
      </c>
      <c r="G157" t="str">
        <f>Lcode_mapping!H157</f>
        <v>R</v>
      </c>
      <c r="H157" t="str">
        <f>Lcode_mapping!I157</f>
        <v>x</v>
      </c>
      <c r="I157" t="str">
        <f>Lcode_mapping!J157</f>
        <v xml:space="preserve">Phase delay at epoch-1 sec. </v>
      </c>
      <c r="J157" t="str">
        <f>Lcode_mapping!K157</f>
        <v>Obs</v>
      </c>
      <c r="K157" t="str">
        <f>Lcode_mapping!L157</f>
        <v>-</v>
      </c>
      <c r="L157" t="str">
        <f>Lcode_mapping!M157</f>
        <v>K</v>
      </c>
      <c r="M157" t="str">
        <f>Lcode_mapping!N157</f>
        <v>-</v>
      </c>
      <c r="N157" t="str">
        <f>Lcode_mapping!O157</f>
        <v>Observables</v>
      </c>
      <c r="O157" t="str">
        <f>Lcode_mapping!P157</f>
        <v>CorrInfo_bX</v>
      </c>
      <c r="P157" t="str">
        <f>Lcode_mapping!Q157</f>
        <v>-</v>
      </c>
      <c r="Q157" t="str">
        <f>Lcode_mapping!R157</f>
        <v>-</v>
      </c>
      <c r="R157" t="str">
        <f>Lcode_mapping!S157</f>
        <v>-</v>
      </c>
      <c r="S157" t="str">
        <f>Lcode_mapping!T157</f>
        <v>-</v>
      </c>
      <c r="T157" t="str">
        <f>Lcode_mapping!U157</f>
        <v>-</v>
      </c>
      <c r="U157" t="str">
        <f>Lcode_mapping!V157</f>
        <v>microsecond</v>
      </c>
      <c r="V157" t="str">
        <f>Lcode_mapping!W157</f>
        <v>-</v>
      </c>
    </row>
    <row r="158" spans="1:22" ht="15" customHeight="1" x14ac:dyDescent="0.25">
      <c r="A158">
        <f>Lcode_mapping!A158</f>
        <v>40</v>
      </c>
      <c r="B158">
        <f>Lcode_mapping!B158</f>
        <v>3</v>
      </c>
      <c r="C158" t="str">
        <f>Lcode_mapping!D158</f>
        <v>DLYEPOCH</v>
      </c>
      <c r="D158">
        <f>Lcode_mapping!E158</f>
        <v>2</v>
      </c>
      <c r="E158">
        <f>Lcode_mapping!F158</f>
        <v>1</v>
      </c>
      <c r="F158">
        <f>Lcode_mapping!G158</f>
        <v>1</v>
      </c>
      <c r="G158" t="str">
        <f>Lcode_mapping!H158</f>
        <v>R</v>
      </c>
      <c r="H158">
        <f>Lcode_mapping!I158</f>
        <v>1</v>
      </c>
      <c r="I158" t="str">
        <f>Lcode_mapping!J158</f>
        <v>Phase delay at epoch   usec .</v>
      </c>
      <c r="J158" t="str">
        <f>Lcode_mapping!K158</f>
        <v>Obs</v>
      </c>
      <c r="K158" t="str">
        <f>Lcode_mapping!L158</f>
        <v>-</v>
      </c>
      <c r="L158" t="str">
        <f>Lcode_mapping!M158</f>
        <v>K</v>
      </c>
      <c r="M158" t="str">
        <f>Lcode_mapping!N158</f>
        <v>-</v>
      </c>
      <c r="N158" t="str">
        <f>Lcode_mapping!O158</f>
        <v>Observables</v>
      </c>
      <c r="O158" t="str">
        <f>Lcode_mapping!P158</f>
        <v>CorrInfo_bX</v>
      </c>
      <c r="P158" t="str">
        <f>Lcode_mapping!Q158</f>
        <v>-</v>
      </c>
      <c r="Q158" t="str">
        <f>Lcode_mapping!R158</f>
        <v>-</v>
      </c>
      <c r="R158" t="str">
        <f>Lcode_mapping!S158</f>
        <v>-</v>
      </c>
      <c r="S158" t="str">
        <f>Lcode_mapping!T158</f>
        <v>-</v>
      </c>
      <c r="T158" t="str">
        <f>Lcode_mapping!U158</f>
        <v>-</v>
      </c>
      <c r="U158" t="str">
        <f>Lcode_mapping!V158</f>
        <v>microsecond</v>
      </c>
      <c r="V158" t="str">
        <f>Lcode_mapping!W158</f>
        <v>-</v>
      </c>
    </row>
    <row r="159" spans="1:22" ht="15" customHeight="1" x14ac:dyDescent="0.25">
      <c r="A159">
        <f>Lcode_mapping!A159</f>
        <v>460</v>
      </c>
      <c r="B159">
        <f>Lcode_mapping!B159</f>
        <v>2</v>
      </c>
      <c r="C159" t="str">
        <f>Lcode_mapping!D159</f>
        <v>DURATION</v>
      </c>
      <c r="D159">
        <f>Lcode_mapping!E159</f>
        <v>1</v>
      </c>
      <c r="E159">
        <f>Lcode_mapping!F159</f>
        <v>1</v>
      </c>
      <c r="F159">
        <f>Lcode_mapping!G159</f>
        <v>1</v>
      </c>
      <c r="G159" t="str">
        <f>Lcode_mapping!H159</f>
        <v>R</v>
      </c>
      <c r="H159">
        <f>Lcode_mapping!I159</f>
        <v>1</v>
      </c>
      <c r="I159" t="str">
        <f>Lcode_mapping!J159</f>
        <v>Scan duration (sec).</v>
      </c>
      <c r="J159" t="str">
        <f>Lcode_mapping!K159</f>
        <v>Obs</v>
      </c>
      <c r="K159" t="str">
        <f>Lcode_mapping!L159</f>
        <v>-</v>
      </c>
      <c r="L159" t="str">
        <f>Lcode_mapping!M159</f>
        <v>K</v>
      </c>
      <c r="M159" t="str">
        <f>Lcode_mapping!N159</f>
        <v>-</v>
      </c>
      <c r="N159" t="str">
        <f>Lcode_mapping!O159</f>
        <v>Observables</v>
      </c>
      <c r="O159" t="str">
        <f>Lcode_mapping!P159</f>
        <v>CorrInfo_bX</v>
      </c>
      <c r="P159" t="str">
        <f>Lcode_mapping!Q159</f>
        <v>-</v>
      </c>
      <c r="Q159" t="str">
        <f>Lcode_mapping!R159</f>
        <v>-</v>
      </c>
      <c r="R159" t="str">
        <f>Lcode_mapping!S159</f>
        <v>-</v>
      </c>
      <c r="S159" t="str">
        <f>Lcode_mapping!T159</f>
        <v>-</v>
      </c>
      <c r="T159" t="str">
        <f>Lcode_mapping!U159</f>
        <v>-</v>
      </c>
      <c r="U159" t="str">
        <f>Lcode_mapping!V159</f>
        <v>-</v>
      </c>
      <c r="V159" t="str">
        <f>Lcode_mapping!W159</f>
        <v>-</v>
      </c>
    </row>
    <row r="160" spans="1:22" ht="15" customHeight="1" x14ac:dyDescent="0.25">
      <c r="A160">
        <f>Lcode_mapping!A160</f>
        <v>405</v>
      </c>
      <c r="B160">
        <f>Lcode_mapping!B160</f>
        <v>3</v>
      </c>
      <c r="C160" t="str">
        <f>Lcode_mapping!D160</f>
        <v>EFF.DURA</v>
      </c>
      <c r="D160">
        <f>Lcode_mapping!E160</f>
        <v>1</v>
      </c>
      <c r="E160">
        <f>Lcode_mapping!F160</f>
        <v>1</v>
      </c>
      <c r="F160">
        <f>Lcode_mapping!G160</f>
        <v>1</v>
      </c>
      <c r="G160" t="str">
        <f>Lcode_mapping!H160</f>
        <v>R</v>
      </c>
      <c r="H160">
        <f>Lcode_mapping!I160</f>
        <v>1</v>
      </c>
      <c r="I160" t="str">
        <f>Lcode_mapping!J160</f>
        <v>Effective run duration sec.</v>
      </c>
      <c r="J160" t="str">
        <f>Lcode_mapping!K160</f>
        <v>Obs</v>
      </c>
      <c r="K160" t="str">
        <f>Lcode_mapping!L160</f>
        <v>-</v>
      </c>
      <c r="L160" t="str">
        <f>Lcode_mapping!M160</f>
        <v>K</v>
      </c>
      <c r="M160" t="str">
        <f>Lcode_mapping!N160</f>
        <v>-</v>
      </c>
      <c r="N160" t="str">
        <f>Lcode_mapping!O160</f>
        <v>Observables</v>
      </c>
      <c r="O160" t="str">
        <f>Lcode_mapping!P160</f>
        <v>CorrInfo_bX</v>
      </c>
      <c r="P160" t="str">
        <f>Lcode_mapping!Q160</f>
        <v>-</v>
      </c>
      <c r="Q160" t="str">
        <f>Lcode_mapping!R160</f>
        <v>EffectiveDuration</v>
      </c>
      <c r="R160" t="str">
        <f>Lcode_mapping!S160</f>
        <v>-</v>
      </c>
      <c r="S160" t="str">
        <f>Lcode_mapping!T160</f>
        <v>-</v>
      </c>
      <c r="T160" t="str">
        <f>Lcode_mapping!U160</f>
        <v>-</v>
      </c>
      <c r="U160" t="str">
        <f>Lcode_mapping!V160</f>
        <v>-</v>
      </c>
      <c r="V160" t="str">
        <f>Lcode_mapping!W160</f>
        <v>-</v>
      </c>
    </row>
    <row r="161" spans="1:22" ht="15" customHeight="1" x14ac:dyDescent="0.25">
      <c r="A161">
        <f>Lcode_mapping!A161</f>
        <v>406</v>
      </c>
      <c r="B161">
        <f>Lcode_mapping!B161</f>
        <v>3</v>
      </c>
      <c r="C161" t="str">
        <f>Lcode_mapping!D161</f>
        <v>ERRORATE</v>
      </c>
      <c r="D161">
        <f>Lcode_mapping!E161</f>
        <v>2</v>
      </c>
      <c r="E161">
        <f>Lcode_mapping!F161</f>
        <v>2</v>
      </c>
      <c r="F161">
        <f>Lcode_mapping!G161</f>
        <v>16</v>
      </c>
      <c r="G161" t="str">
        <f>Lcode_mapping!H161</f>
        <v>I</v>
      </c>
      <c r="H161">
        <f>Lcode_mapping!I161</f>
        <v>1</v>
      </c>
      <c r="I161" t="str">
        <f>Lcode_mapping!J161</f>
        <v>Log err rate by sta  sb  channel</v>
      </c>
      <c r="J161" t="str">
        <f>Lcode_mapping!K161</f>
        <v>Obs</v>
      </c>
      <c r="K161" t="str">
        <f>Lcode_mapping!L161</f>
        <v>-</v>
      </c>
      <c r="L161" t="str">
        <f>Lcode_mapping!M161</f>
        <v>K</v>
      </c>
      <c r="M161" t="str">
        <f>Lcode_mapping!N161</f>
        <v>-</v>
      </c>
      <c r="N161" t="str">
        <f>Lcode_mapping!O161</f>
        <v>Observables</v>
      </c>
      <c r="O161" t="str">
        <f>Lcode_mapping!P161</f>
        <v>CorrInfo_bX</v>
      </c>
      <c r="P161" t="str">
        <f>Lcode_mapping!Q161</f>
        <v>-</v>
      </c>
      <c r="Q161" t="str">
        <f>Lcode_mapping!R161</f>
        <v>-</v>
      </c>
      <c r="R161" t="str">
        <f>Lcode_mapping!S161</f>
        <v>-</v>
      </c>
      <c r="S161" t="str">
        <f>Lcode_mapping!T161</f>
        <v>-</v>
      </c>
      <c r="T161" t="str">
        <f>Lcode_mapping!U161</f>
        <v>-</v>
      </c>
      <c r="U161" t="str">
        <f>Lcode_mapping!V161</f>
        <v>-</v>
      </c>
      <c r="V161" t="str">
        <f>Lcode_mapping!W161</f>
        <v>-</v>
      </c>
    </row>
    <row r="162" spans="1:22" ht="15" customHeight="1" x14ac:dyDescent="0.25">
      <c r="A162">
        <f>Lcode_mapping!A162</f>
        <v>408</v>
      </c>
      <c r="B162">
        <f>Lcode_mapping!B162</f>
        <v>3</v>
      </c>
      <c r="C162" t="str">
        <f>Lcode_mapping!D162</f>
        <v>FOURFFIL</v>
      </c>
      <c r="D162">
        <f>Lcode_mapping!E162</f>
        <v>8</v>
      </c>
      <c r="E162">
        <f>Lcode_mapping!F162</f>
        <v>1</v>
      </c>
      <c r="F162">
        <f>Lcode_mapping!G162</f>
        <v>1</v>
      </c>
      <c r="G162" t="str">
        <f>Lcode_mapping!H162</f>
        <v>A</v>
      </c>
      <c r="H162">
        <f>Lcode_mapping!I162</f>
        <v>1</v>
      </c>
      <c r="I162" t="str">
        <f>Lcode_mapping!J162</f>
        <v>Fourfit output filename.</v>
      </c>
      <c r="J162" t="str">
        <f>Lcode_mapping!K162</f>
        <v>Obs</v>
      </c>
      <c r="K162" t="str">
        <f>Lcode_mapping!L162</f>
        <v>-</v>
      </c>
      <c r="L162" t="str">
        <f>Lcode_mapping!M162</f>
        <v>K</v>
      </c>
      <c r="M162" t="str">
        <f>Lcode_mapping!N162</f>
        <v>-</v>
      </c>
      <c r="N162" t="str">
        <f>Lcode_mapping!O162</f>
        <v>Observables</v>
      </c>
      <c r="O162" t="str">
        <f>Lcode_mapping!P162</f>
        <v>CorrInfo_bX</v>
      </c>
      <c r="P162" t="str">
        <f>Lcode_mapping!Q162</f>
        <v>-</v>
      </c>
      <c r="Q162" t="str">
        <f>Lcode_mapping!R162</f>
        <v>-</v>
      </c>
      <c r="R162" t="str">
        <f>Lcode_mapping!S162</f>
        <v>-</v>
      </c>
      <c r="S162" t="str">
        <f>Lcode_mapping!T162</f>
        <v>-</v>
      </c>
      <c r="T162" t="str">
        <f>Lcode_mapping!U162</f>
        <v>-</v>
      </c>
      <c r="U162" t="str">
        <f>Lcode_mapping!V162</f>
        <v>-</v>
      </c>
      <c r="V162" t="str">
        <f>Lcode_mapping!W162</f>
        <v>-</v>
      </c>
    </row>
    <row r="163" spans="1:22" ht="15" customHeight="1" x14ac:dyDescent="0.25">
      <c r="A163">
        <f>Lcode_mapping!A163</f>
        <v>409</v>
      </c>
      <c r="B163">
        <f>Lcode_mapping!B163</f>
        <v>3</v>
      </c>
      <c r="C163" t="str">
        <f>Lcode_mapping!D163</f>
        <v>FOURFFXS</v>
      </c>
      <c r="D163">
        <f>Lcode_mapping!E163</f>
        <v>8</v>
      </c>
      <c r="E163">
        <f>Lcode_mapping!F163</f>
        <v>1</v>
      </c>
      <c r="F163">
        <f>Lcode_mapping!G163</f>
        <v>1</v>
      </c>
      <c r="G163" t="str">
        <f>Lcode_mapping!H163</f>
        <v>A</v>
      </c>
      <c r="H163">
        <f>Lcode_mapping!I163</f>
        <v>4</v>
      </c>
      <c r="I163" t="str">
        <f>Lcode_mapping!J163</f>
        <v>Fourfit output filename S-band</v>
      </c>
      <c r="J163" t="str">
        <f>Lcode_mapping!K163</f>
        <v>Obs</v>
      </c>
      <c r="K163" t="str">
        <f>Lcode_mapping!L163</f>
        <v>-</v>
      </c>
      <c r="L163" t="str">
        <f>Lcode_mapping!M163</f>
        <v>K</v>
      </c>
      <c r="M163" t="str">
        <f>Lcode_mapping!N163</f>
        <v>-</v>
      </c>
      <c r="N163" t="str">
        <f>Lcode_mapping!O163</f>
        <v>Observables</v>
      </c>
      <c r="O163" t="str">
        <f>Lcode_mapping!P163</f>
        <v>CorrInfo_bX</v>
      </c>
      <c r="P163" t="str">
        <f>Lcode_mapping!Q163</f>
        <v>-</v>
      </c>
      <c r="Q163" t="str">
        <f>Lcode_mapping!R163</f>
        <v>-</v>
      </c>
      <c r="R163" t="str">
        <f>Lcode_mapping!S163</f>
        <v>-</v>
      </c>
      <c r="S163" t="str">
        <f>Lcode_mapping!T163</f>
        <v>-</v>
      </c>
      <c r="T163" t="str">
        <f>Lcode_mapping!U163</f>
        <v>-</v>
      </c>
      <c r="U163" t="str">
        <f>Lcode_mapping!V163</f>
        <v>-</v>
      </c>
      <c r="V163" t="str">
        <f>Lcode_mapping!W163</f>
        <v>-</v>
      </c>
    </row>
    <row r="164" spans="1:22" ht="15" customHeight="1" x14ac:dyDescent="0.25">
      <c r="A164">
        <f>Lcode_mapping!A164</f>
        <v>410</v>
      </c>
      <c r="B164">
        <f>Lcode_mapping!B164</f>
        <v>3</v>
      </c>
      <c r="C164" t="str">
        <f>Lcode_mapping!D164</f>
        <v>FOURFUTC</v>
      </c>
      <c r="D164">
        <f>Lcode_mapping!E164</f>
        <v>6</v>
      </c>
      <c r="E164">
        <f>Lcode_mapping!F164</f>
        <v>1</v>
      </c>
      <c r="F164">
        <f>Lcode_mapping!G164</f>
        <v>1</v>
      </c>
      <c r="G164" t="str">
        <f>Lcode_mapping!H164</f>
        <v>I</v>
      </c>
      <c r="H164">
        <f>Lcode_mapping!I164</f>
        <v>1</v>
      </c>
      <c r="I164" t="str">
        <f>Lcode_mapping!J164</f>
        <v>Fourfit processing time YMDHMS.</v>
      </c>
      <c r="J164" t="str">
        <f>Lcode_mapping!K164</f>
        <v>Obs</v>
      </c>
      <c r="K164" t="str">
        <f>Lcode_mapping!L164</f>
        <v>-</v>
      </c>
      <c r="L164" t="str">
        <f>Lcode_mapping!M164</f>
        <v>K</v>
      </c>
      <c r="M164" t="str">
        <f>Lcode_mapping!N164</f>
        <v>-</v>
      </c>
      <c r="N164" t="str">
        <f>Lcode_mapping!O164</f>
        <v>Observables</v>
      </c>
      <c r="O164" t="str">
        <f>Lcode_mapping!P164</f>
        <v>CorrInfo_bX</v>
      </c>
      <c r="P164" t="str">
        <f>Lcode_mapping!Q164</f>
        <v>-</v>
      </c>
      <c r="Q164" t="str">
        <f>Lcode_mapping!R164</f>
        <v>-</v>
      </c>
      <c r="R164" t="str">
        <f>Lcode_mapping!S164</f>
        <v>-</v>
      </c>
      <c r="S164" t="str">
        <f>Lcode_mapping!T164</f>
        <v>-</v>
      </c>
      <c r="T164" t="str">
        <f>Lcode_mapping!U164</f>
        <v>-</v>
      </c>
      <c r="U164" t="str">
        <f>Lcode_mapping!V164</f>
        <v>-</v>
      </c>
      <c r="V164" t="str">
        <f>Lcode_mapping!W164</f>
        <v>-</v>
      </c>
    </row>
    <row r="165" spans="1:22" ht="15" customHeight="1" x14ac:dyDescent="0.25">
      <c r="A165">
        <f>Lcode_mapping!A165</f>
        <v>411</v>
      </c>
      <c r="B165">
        <f>Lcode_mapping!B165</f>
        <v>3</v>
      </c>
      <c r="C165" t="str">
        <f>Lcode_mapping!D165</f>
        <v>FOURFVER</v>
      </c>
      <c r="D165">
        <f>Lcode_mapping!E165</f>
        <v>2</v>
      </c>
      <c r="E165">
        <f>Lcode_mapping!F165</f>
        <v>1</v>
      </c>
      <c r="F165">
        <f>Lcode_mapping!G165</f>
        <v>1</v>
      </c>
      <c r="G165" t="str">
        <f>Lcode_mapping!H165</f>
        <v>I</v>
      </c>
      <c r="H165">
        <f>Lcode_mapping!I165</f>
        <v>1</v>
      </c>
      <c r="I165" t="str">
        <f>Lcode_mapping!J165</f>
        <v>Fourfit version number.</v>
      </c>
      <c r="J165" t="str">
        <f>Lcode_mapping!K165</f>
        <v>Obs</v>
      </c>
      <c r="K165" t="str">
        <f>Lcode_mapping!L165</f>
        <v>-</v>
      </c>
      <c r="L165" t="str">
        <f>Lcode_mapping!M165</f>
        <v>K</v>
      </c>
      <c r="M165" t="str">
        <f>Lcode_mapping!N165</f>
        <v>-</v>
      </c>
      <c r="N165" t="str">
        <f>Lcode_mapping!O165</f>
        <v>Observables</v>
      </c>
      <c r="O165" t="str">
        <f>Lcode_mapping!P165</f>
        <v>CorrInfo_bX</v>
      </c>
      <c r="P165" t="str">
        <f>Lcode_mapping!Q165</f>
        <v>-</v>
      </c>
      <c r="Q165" t="str">
        <f>Lcode_mapping!R165</f>
        <v>-</v>
      </c>
      <c r="R165" t="str">
        <f>Lcode_mapping!S165</f>
        <v>-</v>
      </c>
      <c r="S165" t="str">
        <f>Lcode_mapping!T165</f>
        <v>-</v>
      </c>
      <c r="T165" t="str">
        <f>Lcode_mapping!U165</f>
        <v>-</v>
      </c>
      <c r="U165" t="str">
        <f>Lcode_mapping!V165</f>
        <v>-</v>
      </c>
      <c r="V165" t="str">
        <f>Lcode_mapping!W165</f>
        <v>-</v>
      </c>
    </row>
    <row r="166" spans="1:22" ht="15" customHeight="1" x14ac:dyDescent="0.25">
      <c r="A166">
        <f>Lcode_mapping!A166</f>
        <v>412</v>
      </c>
      <c r="B166">
        <f>Lcode_mapping!B166</f>
        <v>3</v>
      </c>
      <c r="C166" t="str">
        <f>Lcode_mapping!D166</f>
        <v>FRNGERR</v>
      </c>
      <c r="D166">
        <f>Lcode_mapping!E166</f>
        <v>1</v>
      </c>
      <c r="E166">
        <f>Lcode_mapping!F166</f>
        <v>1</v>
      </c>
      <c r="F166">
        <f>Lcode_mapping!G166</f>
        <v>1</v>
      </c>
      <c r="G166" t="str">
        <f>Lcode_mapping!H166</f>
        <v>A</v>
      </c>
      <c r="H166">
        <f>Lcode_mapping!I166</f>
        <v>1</v>
      </c>
      <c r="I166" t="str">
        <f>Lcode_mapping!J166</f>
        <v>Fourfit error flag blank=OK.</v>
      </c>
      <c r="J166" t="str">
        <f>Lcode_mapping!K166</f>
        <v>Obs</v>
      </c>
      <c r="K166" t="str">
        <f>Lcode_mapping!L166</f>
        <v>-</v>
      </c>
      <c r="L166" t="str">
        <f>Lcode_mapping!M166</f>
        <v>K</v>
      </c>
      <c r="M166" t="str">
        <f>Lcode_mapping!N166</f>
        <v>-</v>
      </c>
      <c r="N166" t="str">
        <f>Lcode_mapping!O166</f>
        <v>Observables</v>
      </c>
      <c r="O166" t="str">
        <f>Lcode_mapping!P166</f>
        <v>CorrInfo_bX</v>
      </c>
      <c r="P166" t="str">
        <f>Lcode_mapping!Q166</f>
        <v>-</v>
      </c>
      <c r="Q166" t="str">
        <f>Lcode_mapping!R166</f>
        <v>-</v>
      </c>
      <c r="R166" t="str">
        <f>Lcode_mapping!S166</f>
        <v>-</v>
      </c>
      <c r="S166" t="str">
        <f>Lcode_mapping!T166</f>
        <v>-</v>
      </c>
      <c r="T166" t="str">
        <f>Lcode_mapping!U166</f>
        <v>-</v>
      </c>
      <c r="U166" t="str">
        <f>Lcode_mapping!V166</f>
        <v>-</v>
      </c>
      <c r="V166" t="str">
        <f>Lcode_mapping!W166</f>
        <v>-</v>
      </c>
    </row>
    <row r="167" spans="1:22" ht="15" customHeight="1" x14ac:dyDescent="0.25">
      <c r="A167">
        <f>Lcode_mapping!A167</f>
        <v>413</v>
      </c>
      <c r="B167">
        <f>Lcode_mapping!B167</f>
        <v>3</v>
      </c>
      <c r="C167" t="str">
        <f>Lcode_mapping!D167</f>
        <v>FRQGROUP</v>
      </c>
      <c r="D167">
        <f>Lcode_mapping!E167</f>
        <v>1</v>
      </c>
      <c r="E167">
        <f>Lcode_mapping!F167</f>
        <v>1</v>
      </c>
      <c r="F167">
        <f>Lcode_mapping!G167</f>
        <v>1</v>
      </c>
      <c r="G167" t="str">
        <f>Lcode_mapping!H167</f>
        <v>A</v>
      </c>
      <c r="H167">
        <f>Lcode_mapping!I167</f>
        <v>1</v>
      </c>
      <c r="I167" t="str">
        <f>Lcode_mapping!J167</f>
        <v>Frequency group code.</v>
      </c>
      <c r="J167" t="str">
        <f>Lcode_mapping!K167</f>
        <v>Obs</v>
      </c>
      <c r="K167" t="str">
        <f>Lcode_mapping!L167</f>
        <v>-</v>
      </c>
      <c r="L167" t="str">
        <f>Lcode_mapping!M167</f>
        <v>K</v>
      </c>
      <c r="M167" t="str">
        <f>Lcode_mapping!N167</f>
        <v>-</v>
      </c>
      <c r="N167" t="str">
        <f>Lcode_mapping!O167</f>
        <v>Observables</v>
      </c>
      <c r="O167" t="str">
        <f>Lcode_mapping!P167</f>
        <v>CorrInfo_bX</v>
      </c>
      <c r="P167" t="str">
        <f>Lcode_mapping!Q167</f>
        <v>-</v>
      </c>
      <c r="Q167" t="str">
        <f>Lcode_mapping!R167</f>
        <v>-</v>
      </c>
      <c r="R167" t="str">
        <f>Lcode_mapping!S167</f>
        <v>-</v>
      </c>
      <c r="S167" t="str">
        <f>Lcode_mapping!T167</f>
        <v>-</v>
      </c>
      <c r="T167" t="str">
        <f>Lcode_mapping!U167</f>
        <v>-</v>
      </c>
      <c r="U167" t="str">
        <f>Lcode_mapping!V167</f>
        <v>-</v>
      </c>
      <c r="V167" t="str">
        <f>Lcode_mapping!W167</f>
        <v>-</v>
      </c>
    </row>
    <row r="168" spans="1:22" ht="15" customHeight="1" x14ac:dyDescent="0.25">
      <c r="A168">
        <f>Lcode_mapping!A168</f>
        <v>414</v>
      </c>
      <c r="B168">
        <f>Lcode_mapping!B168</f>
        <v>3</v>
      </c>
      <c r="C168" t="str">
        <f>Lcode_mapping!D168</f>
        <v>GC MBD</v>
      </c>
      <c r="D168">
        <f>Lcode_mapping!E168</f>
        <v>1</v>
      </c>
      <c r="E168">
        <f>Lcode_mapping!F168</f>
        <v>1</v>
      </c>
      <c r="F168">
        <f>Lcode_mapping!G168</f>
        <v>1</v>
      </c>
      <c r="G168" t="str">
        <f>Lcode_mapping!H168</f>
        <v>R</v>
      </c>
      <c r="H168">
        <f>Lcode_mapping!I168</f>
        <v>1</v>
      </c>
      <c r="I168" t="str">
        <f>Lcode_mapping!J168</f>
        <v>Tot geocenter group delay (sec).</v>
      </c>
      <c r="J168" t="str">
        <f>Lcode_mapping!K168</f>
        <v>Obs</v>
      </c>
      <c r="K168" t="str">
        <f>Lcode_mapping!L168</f>
        <v>-</v>
      </c>
      <c r="L168" t="str">
        <f>Lcode_mapping!M168</f>
        <v>K</v>
      </c>
      <c r="M168" t="str">
        <f>Lcode_mapping!N168</f>
        <v>-</v>
      </c>
      <c r="N168" t="str">
        <f>Lcode_mapping!O168</f>
        <v>Observables</v>
      </c>
      <c r="O168" t="str">
        <f>Lcode_mapping!P168</f>
        <v>CorrInfo_bX</v>
      </c>
      <c r="P168" t="str">
        <f>Lcode_mapping!Q168</f>
        <v>-</v>
      </c>
      <c r="Q168" t="str">
        <f>Lcode_mapping!R168</f>
        <v>GeocMBD</v>
      </c>
      <c r="R168" t="str">
        <f>Lcode_mapping!S168</f>
        <v>-</v>
      </c>
      <c r="S168" t="str">
        <f>Lcode_mapping!T168</f>
        <v>-</v>
      </c>
      <c r="T168" t="str">
        <f>Lcode_mapping!U168</f>
        <v>-</v>
      </c>
      <c r="U168" t="str">
        <f>Lcode_mapping!V168</f>
        <v>second</v>
      </c>
      <c r="V168" t="str">
        <f>Lcode_mapping!W168</f>
        <v>-</v>
      </c>
    </row>
    <row r="169" spans="1:22" ht="15" customHeight="1" x14ac:dyDescent="0.25">
      <c r="A169">
        <f>Lcode_mapping!A169</f>
        <v>415</v>
      </c>
      <c r="B169">
        <f>Lcode_mapping!B169</f>
        <v>2</v>
      </c>
      <c r="C169" t="str">
        <f>Lcode_mapping!D169</f>
        <v>GC PHASE</v>
      </c>
      <c r="D169">
        <f>Lcode_mapping!E169</f>
        <v>1</v>
      </c>
      <c r="E169">
        <f>Lcode_mapping!F169</f>
        <v>1</v>
      </c>
      <c r="F169">
        <f>Lcode_mapping!G169</f>
        <v>1</v>
      </c>
      <c r="G169" t="str">
        <f>Lcode_mapping!H169</f>
        <v>R</v>
      </c>
      <c r="H169">
        <f>Lcode_mapping!I169</f>
        <v>1</v>
      </c>
      <c r="I169" t="str">
        <f>Lcode_mapping!J169</f>
        <v>Tot phase ref to cen of Earth.</v>
      </c>
      <c r="J169" t="str">
        <f>Lcode_mapping!K169</f>
        <v>Obs</v>
      </c>
      <c r="K169" t="str">
        <f>Lcode_mapping!L169</f>
        <v>-</v>
      </c>
      <c r="L169" t="str">
        <f>Lcode_mapping!M169</f>
        <v>K</v>
      </c>
      <c r="M169" t="str">
        <f>Lcode_mapping!N169</f>
        <v>-</v>
      </c>
      <c r="N169" t="str">
        <f>Lcode_mapping!O169</f>
        <v>Observables</v>
      </c>
      <c r="O169" t="str">
        <f>Lcode_mapping!P169</f>
        <v>CorrInfo_bX</v>
      </c>
      <c r="P169" t="str">
        <f>Lcode_mapping!Q169</f>
        <v>-</v>
      </c>
      <c r="Q169" t="str">
        <f>Lcode_mapping!R169</f>
        <v>GeocPhase</v>
      </c>
      <c r="R169" t="str">
        <f>Lcode_mapping!S169</f>
        <v>-</v>
      </c>
      <c r="S169" t="str">
        <f>Lcode_mapping!T169</f>
        <v>-</v>
      </c>
      <c r="T169" t="str">
        <f>Lcode_mapping!U169</f>
        <v>-</v>
      </c>
      <c r="U169" t="str">
        <f>Lcode_mapping!V169</f>
        <v>-</v>
      </c>
      <c r="V169" t="str">
        <f>Lcode_mapping!W169</f>
        <v>-</v>
      </c>
    </row>
    <row r="170" spans="1:22" ht="15" customHeight="1" x14ac:dyDescent="0.25">
      <c r="A170">
        <f>Lcode_mapping!A170</f>
        <v>416</v>
      </c>
      <c r="B170">
        <f>Lcode_mapping!B170</f>
        <v>3</v>
      </c>
      <c r="C170" t="str">
        <f>Lcode_mapping!D170</f>
        <v>GC RATE</v>
      </c>
      <c r="D170">
        <f>Lcode_mapping!E170</f>
        <v>1</v>
      </c>
      <c r="E170">
        <f>Lcode_mapping!F170</f>
        <v>1</v>
      </c>
      <c r="F170">
        <f>Lcode_mapping!G170</f>
        <v>1</v>
      </c>
      <c r="G170" t="str">
        <f>Lcode_mapping!H170</f>
        <v>R</v>
      </c>
      <c r="H170">
        <f>Lcode_mapping!I170</f>
        <v>1</v>
      </c>
      <c r="I170" t="str">
        <f>Lcode_mapping!J170</f>
        <v>Tot geocenter delay rate (s/s).</v>
      </c>
      <c r="J170" t="str">
        <f>Lcode_mapping!K170</f>
        <v>Obs</v>
      </c>
      <c r="K170" t="str">
        <f>Lcode_mapping!L170</f>
        <v>-</v>
      </c>
      <c r="L170" t="str">
        <f>Lcode_mapping!M170</f>
        <v>K</v>
      </c>
      <c r="M170" t="str">
        <f>Lcode_mapping!N170</f>
        <v>-</v>
      </c>
      <c r="N170" t="str">
        <f>Lcode_mapping!O170</f>
        <v>Observables</v>
      </c>
      <c r="O170" t="str">
        <f>Lcode_mapping!P170</f>
        <v>CorrInfo_bX</v>
      </c>
      <c r="P170" t="str">
        <f>Lcode_mapping!Q170</f>
        <v>-</v>
      </c>
      <c r="Q170" t="str">
        <f>Lcode_mapping!R170</f>
        <v>GeocRate</v>
      </c>
      <c r="R170" t="str">
        <f>Lcode_mapping!S170</f>
        <v>-</v>
      </c>
      <c r="S170" t="str">
        <f>Lcode_mapping!T170</f>
        <v>-</v>
      </c>
      <c r="T170" t="str">
        <f>Lcode_mapping!U170</f>
        <v>-</v>
      </c>
      <c r="U170" t="str">
        <f>Lcode_mapping!V170</f>
        <v>-</v>
      </c>
      <c r="V170" t="str">
        <f>Lcode_mapping!W170</f>
        <v>-</v>
      </c>
    </row>
    <row r="171" spans="1:22" ht="15" customHeight="1" x14ac:dyDescent="0.25">
      <c r="A171">
        <f>Lcode_mapping!A171</f>
        <v>418</v>
      </c>
      <c r="B171">
        <f>Lcode_mapping!B171</f>
        <v>3</v>
      </c>
      <c r="C171" t="str">
        <f>Lcode_mapping!D171</f>
        <v>GCRESPHS</v>
      </c>
      <c r="D171">
        <f>Lcode_mapping!E171</f>
        <v>1</v>
      </c>
      <c r="E171">
        <f>Lcode_mapping!F171</f>
        <v>1</v>
      </c>
      <c r="F171">
        <f>Lcode_mapping!G171</f>
        <v>1</v>
      </c>
      <c r="G171" t="str">
        <f>Lcode_mapping!H171</f>
        <v>R</v>
      </c>
      <c r="H171">
        <f>Lcode_mapping!I171</f>
        <v>1</v>
      </c>
      <c r="I171" t="str">
        <f>Lcode_mapping!J171</f>
        <v>Resid phs corrected to cen of E.</v>
      </c>
      <c r="J171" t="str">
        <f>Lcode_mapping!K171</f>
        <v>Obs</v>
      </c>
      <c r="K171" t="str">
        <f>Lcode_mapping!L171</f>
        <v>-</v>
      </c>
      <c r="L171" t="str">
        <f>Lcode_mapping!M171</f>
        <v>K</v>
      </c>
      <c r="M171" t="str">
        <f>Lcode_mapping!N171</f>
        <v>-</v>
      </c>
      <c r="N171" t="str">
        <f>Lcode_mapping!O171</f>
        <v>Observables</v>
      </c>
      <c r="O171" t="str">
        <f>Lcode_mapping!P171</f>
        <v>CorrInfo_bX</v>
      </c>
      <c r="P171" t="str">
        <f>Lcode_mapping!Q171</f>
        <v>-</v>
      </c>
      <c r="Q171" t="str">
        <f>Lcode_mapping!R171</f>
        <v>GeocResidPhase</v>
      </c>
      <c r="R171" t="str">
        <f>Lcode_mapping!S171</f>
        <v>-</v>
      </c>
      <c r="S171" t="str">
        <f>Lcode_mapping!T171</f>
        <v>-</v>
      </c>
      <c r="T171" t="str">
        <f>Lcode_mapping!U171</f>
        <v>-</v>
      </c>
      <c r="U171" t="str">
        <f>Lcode_mapping!V171</f>
        <v>-</v>
      </c>
      <c r="V171" t="str">
        <f>Lcode_mapping!W171</f>
        <v>-</v>
      </c>
    </row>
    <row r="172" spans="1:22" ht="15" customHeight="1" x14ac:dyDescent="0.25">
      <c r="A172">
        <f>Lcode_mapping!A172</f>
        <v>417</v>
      </c>
      <c r="B172">
        <f>Lcode_mapping!B172</f>
        <v>3</v>
      </c>
      <c r="C172" t="str">
        <f>Lcode_mapping!D172</f>
        <v>GC SBD</v>
      </c>
      <c r="D172">
        <f>Lcode_mapping!E172</f>
        <v>1</v>
      </c>
      <c r="E172">
        <f>Lcode_mapping!F172</f>
        <v>1</v>
      </c>
      <c r="F172">
        <f>Lcode_mapping!G172</f>
        <v>1</v>
      </c>
      <c r="G172" t="str">
        <f>Lcode_mapping!H172</f>
        <v>R</v>
      </c>
      <c r="H172">
        <f>Lcode_mapping!I172</f>
        <v>1</v>
      </c>
      <c r="I172" t="str">
        <f>Lcode_mapping!J172</f>
        <v>Tot geocenter sbd delay (sec).</v>
      </c>
      <c r="J172" t="str">
        <f>Lcode_mapping!K172</f>
        <v>Obs</v>
      </c>
      <c r="K172" t="str">
        <f>Lcode_mapping!L172</f>
        <v>-</v>
      </c>
      <c r="L172" t="str">
        <f>Lcode_mapping!M172</f>
        <v>K</v>
      </c>
      <c r="M172" t="str">
        <f>Lcode_mapping!N172</f>
        <v>-</v>
      </c>
      <c r="N172" t="str">
        <f>Lcode_mapping!O172</f>
        <v>Observables</v>
      </c>
      <c r="O172" t="str">
        <f>Lcode_mapping!P172</f>
        <v>CorrInfo_bX</v>
      </c>
      <c r="P172" t="str">
        <f>Lcode_mapping!Q172</f>
        <v>-</v>
      </c>
      <c r="Q172" t="str">
        <f>Lcode_mapping!R172</f>
        <v>GeocSBD</v>
      </c>
      <c r="R172" t="str">
        <f>Lcode_mapping!S172</f>
        <v>-</v>
      </c>
      <c r="S172" t="str">
        <f>Lcode_mapping!T172</f>
        <v>-</v>
      </c>
      <c r="T172" t="str">
        <f>Lcode_mapping!U172</f>
        <v>-</v>
      </c>
      <c r="U172" t="str">
        <f>Lcode_mapping!V172</f>
        <v>-</v>
      </c>
      <c r="V172" t="str">
        <f>Lcode_mapping!W172</f>
        <v>-</v>
      </c>
    </row>
    <row r="173" spans="1:22" ht="15" customHeight="1" x14ac:dyDescent="0.25">
      <c r="A173">
        <f>Lcode_mapping!A173</f>
        <v>419</v>
      </c>
      <c r="B173">
        <f>Lcode_mapping!B173</f>
        <v>3</v>
      </c>
      <c r="C173" t="str">
        <f>Lcode_mapping!D173</f>
        <v>IDELAY</v>
      </c>
      <c r="D173">
        <f>Lcode_mapping!E173</f>
        <v>2</v>
      </c>
      <c r="E173">
        <f>Lcode_mapping!F173</f>
        <v>1</v>
      </c>
      <c r="F173">
        <f>Lcode_mapping!G173</f>
        <v>1</v>
      </c>
      <c r="G173" t="str">
        <f>Lcode_mapping!H173</f>
        <v>R</v>
      </c>
      <c r="H173">
        <f>Lcode_mapping!I173</f>
        <v>1</v>
      </c>
      <c r="I173" t="str">
        <f>Lcode_mapping!J173</f>
        <v>Corel instrumental delay (sec).</v>
      </c>
      <c r="J173" t="str">
        <f>Lcode_mapping!K173</f>
        <v>Obs</v>
      </c>
      <c r="K173" t="str">
        <f>Lcode_mapping!L173</f>
        <v>-</v>
      </c>
      <c r="L173" t="str">
        <f>Lcode_mapping!M173</f>
        <v>K</v>
      </c>
      <c r="M173" t="str">
        <f>Lcode_mapping!N173</f>
        <v>-</v>
      </c>
      <c r="N173" t="str">
        <f>Lcode_mapping!O173</f>
        <v>Observables</v>
      </c>
      <c r="O173" t="str">
        <f>Lcode_mapping!P173</f>
        <v>CorrInfo_bX</v>
      </c>
      <c r="P173" t="str">
        <f>Lcode_mapping!Q173</f>
        <v>-</v>
      </c>
      <c r="Q173" t="str">
        <f>Lcode_mapping!R173</f>
        <v>-</v>
      </c>
      <c r="R173" t="str">
        <f>Lcode_mapping!S173</f>
        <v>-</v>
      </c>
      <c r="S173" t="str">
        <f>Lcode_mapping!T173</f>
        <v>-</v>
      </c>
      <c r="T173" t="str">
        <f>Lcode_mapping!U173</f>
        <v>-</v>
      </c>
      <c r="U173" t="str">
        <f>Lcode_mapping!V173</f>
        <v>-</v>
      </c>
      <c r="V173" t="str">
        <f>Lcode_mapping!W173</f>
        <v>-</v>
      </c>
    </row>
    <row r="174" spans="1:22" ht="15" customHeight="1" x14ac:dyDescent="0.25">
      <c r="A174">
        <f>Lcode_mapping!A174</f>
        <v>420</v>
      </c>
      <c r="B174">
        <f>Lcode_mapping!B174</f>
        <v>3</v>
      </c>
      <c r="C174" t="str">
        <f>Lcode_mapping!D174</f>
        <v>INCOH2</v>
      </c>
      <c r="D174">
        <f>Lcode_mapping!E174</f>
        <v>1</v>
      </c>
      <c r="E174">
        <f>Lcode_mapping!F174</f>
        <v>1</v>
      </c>
      <c r="F174">
        <f>Lcode_mapping!G174</f>
        <v>1</v>
      </c>
      <c r="G174" t="str">
        <f>Lcode_mapping!H174</f>
        <v>R</v>
      </c>
      <c r="H174">
        <f>Lcode_mapping!I174</f>
        <v>1</v>
      </c>
      <c r="I174" t="str">
        <f>Lcode_mapping!J174</f>
        <v>Incoh amp from FRNGE plot segs.</v>
      </c>
      <c r="J174" t="str">
        <f>Lcode_mapping!K174</f>
        <v>Obs</v>
      </c>
      <c r="K174" t="str">
        <f>Lcode_mapping!L174</f>
        <v>-</v>
      </c>
      <c r="L174" t="str">
        <f>Lcode_mapping!M174</f>
        <v>K</v>
      </c>
      <c r="M174" t="str">
        <f>Lcode_mapping!N174</f>
        <v>-</v>
      </c>
      <c r="N174" t="str">
        <f>Lcode_mapping!O174</f>
        <v>Observables</v>
      </c>
      <c r="O174" t="str">
        <f>Lcode_mapping!P174</f>
        <v>CorrInfo_bX</v>
      </c>
      <c r="P174" t="str">
        <f>Lcode_mapping!Q174</f>
        <v>-</v>
      </c>
      <c r="Q174" t="str">
        <f>Lcode_mapping!R174</f>
        <v>-</v>
      </c>
      <c r="R174" t="str">
        <f>Lcode_mapping!S174</f>
        <v>-</v>
      </c>
      <c r="S174" t="str">
        <f>Lcode_mapping!T174</f>
        <v>-</v>
      </c>
      <c r="T174" t="str">
        <f>Lcode_mapping!U174</f>
        <v>-</v>
      </c>
      <c r="U174" t="str">
        <f>Lcode_mapping!V174</f>
        <v>-</v>
      </c>
      <c r="V174" t="str">
        <f>Lcode_mapping!W174</f>
        <v>-</v>
      </c>
    </row>
    <row r="175" spans="1:22" ht="15" customHeight="1" x14ac:dyDescent="0.25">
      <c r="A175">
        <f>Lcode_mapping!A175</f>
        <v>421</v>
      </c>
      <c r="B175">
        <f>Lcode_mapping!B175</f>
        <v>3</v>
      </c>
      <c r="C175" t="str">
        <f>Lcode_mapping!D175</f>
        <v>INCOHAMP</v>
      </c>
      <c r="D175">
        <f>Lcode_mapping!E175</f>
        <v>1</v>
      </c>
      <c r="E175">
        <f>Lcode_mapping!F175</f>
        <v>1</v>
      </c>
      <c r="F175">
        <f>Lcode_mapping!G175</f>
        <v>1</v>
      </c>
      <c r="G175" t="str">
        <f>Lcode_mapping!H175</f>
        <v>R</v>
      </c>
      <c r="H175">
        <f>Lcode_mapping!I175</f>
        <v>1</v>
      </c>
      <c r="I175" t="str">
        <f>Lcode_mapping!J175</f>
        <v>Fr. amp from incoh int of chan.</v>
      </c>
      <c r="J175" t="str">
        <f>Lcode_mapping!K175</f>
        <v>Obs</v>
      </c>
      <c r="K175" t="str">
        <f>Lcode_mapping!L175</f>
        <v>-</v>
      </c>
      <c r="L175" t="str">
        <f>Lcode_mapping!M175</f>
        <v>K</v>
      </c>
      <c r="M175" t="str">
        <f>Lcode_mapping!N175</f>
        <v>-</v>
      </c>
      <c r="N175" t="str">
        <f>Lcode_mapping!O175</f>
        <v>Observables</v>
      </c>
      <c r="O175" t="str">
        <f>Lcode_mapping!P175</f>
        <v>CorrInfo_bX</v>
      </c>
      <c r="P175" t="str">
        <f>Lcode_mapping!Q175</f>
        <v>-</v>
      </c>
      <c r="Q175" t="str">
        <f>Lcode_mapping!R175</f>
        <v>-</v>
      </c>
      <c r="R175" t="str">
        <f>Lcode_mapping!S175</f>
        <v>-</v>
      </c>
      <c r="S175" t="str">
        <f>Lcode_mapping!T175</f>
        <v>-</v>
      </c>
      <c r="T175" t="str">
        <f>Lcode_mapping!U175</f>
        <v>-</v>
      </c>
      <c r="U175" t="str">
        <f>Lcode_mapping!V175</f>
        <v>-</v>
      </c>
      <c r="V175" t="str">
        <f>Lcode_mapping!W175</f>
        <v>-</v>
      </c>
    </row>
    <row r="176" spans="1:22" ht="15" customHeight="1" x14ac:dyDescent="0.25">
      <c r="A176">
        <f>Lcode_mapping!A176</f>
        <v>422</v>
      </c>
      <c r="B176">
        <f>Lcode_mapping!B176</f>
        <v>3</v>
      </c>
      <c r="C176" t="str">
        <f>Lcode_mapping!D176</f>
        <v>INDEXNUM</v>
      </c>
      <c r="D176">
        <f>Lcode_mapping!E176</f>
        <v>2</v>
      </c>
      <c r="E176">
        <f>Lcode_mapping!F176</f>
        <v>16</v>
      </c>
      <c r="F176">
        <f>Lcode_mapping!G176</f>
        <v>1</v>
      </c>
      <c r="G176" t="str">
        <f>Lcode_mapping!H176</f>
        <v>I</v>
      </c>
      <c r="H176">
        <f>Lcode_mapping!I176</f>
        <v>1</v>
      </c>
      <c r="I176" t="str">
        <f>Lcode_mapping!J176</f>
        <v>Corel index numbers by sb freq.</v>
      </c>
      <c r="J176" t="str">
        <f>Lcode_mapping!K176</f>
        <v>Obs</v>
      </c>
      <c r="K176" t="str">
        <f>Lcode_mapping!L176</f>
        <v>-</v>
      </c>
      <c r="L176" t="str">
        <f>Lcode_mapping!M176</f>
        <v>K</v>
      </c>
      <c r="M176" t="str">
        <f>Lcode_mapping!N176</f>
        <v>-</v>
      </c>
      <c r="N176" t="str">
        <f>Lcode_mapping!O176</f>
        <v>Observables</v>
      </c>
      <c r="O176" t="str">
        <f>Lcode_mapping!P176</f>
        <v>CorrInfo_bX</v>
      </c>
      <c r="P176" t="str">
        <f>Lcode_mapping!Q176</f>
        <v>-</v>
      </c>
      <c r="Q176" t="str">
        <f>Lcode_mapping!R176</f>
        <v>-</v>
      </c>
      <c r="R176" t="str">
        <f>Lcode_mapping!S176</f>
        <v>-</v>
      </c>
      <c r="S176" t="str">
        <f>Lcode_mapping!T176</f>
        <v>-</v>
      </c>
      <c r="T176" t="str">
        <f>Lcode_mapping!U176</f>
        <v>-</v>
      </c>
      <c r="U176" t="str">
        <f>Lcode_mapping!V176</f>
        <v>-</v>
      </c>
      <c r="V176" t="str">
        <f>Lcode_mapping!W176</f>
        <v>-</v>
      </c>
    </row>
    <row r="177" spans="1:22" ht="15" customHeight="1" x14ac:dyDescent="0.25">
      <c r="A177">
        <f>Lcode_mapping!A177</f>
        <v>423</v>
      </c>
      <c r="B177">
        <f>Lcode_mapping!B177</f>
        <v>2</v>
      </c>
      <c r="C177" t="str">
        <f>Lcode_mapping!D177</f>
        <v>LO FREQ</v>
      </c>
      <c r="D177">
        <f>Lcode_mapping!E177</f>
        <v>2</v>
      </c>
      <c r="E177">
        <f>Lcode_mapping!F177</f>
        <v>16</v>
      </c>
      <c r="F177">
        <f>Lcode_mapping!G177</f>
        <v>1</v>
      </c>
      <c r="G177" t="str">
        <f>Lcode_mapping!H177</f>
        <v>R</v>
      </c>
      <c r="H177">
        <f>Lcode_mapping!I177</f>
        <v>1</v>
      </c>
      <c r="I177" t="str">
        <f>Lcode_mapping!J177</f>
        <v>LO frequencies per cha/sta MHz.</v>
      </c>
      <c r="J177" t="str">
        <f>Lcode_mapping!K177</f>
        <v>Obs</v>
      </c>
      <c r="K177" t="str">
        <f>Lcode_mapping!L177</f>
        <v>-</v>
      </c>
      <c r="L177" t="str">
        <f>Lcode_mapping!M177</f>
        <v>K</v>
      </c>
      <c r="M177" t="str">
        <f>Lcode_mapping!N177</f>
        <v>-</v>
      </c>
      <c r="N177" t="str">
        <f>Lcode_mapping!O177</f>
        <v>Observables</v>
      </c>
      <c r="O177" t="str">
        <f>Lcode_mapping!P177</f>
        <v>CorrInfo_bX</v>
      </c>
      <c r="P177" t="str">
        <f>Lcode_mapping!Q177</f>
        <v>-</v>
      </c>
      <c r="Q177" t="str">
        <f>Lcode_mapping!R177</f>
        <v>LOFreq</v>
      </c>
      <c r="R177" t="str">
        <f>Lcode_mapping!S177</f>
        <v>-</v>
      </c>
      <c r="S177" t="str">
        <f>Lcode_mapping!T177</f>
        <v>-</v>
      </c>
      <c r="T177" t="str">
        <f>Lcode_mapping!U177</f>
        <v>-</v>
      </c>
      <c r="U177" t="str">
        <f>Lcode_mapping!V177</f>
        <v>MHz</v>
      </c>
      <c r="V177" t="str">
        <f>Lcode_mapping!W177</f>
        <v>-</v>
      </c>
    </row>
    <row r="178" spans="1:22" ht="15" customHeight="1" x14ac:dyDescent="0.25">
      <c r="A178">
        <f>Lcode_mapping!A178</f>
        <v>468</v>
      </c>
      <c r="B178">
        <f>Lcode_mapping!B178</f>
        <v>2</v>
      </c>
      <c r="C178" t="str">
        <f>Lcode_mapping!D178</f>
        <v>VFRQ#APS</v>
      </c>
      <c r="D178">
        <f>Lcode_mapping!E178</f>
        <v>32</v>
      </c>
      <c r="E178">
        <f>Lcode_mapping!F178</f>
        <v>1</v>
      </c>
      <c r="F178">
        <f>Lcode_mapping!G178</f>
        <v>1</v>
      </c>
      <c r="G178" t="str">
        <f>Lcode_mapping!H178</f>
        <v>I</v>
      </c>
      <c r="H178">
        <f>Lcode_mapping!I178</f>
        <v>2</v>
      </c>
      <c r="I178" t="str">
        <f>Lcode_mapping!J178</f>
        <v>No. of accum. periods in Channel</v>
      </c>
      <c r="J178" t="str">
        <f>Lcode_mapping!K178</f>
        <v>Obs</v>
      </c>
      <c r="K178" t="str">
        <f>Lcode_mapping!L178</f>
        <v>-</v>
      </c>
      <c r="L178" t="str">
        <f>Lcode_mapping!M178</f>
        <v>K</v>
      </c>
      <c r="M178" t="str">
        <f>Lcode_mapping!N178</f>
        <v>-</v>
      </c>
      <c r="N178" t="str">
        <f>Lcode_mapping!O178</f>
        <v>Observables</v>
      </c>
      <c r="O178" t="str">
        <f>Lcode_mapping!P178</f>
        <v>CorrInfo_bX</v>
      </c>
      <c r="P178" t="str">
        <f>Lcode_mapping!Q178</f>
        <v>-</v>
      </c>
      <c r="Q178" t="str">
        <f>Lcode_mapping!R178</f>
        <v>NumAccum</v>
      </c>
      <c r="R178" t="str">
        <f>Lcode_mapping!S178</f>
        <v>-</v>
      </c>
      <c r="S178" t="str">
        <f>Lcode_mapping!T178</f>
        <v>-</v>
      </c>
      <c r="T178" t="str">
        <f>Lcode_mapping!U178</f>
        <v>-</v>
      </c>
      <c r="U178" t="str">
        <f>Lcode_mapping!V178</f>
        <v>-</v>
      </c>
      <c r="V178" t="str">
        <f>Lcode_mapping!W178</f>
        <v>-</v>
      </c>
    </row>
    <row r="179" spans="1:22" ht="15" customHeight="1" x14ac:dyDescent="0.25">
      <c r="A179">
        <f>Lcode_mapping!A179</f>
        <v>424</v>
      </c>
      <c r="B179">
        <f>Lcode_mapping!B179</f>
        <v>2</v>
      </c>
      <c r="C179" t="str">
        <f>Lcode_mapping!D179</f>
        <v>NO.OF AP</v>
      </c>
      <c r="D179">
        <f>Lcode_mapping!E179</f>
        <v>2</v>
      </c>
      <c r="E179">
        <f>Lcode_mapping!F179</f>
        <v>16</v>
      </c>
      <c r="F179">
        <f>Lcode_mapping!G179</f>
        <v>1</v>
      </c>
      <c r="G179" t="str">
        <f>Lcode_mapping!H179</f>
        <v>I</v>
      </c>
      <c r="H179">
        <f>Lcode_mapping!I179</f>
        <v>1</v>
      </c>
      <c r="I179" t="str">
        <f>Lcode_mapping!J179</f>
        <v># of AP by sideband and channel.</v>
      </c>
      <c r="J179" t="str">
        <f>Lcode_mapping!K179</f>
        <v>Obs</v>
      </c>
      <c r="K179" t="str">
        <f>Lcode_mapping!L179</f>
        <v>-</v>
      </c>
      <c r="L179" t="str">
        <f>Lcode_mapping!M179</f>
        <v>K</v>
      </c>
      <c r="M179" t="str">
        <f>Lcode_mapping!N179</f>
        <v>-</v>
      </c>
      <c r="N179" t="str">
        <f>Lcode_mapping!O179</f>
        <v>Observables</v>
      </c>
      <c r="O179" t="str">
        <f>Lcode_mapping!P179</f>
        <v>CorrInfo_bX</v>
      </c>
      <c r="P179" t="str">
        <f>Lcode_mapping!Q179</f>
        <v>-</v>
      </c>
      <c r="Q179" t="str">
        <f>Lcode_mapping!R179</f>
        <v>NumAp</v>
      </c>
      <c r="R179" t="str">
        <f>Lcode_mapping!S179</f>
        <v>-</v>
      </c>
      <c r="S179" t="str">
        <f>Lcode_mapping!T179</f>
        <v>-</v>
      </c>
      <c r="T179" t="str">
        <f>Lcode_mapping!U179</f>
        <v>-</v>
      </c>
      <c r="U179" t="str">
        <f>Lcode_mapping!V179</f>
        <v>-</v>
      </c>
      <c r="V179" t="str">
        <f>Lcode_mapping!W179</f>
        <v>-</v>
      </c>
    </row>
    <row r="180" spans="1:22" ht="15" customHeight="1" x14ac:dyDescent="0.25">
      <c r="A180">
        <f>Lcode_mapping!A180</f>
        <v>458</v>
      </c>
      <c r="B180">
        <f>Lcode_mapping!B180</f>
        <v>2</v>
      </c>
      <c r="C180" t="str">
        <f>Lcode_mapping!D180</f>
        <v>#VFREQS</v>
      </c>
      <c r="D180">
        <f>Lcode_mapping!E180</f>
        <v>1</v>
      </c>
      <c r="E180">
        <f>Lcode_mapping!F180</f>
        <v>1</v>
      </c>
      <c r="F180">
        <f>Lcode_mapping!G180</f>
        <v>1</v>
      </c>
      <c r="G180" t="str">
        <f>Lcode_mapping!H180</f>
        <v>I</v>
      </c>
      <c r="H180">
        <f>Lcode_mapping!I180</f>
        <v>2</v>
      </c>
      <c r="I180" t="str">
        <f>Lcode_mapping!J180</f>
        <v>No. of BBC frequencies in Band</v>
      </c>
      <c r="J180" t="str">
        <f>Lcode_mapping!K180</f>
        <v>Obs</v>
      </c>
      <c r="K180" t="str">
        <f>Lcode_mapping!L180</f>
        <v>-</v>
      </c>
      <c r="L180" t="str">
        <f>Lcode_mapping!M180</f>
        <v>K</v>
      </c>
      <c r="M180" t="str">
        <f>Lcode_mapping!N180</f>
        <v>-</v>
      </c>
      <c r="N180" t="str">
        <f>Lcode_mapping!O180</f>
        <v>Observables</v>
      </c>
      <c r="O180" t="str">
        <f>Lcode_mapping!P180</f>
        <v>CorrInfo_bX</v>
      </c>
      <c r="P180" t="str">
        <f>Lcode_mapping!Q180</f>
        <v>-</v>
      </c>
      <c r="Q180" t="str">
        <f>Lcode_mapping!R180</f>
        <v>NumBBCFreqs</v>
      </c>
      <c r="R180" t="str">
        <f>Lcode_mapping!S180</f>
        <v>-</v>
      </c>
      <c r="S180" t="str">
        <f>Lcode_mapping!T180</f>
        <v>-</v>
      </c>
      <c r="T180" t="str">
        <f>Lcode_mapping!U180</f>
        <v>-</v>
      </c>
      <c r="U180" t="str">
        <f>Lcode_mapping!V180</f>
        <v>-</v>
      </c>
      <c r="V180" t="str">
        <f>Lcode_mapping!W180</f>
        <v>-</v>
      </c>
    </row>
    <row r="181" spans="1:22" ht="15" customHeight="1" x14ac:dyDescent="0.25">
      <c r="A181">
        <f>Lcode_mapping!A181</f>
        <v>380</v>
      </c>
      <c r="B181">
        <f>Lcode_mapping!B181</f>
        <v>2</v>
      </c>
      <c r="C181" t="str">
        <f>Lcode_mapping!D181</f>
        <v>#CHANELS</v>
      </c>
      <c r="D181">
        <f>Lcode_mapping!E181</f>
        <v>1</v>
      </c>
      <c r="E181">
        <f>Lcode_mapping!F181</f>
        <v>1</v>
      </c>
      <c r="F181">
        <f>Lcode_mapping!G181</f>
        <v>1</v>
      </c>
      <c r="G181" t="str">
        <f>Lcode_mapping!H181</f>
        <v>I</v>
      </c>
      <c r="H181">
        <f>Lcode_mapping!I181</f>
        <v>1</v>
      </c>
      <c r="I181" t="str">
        <f>Lcode_mapping!J181</f>
        <v>No. of U-L pairs in integration.</v>
      </c>
      <c r="J181" t="str">
        <f>Lcode_mapping!K181</f>
        <v>Obs</v>
      </c>
      <c r="K181" t="str">
        <f>Lcode_mapping!L181</f>
        <v>-</v>
      </c>
      <c r="L181" t="str">
        <f>Lcode_mapping!M181</f>
        <v>K</v>
      </c>
      <c r="M181" t="str">
        <f>Lcode_mapping!N181</f>
        <v>-</v>
      </c>
      <c r="N181" t="str">
        <f>Lcode_mapping!O181</f>
        <v>Observables</v>
      </c>
      <c r="O181" t="str">
        <f>Lcode_mapping!P181</f>
        <v>CorrInfo_bX</v>
      </c>
      <c r="P181" t="str">
        <f>Lcode_mapping!Q181</f>
        <v>-</v>
      </c>
      <c r="Q181" t="str">
        <f>Lcode_mapping!R181</f>
        <v>NumChannels</v>
      </c>
      <c r="R181" t="str">
        <f>Lcode_mapping!S181</f>
        <v>-</v>
      </c>
      <c r="S181" t="str">
        <f>Lcode_mapping!T181</f>
        <v>-</v>
      </c>
      <c r="T181" t="str">
        <f>Lcode_mapping!U181</f>
        <v>-</v>
      </c>
      <c r="U181" t="str">
        <f>Lcode_mapping!V181</f>
        <v>-</v>
      </c>
      <c r="V181" t="str">
        <f>Lcode_mapping!W181</f>
        <v>-</v>
      </c>
    </row>
    <row r="182" spans="1:22" ht="15" customHeight="1" x14ac:dyDescent="0.25">
      <c r="A182">
        <f>Lcode_mapping!A182</f>
        <v>381</v>
      </c>
      <c r="B182">
        <f>Lcode_mapping!B182</f>
        <v>2</v>
      </c>
      <c r="C182" t="str">
        <f>Lcode_mapping!D182</f>
        <v>#SAMPLES</v>
      </c>
      <c r="D182">
        <f>Lcode_mapping!E182</f>
        <v>2</v>
      </c>
      <c r="E182">
        <f>Lcode_mapping!F182</f>
        <v>16</v>
      </c>
      <c r="F182">
        <f>Lcode_mapping!G182</f>
        <v>1</v>
      </c>
      <c r="G182" t="str">
        <f>Lcode_mapping!H182</f>
        <v>R</v>
      </c>
      <c r="H182">
        <f>Lcode_mapping!I182</f>
        <v>1</v>
      </c>
      <c r="I182" t="str">
        <f>Lcode_mapping!J182</f>
        <v># of samples by sideband and cha</v>
      </c>
      <c r="J182" t="str">
        <f>Lcode_mapping!K182</f>
        <v>Obs</v>
      </c>
      <c r="K182" t="str">
        <f>Lcode_mapping!L182</f>
        <v>-</v>
      </c>
      <c r="L182" t="str">
        <f>Lcode_mapping!M182</f>
        <v>K</v>
      </c>
      <c r="M182" t="str">
        <f>Lcode_mapping!N182</f>
        <v>-</v>
      </c>
      <c r="N182" t="str">
        <f>Lcode_mapping!O182</f>
        <v>Observables</v>
      </c>
      <c r="O182" t="str">
        <f>Lcode_mapping!P182</f>
        <v>CorrInfo_bX</v>
      </c>
      <c r="P182" t="str">
        <f>Lcode_mapping!Q182</f>
        <v>-</v>
      </c>
      <c r="Q182" t="str">
        <f>Lcode_mapping!R182</f>
        <v>NumSamples</v>
      </c>
      <c r="R182" t="str">
        <f>Lcode_mapping!S182</f>
        <v>-</v>
      </c>
      <c r="S182" t="str">
        <f>Lcode_mapping!T182</f>
        <v>-</v>
      </c>
      <c r="T182" t="str">
        <f>Lcode_mapping!U182</f>
        <v>-</v>
      </c>
      <c r="U182" t="str">
        <f>Lcode_mapping!V182</f>
        <v>-</v>
      </c>
      <c r="V182" t="str">
        <f>Lcode_mapping!W182</f>
        <v>-</v>
      </c>
    </row>
    <row r="183" spans="1:22" ht="15" customHeight="1" x14ac:dyDescent="0.25">
      <c r="A183">
        <f>Lcode_mapping!A183</f>
        <v>425</v>
      </c>
      <c r="B183">
        <f>Lcode_mapping!B183</f>
        <v>3</v>
      </c>
      <c r="C183" t="str">
        <f>Lcode_mapping!D183</f>
        <v>OCCUPNUM</v>
      </c>
      <c r="D183">
        <f>Lcode_mapping!E183</f>
        <v>4</v>
      </c>
      <c r="E183">
        <f>Lcode_mapping!F183</f>
        <v>2</v>
      </c>
      <c r="F183">
        <f>Lcode_mapping!G183</f>
        <v>1</v>
      </c>
      <c r="G183" t="str">
        <f>Lcode_mapping!H183</f>
        <v>A</v>
      </c>
      <c r="H183" t="str">
        <f>Lcode_mapping!I183</f>
        <v>x</v>
      </c>
      <c r="I183" t="str">
        <f>Lcode_mapping!J183</f>
        <v xml:space="preserve">Site Occupation Number. </v>
      </c>
      <c r="J183" t="str">
        <f>Lcode_mapping!K183</f>
        <v>Obs</v>
      </c>
      <c r="K183" t="str">
        <f>Lcode_mapping!L183</f>
        <v>-</v>
      </c>
      <c r="L183" t="str">
        <f>Lcode_mapping!M183</f>
        <v>K</v>
      </c>
      <c r="M183" t="str">
        <f>Lcode_mapping!N183</f>
        <v>-</v>
      </c>
      <c r="N183" t="str">
        <f>Lcode_mapping!O183</f>
        <v>Observables</v>
      </c>
      <c r="O183" t="str">
        <f>Lcode_mapping!P183</f>
        <v>CorrInfo_bX</v>
      </c>
      <c r="P183" t="str">
        <f>Lcode_mapping!Q183</f>
        <v>-</v>
      </c>
      <c r="Q183" t="str">
        <f>Lcode_mapping!R183</f>
        <v>-</v>
      </c>
      <c r="R183" t="str">
        <f>Lcode_mapping!S183</f>
        <v>-</v>
      </c>
      <c r="S183" t="str">
        <f>Lcode_mapping!T183</f>
        <v>-</v>
      </c>
      <c r="T183" t="str">
        <f>Lcode_mapping!U183</f>
        <v>-</v>
      </c>
      <c r="U183" t="str">
        <f>Lcode_mapping!V183</f>
        <v>-</v>
      </c>
      <c r="V183" t="str">
        <f>Lcode_mapping!W183</f>
        <v>-</v>
      </c>
    </row>
    <row r="184" spans="1:22" ht="15" customHeight="1" x14ac:dyDescent="0.25">
      <c r="A184">
        <f>Lcode_mapping!A184</f>
        <v>426</v>
      </c>
      <c r="B184">
        <f>Lcode_mapping!B184</f>
        <v>3</v>
      </c>
      <c r="C184" t="str">
        <f>Lcode_mapping!D184</f>
        <v>ORIGFILE</v>
      </c>
      <c r="D184">
        <f>Lcode_mapping!E184</f>
        <v>3</v>
      </c>
      <c r="E184">
        <f>Lcode_mapping!F184</f>
        <v>1</v>
      </c>
      <c r="F184">
        <f>Lcode_mapping!G184</f>
        <v>1</v>
      </c>
      <c r="G184" t="str">
        <f>Lcode_mapping!H184</f>
        <v>A</v>
      </c>
      <c r="H184" t="str">
        <f>Lcode_mapping!I184</f>
        <v>x</v>
      </c>
      <c r="I184" t="str">
        <f>Lcode_mapping!J184</f>
        <v xml:space="preserve">Original COREL file name. </v>
      </c>
      <c r="J184" t="str">
        <f>Lcode_mapping!K184</f>
        <v>Obs</v>
      </c>
      <c r="K184" t="str">
        <f>Lcode_mapping!L184</f>
        <v>-</v>
      </c>
      <c r="L184" t="str">
        <f>Lcode_mapping!M184</f>
        <v>K</v>
      </c>
      <c r="M184" t="str">
        <f>Lcode_mapping!N184</f>
        <v>-</v>
      </c>
      <c r="N184" t="str">
        <f>Lcode_mapping!O184</f>
        <v>Observables</v>
      </c>
      <c r="O184" t="str">
        <f>Lcode_mapping!P184</f>
        <v>CorrInfo_bX</v>
      </c>
      <c r="P184" t="str">
        <f>Lcode_mapping!Q184</f>
        <v>-</v>
      </c>
      <c r="Q184" t="str">
        <f>Lcode_mapping!R184</f>
        <v>-</v>
      </c>
      <c r="R184" t="str">
        <f>Lcode_mapping!S184</f>
        <v>-</v>
      </c>
      <c r="S184" t="str">
        <f>Lcode_mapping!T184</f>
        <v>-</v>
      </c>
      <c r="T184" t="str">
        <f>Lcode_mapping!U184</f>
        <v>-</v>
      </c>
      <c r="U184" t="str">
        <f>Lcode_mapping!V184</f>
        <v>-</v>
      </c>
      <c r="V184" t="str">
        <f>Lcode_mapping!W184</f>
        <v>-</v>
      </c>
    </row>
    <row r="185" spans="1:22" ht="15" customHeight="1" x14ac:dyDescent="0.25">
      <c r="A185">
        <f>Lcode_mapping!A185</f>
        <v>427</v>
      </c>
      <c r="B185">
        <f>Lcode_mapping!B185</f>
        <v>2</v>
      </c>
      <c r="C185" t="str">
        <f>Lcode_mapping!D185</f>
        <v>PHASECAL</v>
      </c>
      <c r="D185">
        <f>Lcode_mapping!E185</f>
        <v>2</v>
      </c>
      <c r="E185">
        <f>Lcode_mapping!F185</f>
        <v>1</v>
      </c>
      <c r="F185">
        <f>Lcode_mapping!G185</f>
        <v>1</v>
      </c>
      <c r="G185" t="str">
        <f>Lcode_mapping!H185</f>
        <v>R</v>
      </c>
      <c r="H185">
        <f>Lcode_mapping!I185</f>
        <v>1</v>
      </c>
      <c r="I185" t="str">
        <f>Lcode_mapping!J185</f>
        <v>PC rate by sta ( us per s).</v>
      </c>
      <c r="J185" t="str">
        <f>Lcode_mapping!K185</f>
        <v>Obs</v>
      </c>
      <c r="K185" t="str">
        <f>Lcode_mapping!L185</f>
        <v>-</v>
      </c>
      <c r="L185" t="str">
        <f>Lcode_mapping!M185</f>
        <v>K</v>
      </c>
      <c r="M185" t="str">
        <f>Lcode_mapping!N185</f>
        <v>-</v>
      </c>
      <c r="N185" t="str">
        <f>Lcode_mapping!O185</f>
        <v>Observables</v>
      </c>
      <c r="O185" t="str">
        <f>Lcode_mapping!P185</f>
        <v>CorrInfo_bX</v>
      </c>
      <c r="P185" t="str">
        <f>Lcode_mapping!Q185</f>
        <v>-</v>
      </c>
      <c r="Q185" t="str">
        <f>Lcode_mapping!R185</f>
        <v>-</v>
      </c>
      <c r="R185" t="str">
        <f>Lcode_mapping!S185</f>
        <v>-</v>
      </c>
      <c r="S185" t="str">
        <f>Lcode_mapping!T185</f>
        <v>-</v>
      </c>
      <c r="T185" t="str">
        <f>Lcode_mapping!U185</f>
        <v>-</v>
      </c>
      <c r="U185" t="str">
        <f>Lcode_mapping!V185</f>
        <v>-</v>
      </c>
      <c r="V185" t="str">
        <f>Lcode_mapping!W185</f>
        <v>-</v>
      </c>
    </row>
    <row r="186" spans="1:22" ht="15" customHeight="1" x14ac:dyDescent="0.25">
      <c r="A186">
        <f>Lcode_mapping!A186</f>
        <v>390</v>
      </c>
      <c r="B186">
        <f>Lcode_mapping!B186</f>
        <v>2</v>
      </c>
      <c r="C186" t="str">
        <f>Lcode_mapping!D186</f>
        <v>CALBYFRQ</v>
      </c>
      <c r="D186">
        <f>Lcode_mapping!E186</f>
        <v>3</v>
      </c>
      <c r="E186">
        <f>Lcode_mapping!F186</f>
        <v>2</v>
      </c>
      <c r="F186">
        <f>Lcode_mapping!G186</f>
        <v>16</v>
      </c>
      <c r="G186" t="str">
        <f>Lcode_mapping!H186</f>
        <v>I</v>
      </c>
      <c r="H186">
        <f>Lcode_mapping!I186</f>
        <v>1</v>
      </c>
      <c r="I186" t="str">
        <f>Lcode_mapping!J186</f>
        <v>PC amp phs frq by sta channel.</v>
      </c>
      <c r="J186" t="str">
        <f>Lcode_mapping!K186</f>
        <v>Obs</v>
      </c>
      <c r="K186" t="str">
        <f>Lcode_mapping!L186</f>
        <v>-</v>
      </c>
      <c r="L186" t="str">
        <f>Lcode_mapping!M186</f>
        <v>K</v>
      </c>
      <c r="M186" t="str">
        <f>Lcode_mapping!N186</f>
        <v>-</v>
      </c>
      <c r="N186" t="str">
        <f>Lcode_mapping!O186</f>
        <v>Observables</v>
      </c>
      <c r="O186" t="str">
        <f>Lcode_mapping!P186</f>
        <v>CorrInfo_bX</v>
      </c>
      <c r="P186" t="str">
        <f>Lcode_mapping!Q186</f>
        <v>-</v>
      </c>
      <c r="Q186" t="str">
        <f>Lcode_mapping!R186</f>
        <v>PhaseCalAmpPhase</v>
      </c>
      <c r="R186" t="str">
        <f>Lcode_mapping!S186</f>
        <v>-</v>
      </c>
      <c r="S186" t="str">
        <f>Lcode_mapping!T186</f>
        <v>-</v>
      </c>
      <c r="T186" t="str">
        <f>Lcode_mapping!U186</f>
        <v>-</v>
      </c>
      <c r="U186" t="str">
        <f>Lcode_mapping!V186</f>
        <v>-</v>
      </c>
      <c r="V186" t="str">
        <f>Lcode_mapping!W186</f>
        <v>-</v>
      </c>
    </row>
    <row r="187" spans="1:22" ht="15" customHeight="1" x14ac:dyDescent="0.25">
      <c r="A187">
        <f>Lcode_mapping!A187</f>
        <v>428</v>
      </c>
      <c r="B187">
        <f>Lcode_mapping!B187</f>
        <v>2</v>
      </c>
      <c r="C187" t="str">
        <f>Lcode_mapping!D187</f>
        <v>PHCALOFF</v>
      </c>
      <c r="D187">
        <f>Lcode_mapping!E187</f>
        <v>2</v>
      </c>
      <c r="E187">
        <f>Lcode_mapping!F187</f>
        <v>16</v>
      </c>
      <c r="F187">
        <f>Lcode_mapping!G187</f>
        <v>1</v>
      </c>
      <c r="G187" t="str">
        <f>Lcode_mapping!H187</f>
        <v>I</v>
      </c>
      <c r="H187">
        <f>Lcode_mapping!I187</f>
        <v>1</v>
      </c>
      <c r="I187" t="str">
        <f>Lcode_mapping!J187</f>
        <v>Phase cal offset (-18000/18000).</v>
      </c>
      <c r="J187" t="str">
        <f>Lcode_mapping!K187</f>
        <v>Obs</v>
      </c>
      <c r="K187" t="str">
        <f>Lcode_mapping!L187</f>
        <v>-</v>
      </c>
      <c r="L187" t="str">
        <f>Lcode_mapping!M187</f>
        <v>K</v>
      </c>
      <c r="M187" t="str">
        <f>Lcode_mapping!N187</f>
        <v>-</v>
      </c>
      <c r="N187" t="str">
        <f>Lcode_mapping!O187</f>
        <v>Observables</v>
      </c>
      <c r="O187" t="str">
        <f>Lcode_mapping!P187</f>
        <v>CorrInfo_bX</v>
      </c>
      <c r="P187" t="str">
        <f>Lcode_mapping!Q187</f>
        <v>-</v>
      </c>
      <c r="Q187" t="str">
        <f>Lcode_mapping!R187</f>
        <v>PhaseCalOffset</v>
      </c>
      <c r="R187" t="str">
        <f>Lcode_mapping!S187</f>
        <v>-</v>
      </c>
      <c r="S187" t="str">
        <f>Lcode_mapping!T187</f>
        <v>-</v>
      </c>
      <c r="T187" t="str">
        <f>Lcode_mapping!U187</f>
        <v>-</v>
      </c>
      <c r="U187" t="str">
        <f>Lcode_mapping!V187</f>
        <v>-</v>
      </c>
      <c r="V187" t="str">
        <f>Lcode_mapping!W187</f>
        <v>-</v>
      </c>
    </row>
    <row r="188" spans="1:22" ht="15" customHeight="1" x14ac:dyDescent="0.25">
      <c r="A188">
        <f>Lcode_mapping!A188</f>
        <v>429</v>
      </c>
      <c r="B188">
        <f>Lcode_mapping!B188</f>
        <v>2</v>
      </c>
      <c r="C188" t="str">
        <f>Lcode_mapping!D188</f>
        <v>POLARIZ</v>
      </c>
      <c r="D188">
        <f>Lcode_mapping!E188</f>
        <v>2</v>
      </c>
      <c r="E188">
        <f>Lcode_mapping!F188</f>
        <v>16</v>
      </c>
      <c r="F188">
        <f>Lcode_mapping!G188</f>
        <v>1</v>
      </c>
      <c r="G188" t="str">
        <f>Lcode_mapping!H188</f>
        <v>A</v>
      </c>
      <c r="H188">
        <f>Lcode_mapping!I188</f>
        <v>1</v>
      </c>
      <c r="I188" t="str">
        <f>Lcode_mapping!J188</f>
        <v>Polarization per sta/chan R/L.</v>
      </c>
      <c r="J188" t="str">
        <f>Lcode_mapping!K188</f>
        <v>Obs</v>
      </c>
      <c r="K188" t="str">
        <f>Lcode_mapping!L188</f>
        <v>-</v>
      </c>
      <c r="L188" t="str">
        <f>Lcode_mapping!M188</f>
        <v>K</v>
      </c>
      <c r="M188" t="str">
        <f>Lcode_mapping!N188</f>
        <v>-</v>
      </c>
      <c r="N188" t="str">
        <f>Lcode_mapping!O188</f>
        <v>Observables</v>
      </c>
      <c r="O188" t="str">
        <f>Lcode_mapping!P188</f>
        <v>CorrInfo_bX</v>
      </c>
      <c r="P188" t="str">
        <f>Lcode_mapping!Q188</f>
        <v>-</v>
      </c>
      <c r="Q188" t="str">
        <f>Lcode_mapping!R188</f>
        <v>Polarization</v>
      </c>
      <c r="R188" t="str">
        <f>Lcode_mapping!S188</f>
        <v>-</v>
      </c>
      <c r="S188" t="str">
        <f>Lcode_mapping!T188</f>
        <v>-</v>
      </c>
      <c r="T188" t="str">
        <f>Lcode_mapping!U188</f>
        <v>-</v>
      </c>
      <c r="U188" t="str">
        <f>Lcode_mapping!V188</f>
        <v>-</v>
      </c>
      <c r="V188" t="str">
        <f>Lcode_mapping!W188</f>
        <v>-</v>
      </c>
    </row>
    <row r="189" spans="1:22" ht="15" customHeight="1" x14ac:dyDescent="0.25">
      <c r="A189">
        <f>Lcode_mapping!A189</f>
        <v>407</v>
      </c>
      <c r="B189">
        <f>Lcode_mapping!B189</f>
        <v>3</v>
      </c>
      <c r="C189" t="str">
        <f>Lcode_mapping!D189</f>
        <v>FALSEDET</v>
      </c>
      <c r="D189">
        <f>Lcode_mapping!E189</f>
        <v>1</v>
      </c>
      <c r="E189">
        <f>Lcode_mapping!F189</f>
        <v>1</v>
      </c>
      <c r="F189">
        <f>Lcode_mapping!G189</f>
        <v>1</v>
      </c>
      <c r="G189" t="str">
        <f>Lcode_mapping!H189</f>
        <v>R</v>
      </c>
      <c r="H189">
        <f>Lcode_mapping!I189</f>
        <v>1</v>
      </c>
      <c r="I189" t="str">
        <f>Lcode_mapping!J189</f>
        <v>Prob of false det from FRNGE.</v>
      </c>
      <c r="J189" t="str">
        <f>Lcode_mapping!K189</f>
        <v>Obs</v>
      </c>
      <c r="K189" t="str">
        <f>Lcode_mapping!L189</f>
        <v>-</v>
      </c>
      <c r="L189" t="str">
        <f>Lcode_mapping!M189</f>
        <v>K</v>
      </c>
      <c r="M189" t="str">
        <f>Lcode_mapping!N189</f>
        <v>-</v>
      </c>
      <c r="N189" t="str">
        <f>Lcode_mapping!O189</f>
        <v>Observables</v>
      </c>
      <c r="O189" t="str">
        <f>Lcode_mapping!P189</f>
        <v>CorrInfo_bX</v>
      </c>
      <c r="P189" t="str">
        <f>Lcode_mapping!Q189</f>
        <v>-</v>
      </c>
      <c r="Q189" t="str">
        <f>Lcode_mapping!R189</f>
        <v>ProbFalseDetection</v>
      </c>
      <c r="R189" t="str">
        <f>Lcode_mapping!S189</f>
        <v>-</v>
      </c>
      <c r="S189" t="str">
        <f>Lcode_mapping!T189</f>
        <v>-</v>
      </c>
      <c r="T189" t="str">
        <f>Lcode_mapping!U189</f>
        <v>-</v>
      </c>
      <c r="U189" t="str">
        <f>Lcode_mapping!V189</f>
        <v>-</v>
      </c>
      <c r="V189" t="str">
        <f>Lcode_mapping!W189</f>
        <v>-</v>
      </c>
    </row>
    <row r="190" spans="1:22" ht="15" customHeight="1" x14ac:dyDescent="0.25">
      <c r="A190">
        <f>Lcode_mapping!A190</f>
        <v>431</v>
      </c>
      <c r="B190">
        <f>Lcode_mapping!B190</f>
        <v>3</v>
      </c>
      <c r="C190" t="str">
        <f>Lcode_mapping!D190</f>
        <v>QBFACTOR</v>
      </c>
      <c r="D190">
        <f>Lcode_mapping!E190</f>
        <v>1</v>
      </c>
      <c r="E190">
        <f>Lcode_mapping!F190</f>
        <v>1</v>
      </c>
      <c r="F190">
        <f>Lcode_mapping!G190</f>
        <v>1</v>
      </c>
      <c r="G190" t="str">
        <f>Lcode_mapping!H190</f>
        <v>R</v>
      </c>
      <c r="H190">
        <f>Lcode_mapping!I190</f>
        <v>1</v>
      </c>
      <c r="I190" t="str">
        <f>Lcode_mapping!J190</f>
        <v>Measure of uniformity of data.</v>
      </c>
      <c r="J190" t="str">
        <f>Lcode_mapping!K190</f>
        <v>Obs</v>
      </c>
      <c r="K190" t="str">
        <f>Lcode_mapping!L190</f>
        <v>-</v>
      </c>
      <c r="L190" t="str">
        <f>Lcode_mapping!M190</f>
        <v>K</v>
      </c>
      <c r="M190" t="str">
        <f>Lcode_mapping!N190</f>
        <v>-</v>
      </c>
      <c r="N190" t="str">
        <f>Lcode_mapping!O190</f>
        <v>Observables</v>
      </c>
      <c r="O190" t="str">
        <f>Lcode_mapping!P190</f>
        <v>CorrInfo_bX</v>
      </c>
      <c r="P190" t="str">
        <f>Lcode_mapping!Q190</f>
        <v>-</v>
      </c>
      <c r="Q190" t="str">
        <f>Lcode_mapping!R190</f>
        <v>-</v>
      </c>
      <c r="R190" t="str">
        <f>Lcode_mapping!S190</f>
        <v>-</v>
      </c>
      <c r="S190" t="str">
        <f>Lcode_mapping!T190</f>
        <v>-</v>
      </c>
      <c r="T190" t="str">
        <f>Lcode_mapping!U190</f>
        <v>-</v>
      </c>
      <c r="U190" t="str">
        <f>Lcode_mapping!V190</f>
        <v>-</v>
      </c>
      <c r="V190" t="str">
        <f>Lcode_mapping!W190</f>
        <v>-</v>
      </c>
    </row>
    <row r="191" spans="1:22" ht="15" customHeight="1" x14ac:dyDescent="0.25">
      <c r="A191">
        <f>Lcode_mapping!A191</f>
        <v>432</v>
      </c>
      <c r="B191">
        <f>Lcode_mapping!B191</f>
        <v>3</v>
      </c>
      <c r="C191" t="str">
        <f>Lcode_mapping!D191</f>
        <v>RATOBSVM</v>
      </c>
      <c r="D191">
        <f>Lcode_mapping!E191</f>
        <v>1</v>
      </c>
      <c r="E191">
        <f>Lcode_mapping!F191</f>
        <v>1</v>
      </c>
      <c r="F191">
        <f>Lcode_mapping!G191</f>
        <v>1</v>
      </c>
      <c r="G191" t="str">
        <f>Lcode_mapping!H191</f>
        <v>R</v>
      </c>
      <c r="H191" t="str">
        <f>Lcode_mapping!I191</f>
        <v>x</v>
      </c>
      <c r="I191" t="str">
        <f>Lcode_mapping!J191</f>
        <v xml:space="preserve">Obs rate at central epoch . </v>
      </c>
      <c r="J191" t="str">
        <f>Lcode_mapping!K191</f>
        <v>Obs</v>
      </c>
      <c r="K191" t="str">
        <f>Lcode_mapping!L191</f>
        <v>-</v>
      </c>
      <c r="L191" t="str">
        <f>Lcode_mapping!M191</f>
        <v>K</v>
      </c>
      <c r="M191" t="str">
        <f>Lcode_mapping!N191</f>
        <v>-</v>
      </c>
      <c r="N191" t="str">
        <f>Lcode_mapping!O191</f>
        <v>Observables</v>
      </c>
      <c r="O191" t="str">
        <f>Lcode_mapping!P191</f>
        <v>CorrInfo_bX</v>
      </c>
      <c r="P191" t="str">
        <f>Lcode_mapping!Q191</f>
        <v>-</v>
      </c>
      <c r="Q191" t="str">
        <f>Lcode_mapping!R191</f>
        <v>-</v>
      </c>
      <c r="R191" t="str">
        <f>Lcode_mapping!S191</f>
        <v>-</v>
      </c>
      <c r="S191" t="str">
        <f>Lcode_mapping!T191</f>
        <v>-</v>
      </c>
      <c r="T191" t="str">
        <f>Lcode_mapping!U191</f>
        <v>-</v>
      </c>
      <c r="U191" t="str">
        <f>Lcode_mapping!V191</f>
        <v>-</v>
      </c>
      <c r="V191" t="str">
        <f>Lcode_mapping!W191</f>
        <v>-</v>
      </c>
    </row>
    <row r="192" spans="1:22" ht="15" customHeight="1" x14ac:dyDescent="0.25">
      <c r="A192">
        <f>Lcode_mapping!A192</f>
        <v>433</v>
      </c>
      <c r="B192">
        <f>Lcode_mapping!B192</f>
        <v>2</v>
      </c>
      <c r="C192" t="str">
        <f>Lcode_mapping!D192</f>
        <v>RATRESID</v>
      </c>
      <c r="D192">
        <f>Lcode_mapping!E192</f>
        <v>1</v>
      </c>
      <c r="E192">
        <f>Lcode_mapping!F192</f>
        <v>1</v>
      </c>
      <c r="F192">
        <f>Lcode_mapping!G192</f>
        <v>1</v>
      </c>
      <c r="G192" t="str">
        <f>Lcode_mapping!H192</f>
        <v>R</v>
      </c>
      <c r="H192">
        <f>Lcode_mapping!I192</f>
        <v>1</v>
      </c>
      <c r="I192" t="str">
        <f>Lcode_mapping!J192</f>
        <v>Rate resid (sec per sec).</v>
      </c>
      <c r="J192" t="str">
        <f>Lcode_mapping!K192</f>
        <v>Obs</v>
      </c>
      <c r="K192" t="str">
        <f>Lcode_mapping!L192</f>
        <v>-</v>
      </c>
      <c r="L192" t="str">
        <f>Lcode_mapping!M192</f>
        <v>K</v>
      </c>
      <c r="M192" t="str">
        <f>Lcode_mapping!N192</f>
        <v>-</v>
      </c>
      <c r="N192" t="str">
        <f>Lcode_mapping!O192</f>
        <v>Observables</v>
      </c>
      <c r="O192" t="str">
        <f>Lcode_mapping!P192</f>
        <v>CorrInfo_bX</v>
      </c>
      <c r="P192" t="str">
        <f>Lcode_mapping!Q192</f>
        <v>-</v>
      </c>
      <c r="Q192" t="str">
        <f>Lcode_mapping!R192</f>
        <v>-</v>
      </c>
      <c r="R192" t="str">
        <f>Lcode_mapping!S192</f>
        <v>-</v>
      </c>
      <c r="S192" t="str">
        <f>Lcode_mapping!T192</f>
        <v>-</v>
      </c>
      <c r="T192" t="str">
        <f>Lcode_mapping!U192</f>
        <v>-</v>
      </c>
      <c r="U192" t="str">
        <f>Lcode_mapping!V192</f>
        <v>-</v>
      </c>
      <c r="V192" t="str">
        <f>Lcode_mapping!W192</f>
        <v>-</v>
      </c>
    </row>
    <row r="193" spans="1:22" ht="15" customHeight="1" x14ac:dyDescent="0.25">
      <c r="A193">
        <f>Lcode_mapping!A193</f>
        <v>434</v>
      </c>
      <c r="B193">
        <f>Lcode_mapping!B193</f>
        <v>2</v>
      </c>
      <c r="C193" t="str">
        <f>Lcode_mapping!D193</f>
        <v>RECSETUP</v>
      </c>
      <c r="D193">
        <f>Lcode_mapping!E193</f>
        <v>3</v>
      </c>
      <c r="E193">
        <f>Lcode_mapping!F193</f>
        <v>1</v>
      </c>
      <c r="F193">
        <f>Lcode_mapping!G193</f>
        <v>1</v>
      </c>
      <c r="G193" t="str">
        <f>Lcode_mapping!H193</f>
        <v>I</v>
      </c>
      <c r="H193">
        <f>Lcode_mapping!I193</f>
        <v>0</v>
      </c>
      <c r="I193" t="str">
        <f>Lcode_mapping!J193</f>
        <v xml:space="preserve">Samp rate(kHz) Frames/PP PP/AP. </v>
      </c>
      <c r="J193" t="str">
        <f>Lcode_mapping!K193</f>
        <v>Obs</v>
      </c>
      <c r="K193" t="str">
        <f>Lcode_mapping!L193</f>
        <v>-</v>
      </c>
      <c r="L193" t="str">
        <f>Lcode_mapping!M193</f>
        <v>K</v>
      </c>
      <c r="M193" t="str">
        <f>Lcode_mapping!N193</f>
        <v>-</v>
      </c>
      <c r="N193" t="str">
        <f>Lcode_mapping!O193</f>
        <v>Observables</v>
      </c>
      <c r="O193" t="str">
        <f>Lcode_mapping!P193</f>
        <v>CorrInfo_bX</v>
      </c>
      <c r="P193" t="str">
        <f>Lcode_mapping!Q193</f>
        <v>-</v>
      </c>
      <c r="Q193" t="str">
        <f>Lcode_mapping!R193</f>
        <v>-</v>
      </c>
      <c r="R193" t="str">
        <f>Lcode_mapping!S193</f>
        <v>-</v>
      </c>
      <c r="S193" t="str">
        <f>Lcode_mapping!T193</f>
        <v>-</v>
      </c>
      <c r="T193" t="str">
        <f>Lcode_mapping!U193</f>
        <v>-</v>
      </c>
      <c r="U193" t="str">
        <f>Lcode_mapping!V193</f>
        <v>-</v>
      </c>
      <c r="V193" t="str">
        <f>Lcode_mapping!W193</f>
        <v>-</v>
      </c>
    </row>
    <row r="194" spans="1:22" ht="15" customHeight="1" x14ac:dyDescent="0.25">
      <c r="A194">
        <f>Lcode_mapping!A194</f>
        <v>435</v>
      </c>
      <c r="B194">
        <f>Lcode_mapping!B194</f>
        <v>3</v>
      </c>
      <c r="C194" t="str">
        <f>Lcode_mapping!D194</f>
        <v>RECTRACK</v>
      </c>
      <c r="D194">
        <f>Lcode_mapping!E194</f>
        <v>2</v>
      </c>
      <c r="E194">
        <f>Lcode_mapping!F194</f>
        <v>2</v>
      </c>
      <c r="F194">
        <f>Lcode_mapping!G194</f>
        <v>14</v>
      </c>
      <c r="G194" t="str">
        <f>Lcode_mapping!H194</f>
        <v>I</v>
      </c>
      <c r="H194" t="str">
        <f>Lcode_mapping!I194</f>
        <v>x</v>
      </c>
      <c r="I194" t="str">
        <f>Lcode_mapping!J194</f>
        <v xml:space="preserve">Trk table by sta sideb channel. </v>
      </c>
      <c r="J194" t="str">
        <f>Lcode_mapping!K194</f>
        <v>Obs</v>
      </c>
      <c r="K194" t="str">
        <f>Lcode_mapping!L194</f>
        <v>-</v>
      </c>
      <c r="L194" t="str">
        <f>Lcode_mapping!M194</f>
        <v>K</v>
      </c>
      <c r="M194" t="str">
        <f>Lcode_mapping!N194</f>
        <v>-</v>
      </c>
      <c r="N194" t="str">
        <f>Lcode_mapping!O194</f>
        <v>Observables</v>
      </c>
      <c r="O194" t="str">
        <f>Lcode_mapping!P194</f>
        <v>CorrInfo_bX</v>
      </c>
      <c r="P194" t="str">
        <f>Lcode_mapping!Q194</f>
        <v>-</v>
      </c>
      <c r="Q194" t="str">
        <f>Lcode_mapping!R194</f>
        <v>-</v>
      </c>
      <c r="R194" t="str">
        <f>Lcode_mapping!S194</f>
        <v>-</v>
      </c>
      <c r="S194" t="str">
        <f>Lcode_mapping!T194</f>
        <v>-</v>
      </c>
      <c r="T194" t="str">
        <f>Lcode_mapping!U194</f>
        <v>-</v>
      </c>
      <c r="U194" t="str">
        <f>Lcode_mapping!V194</f>
        <v>-</v>
      </c>
      <c r="V194" t="str">
        <f>Lcode_mapping!W194</f>
        <v>-</v>
      </c>
    </row>
    <row r="195" spans="1:22" ht="15" customHeight="1" x14ac:dyDescent="0.25">
      <c r="A195">
        <f>Lcode_mapping!A195</f>
        <v>436</v>
      </c>
      <c r="B195">
        <f>Lcode_mapping!B195</f>
        <v>3</v>
      </c>
      <c r="C195" t="str">
        <f>Lcode_mapping!D195</f>
        <v>REFCLKER</v>
      </c>
      <c r="D195">
        <f>Lcode_mapping!E195</f>
        <v>1</v>
      </c>
      <c r="E195">
        <f>Lcode_mapping!F195</f>
        <v>1</v>
      </c>
      <c r="F195">
        <f>Lcode_mapping!G195</f>
        <v>1</v>
      </c>
      <c r="G195" t="str">
        <f>Lcode_mapping!H195</f>
        <v>R</v>
      </c>
      <c r="H195">
        <f>Lcode_mapping!I195</f>
        <v>1</v>
      </c>
      <c r="I195" t="str">
        <f>Lcode_mapping!J195</f>
        <v>Ref sta clock epoch microsec.</v>
      </c>
      <c r="J195" t="str">
        <f>Lcode_mapping!K195</f>
        <v>Obs</v>
      </c>
      <c r="K195" t="str">
        <f>Lcode_mapping!L195</f>
        <v>-</v>
      </c>
      <c r="L195" t="str">
        <f>Lcode_mapping!M195</f>
        <v>K</v>
      </c>
      <c r="M195" t="str">
        <f>Lcode_mapping!N195</f>
        <v>-</v>
      </c>
      <c r="N195" t="str">
        <f>Lcode_mapping!O195</f>
        <v>Observables</v>
      </c>
      <c r="O195" t="str">
        <f>Lcode_mapping!P195</f>
        <v>CorrInfo_bX</v>
      </c>
      <c r="P195" t="str">
        <f>Lcode_mapping!Q195</f>
        <v>-</v>
      </c>
      <c r="Q195" t="str">
        <f>Lcode_mapping!R195</f>
        <v>-</v>
      </c>
      <c r="R195" t="str">
        <f>Lcode_mapping!S195</f>
        <v>-</v>
      </c>
      <c r="S195" t="str">
        <f>Lcode_mapping!T195</f>
        <v>-</v>
      </c>
      <c r="T195" t="str">
        <f>Lcode_mapping!U195</f>
        <v>-</v>
      </c>
      <c r="U195" t="str">
        <f>Lcode_mapping!V195</f>
        <v>-</v>
      </c>
      <c r="V195" t="str">
        <f>Lcode_mapping!W195</f>
        <v>-</v>
      </c>
    </row>
    <row r="196" spans="1:22" ht="15" customHeight="1" x14ac:dyDescent="0.25">
      <c r="A196">
        <f>Lcode_mapping!A196</f>
        <v>438</v>
      </c>
      <c r="B196">
        <f>Lcode_mapping!B196</f>
        <v>3</v>
      </c>
      <c r="C196" t="str">
        <f>Lcode_mapping!D196</f>
        <v>RUN CODE</v>
      </c>
      <c r="D196">
        <f>Lcode_mapping!E196</f>
        <v>4</v>
      </c>
      <c r="E196">
        <f>Lcode_mapping!F196</f>
        <v>1</v>
      </c>
      <c r="F196">
        <f>Lcode_mapping!G196</f>
        <v>1</v>
      </c>
      <c r="G196" t="str">
        <f>Lcode_mapping!H196</f>
        <v>A</v>
      </c>
      <c r="H196">
        <f>Lcode_mapping!I196</f>
        <v>1</v>
      </c>
      <c r="I196" t="str">
        <f>Lcode_mapping!J196</f>
        <v xml:space="preserve">Run code  e.g.  "329-1300". </v>
      </c>
      <c r="J196" t="str">
        <f>Lcode_mapping!K196</f>
        <v>Obs</v>
      </c>
      <c r="K196" t="str">
        <f>Lcode_mapping!L196</f>
        <v>-</v>
      </c>
      <c r="L196" t="str">
        <f>Lcode_mapping!M196</f>
        <v>K</v>
      </c>
      <c r="M196" t="str">
        <f>Lcode_mapping!N196</f>
        <v>-</v>
      </c>
      <c r="N196" t="str">
        <f>Lcode_mapping!O196</f>
        <v>Observables</v>
      </c>
      <c r="O196" t="str">
        <f>Lcode_mapping!P196</f>
        <v>CorrInfo_bX</v>
      </c>
      <c r="P196" t="str">
        <f>Lcode_mapping!Q196</f>
        <v>-</v>
      </c>
      <c r="Q196" t="str">
        <f>Lcode_mapping!R196</f>
        <v>RunCode</v>
      </c>
      <c r="R196" t="str">
        <f>Lcode_mapping!S196</f>
        <v>-</v>
      </c>
      <c r="S196" t="str">
        <f>Lcode_mapping!T196</f>
        <v>-</v>
      </c>
      <c r="T196" t="str">
        <f>Lcode_mapping!U196</f>
        <v>-</v>
      </c>
      <c r="U196" t="str">
        <f>Lcode_mapping!V196</f>
        <v>-</v>
      </c>
      <c r="V196" t="str">
        <f>Lcode_mapping!W196</f>
        <v>-</v>
      </c>
    </row>
    <row r="197" spans="1:22" ht="15" customHeight="1" x14ac:dyDescent="0.25">
      <c r="A197">
        <f>Lcode_mapping!A197</f>
        <v>461</v>
      </c>
      <c r="B197">
        <f>Lcode_mapping!B197</f>
        <v>2</v>
      </c>
      <c r="C197" t="str">
        <f>Lcode_mapping!D197</f>
        <v>S2EFFREQ</v>
      </c>
      <c r="D197">
        <f>Lcode_mapping!E197</f>
        <v>1</v>
      </c>
      <c r="E197">
        <f>Lcode_mapping!F197</f>
        <v>1</v>
      </c>
      <c r="F197">
        <f>Lcode_mapping!G197</f>
        <v>1</v>
      </c>
      <c r="G197" t="str">
        <f>Lcode_mapping!H197</f>
        <v>R</v>
      </c>
      <c r="H197">
        <f>Lcode_mapping!I197</f>
        <v>1</v>
      </c>
      <c r="I197" t="str">
        <f>Lcode_mapping!J197</f>
        <v>Effective group freq for ion.</v>
      </c>
      <c r="J197" t="str">
        <f>Lcode_mapping!K197</f>
        <v>Obs</v>
      </c>
      <c r="K197" t="str">
        <f>Lcode_mapping!L197</f>
        <v>-</v>
      </c>
      <c r="L197" t="str">
        <f>Lcode_mapping!M197</f>
        <v>K</v>
      </c>
      <c r="M197" t="str">
        <f>Lcode_mapping!N197</f>
        <v>-</v>
      </c>
      <c r="N197" t="str">
        <f>Lcode_mapping!O197</f>
        <v>Observables</v>
      </c>
      <c r="O197" t="str">
        <f>Lcode_mapping!P197</f>
        <v>CorrInfo_bX</v>
      </c>
      <c r="P197" t="str">
        <f>Lcode_mapping!Q197</f>
        <v>-</v>
      </c>
      <c r="Q197" t="str">
        <f>Lcode_mapping!R197</f>
        <v>-</v>
      </c>
      <c r="R197" t="str">
        <f>Lcode_mapping!S197</f>
        <v>-</v>
      </c>
      <c r="S197" t="str">
        <f>Lcode_mapping!T197</f>
        <v>-</v>
      </c>
      <c r="T197" t="str">
        <f>Lcode_mapping!U197</f>
        <v>-</v>
      </c>
      <c r="U197" t="str">
        <f>Lcode_mapping!V197</f>
        <v>-</v>
      </c>
      <c r="V197" t="str">
        <f>Lcode_mapping!W197</f>
        <v>-</v>
      </c>
    </row>
    <row r="198" spans="1:22" ht="15" customHeight="1" x14ac:dyDescent="0.25">
      <c r="A198">
        <f>Lcode_mapping!A198</f>
        <v>462</v>
      </c>
      <c r="B198">
        <f>Lcode_mapping!B198</f>
        <v>2</v>
      </c>
      <c r="C198" t="str">
        <f>Lcode_mapping!D198</f>
        <v>S2PHEFRQ</v>
      </c>
      <c r="D198">
        <f>Lcode_mapping!E198</f>
        <v>1</v>
      </c>
      <c r="E198">
        <f>Lcode_mapping!F198</f>
        <v>1</v>
      </c>
      <c r="F198">
        <f>Lcode_mapping!G198</f>
        <v>1</v>
      </c>
      <c r="G198" t="str">
        <f>Lcode_mapping!H198</f>
        <v>R</v>
      </c>
      <c r="H198">
        <f>Lcode_mapping!I198</f>
        <v>1</v>
      </c>
      <c r="I198" t="str">
        <f>Lcode_mapping!J198</f>
        <v>Effective phase frequency</v>
      </c>
      <c r="J198" t="str">
        <f>Lcode_mapping!K198</f>
        <v>Obs</v>
      </c>
      <c r="K198" t="str">
        <f>Lcode_mapping!L198</f>
        <v>-</v>
      </c>
      <c r="L198" t="str">
        <f>Lcode_mapping!M198</f>
        <v>K</v>
      </c>
      <c r="M198" t="str">
        <f>Lcode_mapping!N198</f>
        <v>-</v>
      </c>
      <c r="N198" t="str">
        <f>Lcode_mapping!O198</f>
        <v>Observables</v>
      </c>
      <c r="O198" t="str">
        <f>Lcode_mapping!P198</f>
        <v>CorrInfo_bX</v>
      </c>
      <c r="P198" t="str">
        <f>Lcode_mapping!Q198</f>
        <v>-</v>
      </c>
      <c r="Q198" t="str">
        <f>Lcode_mapping!R198</f>
        <v>-</v>
      </c>
      <c r="R198" t="str">
        <f>Lcode_mapping!S198</f>
        <v>-</v>
      </c>
      <c r="S198" t="str">
        <f>Lcode_mapping!T198</f>
        <v>-</v>
      </c>
      <c r="T198" t="str">
        <f>Lcode_mapping!U198</f>
        <v>-</v>
      </c>
      <c r="U198" t="str">
        <f>Lcode_mapping!V198</f>
        <v>-</v>
      </c>
      <c r="V198" t="str">
        <f>Lcode_mapping!W198</f>
        <v>-</v>
      </c>
    </row>
    <row r="199" spans="1:22" ht="15" customHeight="1" x14ac:dyDescent="0.25">
      <c r="A199">
        <f>Lcode_mapping!A199</f>
        <v>463</v>
      </c>
      <c r="B199">
        <f>Lcode_mapping!B199</f>
        <v>2</v>
      </c>
      <c r="C199" t="str">
        <f>Lcode_mapping!D199</f>
        <v>S2REFREQ</v>
      </c>
      <c r="D199">
        <f>Lcode_mapping!E199</f>
        <v>1</v>
      </c>
      <c r="E199">
        <f>Lcode_mapping!F199</f>
        <v>1</v>
      </c>
      <c r="F199">
        <f>Lcode_mapping!G199</f>
        <v>1</v>
      </c>
      <c r="G199" t="str">
        <f>Lcode_mapping!H199</f>
        <v>R</v>
      </c>
      <c r="H199">
        <f>Lcode_mapping!I199</f>
        <v>1</v>
      </c>
      <c r="I199" t="str">
        <f>Lcode_mapping!J199</f>
        <v>Effective frequency for rate</v>
      </c>
      <c r="J199" t="str">
        <f>Lcode_mapping!K199</f>
        <v>Obs</v>
      </c>
      <c r="K199" t="str">
        <f>Lcode_mapping!L199</f>
        <v>-</v>
      </c>
      <c r="L199" t="str">
        <f>Lcode_mapping!M199</f>
        <v>K</v>
      </c>
      <c r="M199" t="str">
        <f>Lcode_mapping!N199</f>
        <v>-</v>
      </c>
      <c r="N199" t="str">
        <f>Lcode_mapping!O199</f>
        <v>Observables</v>
      </c>
      <c r="O199" t="str">
        <f>Lcode_mapping!P199</f>
        <v>CorrInfo_bX</v>
      </c>
      <c r="P199" t="str">
        <f>Lcode_mapping!Q199</f>
        <v>-</v>
      </c>
      <c r="Q199" t="str">
        <f>Lcode_mapping!R199</f>
        <v>-</v>
      </c>
      <c r="R199" t="str">
        <f>Lcode_mapping!S199</f>
        <v>-</v>
      </c>
      <c r="S199" t="str">
        <f>Lcode_mapping!T199</f>
        <v>-</v>
      </c>
      <c r="T199" t="str">
        <f>Lcode_mapping!U199</f>
        <v>-</v>
      </c>
      <c r="U199" t="str">
        <f>Lcode_mapping!V199</f>
        <v>-</v>
      </c>
      <c r="V199" t="str">
        <f>Lcode_mapping!W199</f>
        <v>-</v>
      </c>
    </row>
    <row r="200" spans="1:22" ht="15" customHeight="1" x14ac:dyDescent="0.25">
      <c r="A200">
        <f>Lcode_mapping!A200</f>
        <v>439</v>
      </c>
      <c r="B200">
        <f>Lcode_mapping!B200</f>
        <v>2</v>
      </c>
      <c r="C200" t="str">
        <f>Lcode_mapping!D200</f>
        <v>SAMPLRAT</v>
      </c>
      <c r="D200">
        <f>Lcode_mapping!E200</f>
        <v>1</v>
      </c>
      <c r="E200">
        <f>Lcode_mapping!F200</f>
        <v>1</v>
      </c>
      <c r="F200">
        <f>Lcode_mapping!G200</f>
        <v>1</v>
      </c>
      <c r="G200" t="str">
        <f>Lcode_mapping!H200</f>
        <v>R</v>
      </c>
      <c r="H200">
        <f>Lcode_mapping!I200</f>
        <v>1</v>
      </c>
      <c r="I200" t="str">
        <f>Lcode_mapping!J200</f>
        <v>Sample rate (Hz).</v>
      </c>
      <c r="J200" t="str">
        <f>Lcode_mapping!K200</f>
        <v>Obs</v>
      </c>
      <c r="K200" t="str">
        <f>Lcode_mapping!L200</f>
        <v>-</v>
      </c>
      <c r="L200" t="str">
        <f>Lcode_mapping!M200</f>
        <v>K</v>
      </c>
      <c r="M200" t="str">
        <f>Lcode_mapping!N200</f>
        <v>-</v>
      </c>
      <c r="N200" t="str">
        <f>Lcode_mapping!O200</f>
        <v>Observables</v>
      </c>
      <c r="O200" t="str">
        <f>Lcode_mapping!P200</f>
        <v>CorrInfo_bX</v>
      </c>
      <c r="P200" t="str">
        <f>Lcode_mapping!Q200</f>
        <v>-</v>
      </c>
      <c r="Q200" t="str">
        <f>Lcode_mapping!R200</f>
        <v>SampleRate</v>
      </c>
      <c r="R200" t="str">
        <f>Lcode_mapping!S200</f>
        <v>-</v>
      </c>
      <c r="S200" t="str">
        <f>Lcode_mapping!T200</f>
        <v>-</v>
      </c>
      <c r="T200" t="str">
        <f>Lcode_mapping!U200</f>
        <v>-</v>
      </c>
      <c r="U200" t="str">
        <f>Lcode_mapping!V200</f>
        <v>-</v>
      </c>
      <c r="V200" t="str">
        <f>Lcode_mapping!W200</f>
        <v>-</v>
      </c>
    </row>
    <row r="201" spans="1:22" ht="15" customHeight="1" x14ac:dyDescent="0.25">
      <c r="A201">
        <f>Lcode_mapping!A201</f>
        <v>440</v>
      </c>
      <c r="B201">
        <f>Lcode_mapping!B201</f>
        <v>2</v>
      </c>
      <c r="C201" t="str">
        <f>Lcode_mapping!D201</f>
        <v>SBRESID</v>
      </c>
      <c r="D201">
        <f>Lcode_mapping!E201</f>
        <v>1</v>
      </c>
      <c r="E201">
        <f>Lcode_mapping!F201</f>
        <v>1</v>
      </c>
      <c r="F201">
        <f>Lcode_mapping!G201</f>
        <v>1</v>
      </c>
      <c r="G201" t="str">
        <f>Lcode_mapping!H201</f>
        <v>R</v>
      </c>
      <c r="H201">
        <f>Lcode_mapping!I201</f>
        <v>1</v>
      </c>
      <c r="I201" t="str">
        <f>Lcode_mapping!J201</f>
        <v>Single band delay residual.</v>
      </c>
      <c r="J201" t="str">
        <f>Lcode_mapping!K201</f>
        <v>Obs</v>
      </c>
      <c r="K201">
        <f>Lcode_mapping!L201</f>
        <v>0</v>
      </c>
      <c r="L201" t="str">
        <f>Lcode_mapping!M201</f>
        <v>K</v>
      </c>
      <c r="M201" t="str">
        <f>Lcode_mapping!N201</f>
        <v>-</v>
      </c>
      <c r="N201" t="str">
        <f>Lcode_mapping!O201</f>
        <v>Observables</v>
      </c>
      <c r="O201" t="str">
        <f>Lcode_mapping!P201</f>
        <v>CorrInfo_bX</v>
      </c>
      <c r="P201" t="str">
        <f>Lcode_mapping!Q201</f>
        <v>-</v>
      </c>
      <c r="Q201" t="str">
        <f>Lcode_mapping!R201</f>
        <v>-</v>
      </c>
      <c r="R201" t="str">
        <f>Lcode_mapping!S201</f>
        <v>-</v>
      </c>
      <c r="S201" t="str">
        <f>Lcode_mapping!T201</f>
        <v>-</v>
      </c>
      <c r="T201" t="str">
        <f>Lcode_mapping!U201</f>
        <v>-</v>
      </c>
      <c r="U201" t="str">
        <f>Lcode_mapping!V201</f>
        <v>-</v>
      </c>
      <c r="V201" t="str">
        <f>Lcode_mapping!W201</f>
        <v>-</v>
      </c>
    </row>
    <row r="202" spans="1:22" ht="15" customHeight="1" x14ac:dyDescent="0.25">
      <c r="A202">
        <f>Lcode_mapping!A202</f>
        <v>442</v>
      </c>
      <c r="B202">
        <f>Lcode_mapping!B202</f>
        <v>2</v>
      </c>
      <c r="C202" t="str">
        <f>Lcode_mapping!D202</f>
        <v>SRCHPAR</v>
      </c>
      <c r="D202">
        <f>Lcode_mapping!E202</f>
        <v>6</v>
      </c>
      <c r="E202">
        <f>Lcode_mapping!F202</f>
        <v>1</v>
      </c>
      <c r="F202">
        <f>Lcode_mapping!G202</f>
        <v>1</v>
      </c>
      <c r="G202" t="str">
        <f>Lcode_mapping!H202</f>
        <v>R</v>
      </c>
      <c r="H202">
        <f>Lcode_mapping!I202</f>
        <v>1</v>
      </c>
      <c r="I202" t="str">
        <f>Lcode_mapping!J202</f>
        <v>FRNGE/Fourfit search parameters.</v>
      </c>
      <c r="J202" t="str">
        <f>Lcode_mapping!K202</f>
        <v>Obs</v>
      </c>
      <c r="K202" t="str">
        <f>Lcode_mapping!L202</f>
        <v>-</v>
      </c>
      <c r="L202" t="str">
        <f>Lcode_mapping!M202</f>
        <v>K</v>
      </c>
      <c r="M202" t="str">
        <f>Lcode_mapping!N202</f>
        <v>-</v>
      </c>
      <c r="N202" t="str">
        <f>Lcode_mapping!O202</f>
        <v>Observables</v>
      </c>
      <c r="O202" t="str">
        <f>Lcode_mapping!P202</f>
        <v>CorrInfo_bX</v>
      </c>
      <c r="P202" t="str">
        <f>Lcode_mapping!Q202</f>
        <v>-</v>
      </c>
      <c r="Q202" t="str">
        <f>Lcode_mapping!R202</f>
        <v>-</v>
      </c>
      <c r="R202" t="str">
        <f>Lcode_mapping!S202</f>
        <v>-</v>
      </c>
      <c r="S202" t="str">
        <f>Lcode_mapping!T202</f>
        <v>-</v>
      </c>
      <c r="T202" t="str">
        <f>Lcode_mapping!U202</f>
        <v>-</v>
      </c>
      <c r="U202" t="str">
        <f>Lcode_mapping!V202</f>
        <v>-</v>
      </c>
      <c r="V202" t="str">
        <f>Lcode_mapping!W202</f>
        <v>-</v>
      </c>
    </row>
    <row r="203" spans="1:22" ht="15" customHeight="1" x14ac:dyDescent="0.25">
      <c r="A203">
        <f>Lcode_mapping!A203</f>
        <v>443</v>
      </c>
      <c r="B203">
        <f>Lcode_mapping!B203</f>
        <v>3</v>
      </c>
      <c r="C203" t="str">
        <f>Lcode_mapping!D203</f>
        <v>STARELEV</v>
      </c>
      <c r="D203">
        <f>Lcode_mapping!E203</f>
        <v>2</v>
      </c>
      <c r="E203">
        <f>Lcode_mapping!F203</f>
        <v>1</v>
      </c>
      <c r="F203">
        <f>Lcode_mapping!G203</f>
        <v>1</v>
      </c>
      <c r="G203" t="str">
        <f>Lcode_mapping!H203</f>
        <v>R</v>
      </c>
      <c r="H203">
        <f>Lcode_mapping!I203</f>
        <v>1</v>
      </c>
      <c r="I203" t="str">
        <f>Lcode_mapping!J203</f>
        <v>Elev angles calc by COREL.</v>
      </c>
      <c r="J203" t="str">
        <f>Lcode_mapping!K203</f>
        <v>Obs</v>
      </c>
      <c r="K203" t="str">
        <f>Lcode_mapping!L203</f>
        <v>-</v>
      </c>
      <c r="L203" t="str">
        <f>Lcode_mapping!M203</f>
        <v>K</v>
      </c>
      <c r="M203" t="str">
        <f>Lcode_mapping!N203</f>
        <v>-</v>
      </c>
      <c r="N203" t="str">
        <f>Lcode_mapping!O203</f>
        <v>Observables</v>
      </c>
      <c r="O203" t="str">
        <f>Lcode_mapping!P203</f>
        <v>CorrInfo_bX</v>
      </c>
      <c r="P203" t="str">
        <f>Lcode_mapping!Q203</f>
        <v>-</v>
      </c>
      <c r="Q203" t="str">
        <f>Lcode_mapping!R203</f>
        <v>-</v>
      </c>
      <c r="R203" t="str">
        <f>Lcode_mapping!S203</f>
        <v>-</v>
      </c>
      <c r="S203" t="str">
        <f>Lcode_mapping!T203</f>
        <v>-</v>
      </c>
      <c r="T203" t="str">
        <f>Lcode_mapping!U203</f>
        <v>-</v>
      </c>
      <c r="U203" t="str">
        <f>Lcode_mapping!V203</f>
        <v>-</v>
      </c>
      <c r="V203" t="str">
        <f>Lcode_mapping!W203</f>
        <v>-</v>
      </c>
    </row>
    <row r="204" spans="1:22" ht="15" customHeight="1" x14ac:dyDescent="0.25">
      <c r="A204">
        <f>Lcode_mapping!A204</f>
        <v>444</v>
      </c>
      <c r="B204">
        <f>Lcode_mapping!B204</f>
        <v>3</v>
      </c>
      <c r="C204" t="str">
        <f>Lcode_mapping!D204</f>
        <v>STARTOFF</v>
      </c>
      <c r="D204">
        <f>Lcode_mapping!E204</f>
        <v>1</v>
      </c>
      <c r="E204">
        <f>Lcode_mapping!F204</f>
        <v>1</v>
      </c>
      <c r="F204">
        <f>Lcode_mapping!G204</f>
        <v>1</v>
      </c>
      <c r="G204" t="str">
        <f>Lcode_mapping!H204</f>
        <v>I</v>
      </c>
      <c r="H204">
        <f>Lcode_mapping!I204</f>
        <v>1</v>
      </c>
      <c r="I204" t="str">
        <f>Lcode_mapping!J204</f>
        <v>Offset nominal start time (sec).</v>
      </c>
      <c r="J204" t="str">
        <f>Lcode_mapping!K204</f>
        <v>Obs</v>
      </c>
      <c r="K204" t="str">
        <f>Lcode_mapping!L204</f>
        <v>-</v>
      </c>
      <c r="L204" t="str">
        <f>Lcode_mapping!M204</f>
        <v>K</v>
      </c>
      <c r="M204" t="str">
        <f>Lcode_mapping!N204</f>
        <v>-</v>
      </c>
      <c r="N204" t="str">
        <f>Lcode_mapping!O204</f>
        <v>Observables</v>
      </c>
      <c r="O204" t="str">
        <f>Lcode_mapping!P204</f>
        <v>CorrInfo_bX</v>
      </c>
      <c r="P204" t="str">
        <f>Lcode_mapping!Q204</f>
        <v>-</v>
      </c>
      <c r="Q204" t="str">
        <f>Lcode_mapping!R204</f>
        <v>StartOffset</v>
      </c>
      <c r="R204" t="str">
        <f>Lcode_mapping!S204</f>
        <v>-</v>
      </c>
      <c r="S204" t="str">
        <f>Lcode_mapping!T204</f>
        <v>-</v>
      </c>
      <c r="T204" t="str">
        <f>Lcode_mapping!U204</f>
        <v>-</v>
      </c>
      <c r="U204" t="str">
        <f>Lcode_mapping!V204</f>
        <v>-</v>
      </c>
      <c r="V204" t="str">
        <f>Lcode_mapping!W204</f>
        <v>-</v>
      </c>
    </row>
    <row r="205" spans="1:22" ht="15" customHeight="1" x14ac:dyDescent="0.25">
      <c r="A205">
        <f>Lcode_mapping!A205</f>
        <v>445</v>
      </c>
      <c r="B205">
        <f>Lcode_mapping!B205</f>
        <v>2</v>
      </c>
      <c r="C205" t="str">
        <f>Lcode_mapping!D205</f>
        <v>STARTSEC</v>
      </c>
      <c r="D205">
        <f>Lcode_mapping!E205</f>
        <v>1</v>
      </c>
      <c r="E205">
        <f>Lcode_mapping!F205</f>
        <v>1</v>
      </c>
      <c r="F205">
        <f>Lcode_mapping!G205</f>
        <v>1</v>
      </c>
      <c r="G205" t="str">
        <f>Lcode_mapping!H205</f>
        <v>R</v>
      </c>
      <c r="H205">
        <f>Lcode_mapping!I205</f>
        <v>1</v>
      </c>
      <c r="I205" t="str">
        <f>Lcode_mapping!J205</f>
        <v>Start time in sec past hour.</v>
      </c>
      <c r="J205" t="str">
        <f>Lcode_mapping!K205</f>
        <v>Obs</v>
      </c>
      <c r="K205" t="str">
        <f>Lcode_mapping!L205</f>
        <v>Duplicate</v>
      </c>
      <c r="L205" t="str">
        <f>Lcode_mapping!M205</f>
        <v>K</v>
      </c>
      <c r="M205" t="str">
        <f>Lcode_mapping!N205</f>
        <v>-</v>
      </c>
      <c r="N205" t="str">
        <f>Lcode_mapping!O205</f>
        <v>Observables</v>
      </c>
      <c r="O205" t="str">
        <f>Lcode_mapping!P205</f>
        <v>CorrInfo_bX</v>
      </c>
      <c r="P205" t="str">
        <f>Lcode_mapping!Q205</f>
        <v>-</v>
      </c>
      <c r="Q205" t="str">
        <f>Lcode_mapping!R205</f>
        <v>-</v>
      </c>
      <c r="R205" t="str">
        <f>Lcode_mapping!S205</f>
        <v>-</v>
      </c>
      <c r="S205" t="str">
        <f>Lcode_mapping!T205</f>
        <v>-</v>
      </c>
      <c r="T205" t="str">
        <f>Lcode_mapping!U205</f>
        <v>-</v>
      </c>
      <c r="U205" t="str">
        <f>Lcode_mapping!V205</f>
        <v>-</v>
      </c>
      <c r="V205" t="str">
        <f>Lcode_mapping!W205</f>
        <v>-</v>
      </c>
    </row>
    <row r="206" spans="1:22" ht="15" customHeight="1" x14ac:dyDescent="0.25">
      <c r="A206">
        <f>Lcode_mapping!A206</f>
        <v>446</v>
      </c>
      <c r="B206">
        <f>Lcode_mapping!B206</f>
        <v>3</v>
      </c>
      <c r="C206" t="str">
        <f>Lcode_mapping!D206</f>
        <v>STOP OFF</v>
      </c>
      <c r="D206">
        <f>Lcode_mapping!E206</f>
        <v>1</v>
      </c>
      <c r="E206">
        <f>Lcode_mapping!F206</f>
        <v>1</v>
      </c>
      <c r="F206">
        <f>Lcode_mapping!G206</f>
        <v>1</v>
      </c>
      <c r="G206" t="str">
        <f>Lcode_mapping!H206</f>
        <v>I</v>
      </c>
      <c r="H206">
        <f>Lcode_mapping!I206</f>
        <v>1</v>
      </c>
      <c r="I206" t="str">
        <f>Lcode_mapping!J206</f>
        <v>Offset nominal stop time (sec).</v>
      </c>
      <c r="J206" t="str">
        <f>Lcode_mapping!K206</f>
        <v>Obs</v>
      </c>
      <c r="K206" t="str">
        <f>Lcode_mapping!L206</f>
        <v>-</v>
      </c>
      <c r="L206" t="str">
        <f>Lcode_mapping!M206</f>
        <v>K</v>
      </c>
      <c r="M206" t="str">
        <f>Lcode_mapping!N206</f>
        <v>-</v>
      </c>
      <c r="N206" t="str">
        <f>Lcode_mapping!O206</f>
        <v>Observables</v>
      </c>
      <c r="O206" t="str">
        <f>Lcode_mapping!P206</f>
        <v>CorrInfo_bX</v>
      </c>
      <c r="P206" t="str">
        <f>Lcode_mapping!Q206</f>
        <v>-</v>
      </c>
      <c r="Q206" t="str">
        <f>Lcode_mapping!R206</f>
        <v>StopOffset</v>
      </c>
      <c r="R206" t="str">
        <f>Lcode_mapping!S206</f>
        <v>-</v>
      </c>
      <c r="S206" t="str">
        <f>Lcode_mapping!T206</f>
        <v>-</v>
      </c>
      <c r="T206" t="str">
        <f>Lcode_mapping!U206</f>
        <v>-</v>
      </c>
      <c r="U206" t="str">
        <f>Lcode_mapping!V206</f>
        <v>-</v>
      </c>
      <c r="V206" t="str">
        <f>Lcode_mapping!W206</f>
        <v>-</v>
      </c>
    </row>
    <row r="207" spans="1:22" ht="15" customHeight="1" x14ac:dyDescent="0.25">
      <c r="A207">
        <f>Lcode_mapping!A207</f>
        <v>447</v>
      </c>
      <c r="B207">
        <f>Lcode_mapping!B207</f>
        <v>2</v>
      </c>
      <c r="C207" t="str">
        <f>Lcode_mapping!D207</f>
        <v>STOP SEC</v>
      </c>
      <c r="D207">
        <f>Lcode_mapping!E207</f>
        <v>1</v>
      </c>
      <c r="E207">
        <f>Lcode_mapping!F207</f>
        <v>1</v>
      </c>
      <c r="F207">
        <f>Lcode_mapping!G207</f>
        <v>1</v>
      </c>
      <c r="G207" t="str">
        <f>Lcode_mapping!H207</f>
        <v>R</v>
      </c>
      <c r="H207">
        <f>Lcode_mapping!I207</f>
        <v>1</v>
      </c>
      <c r="I207" t="str">
        <f>Lcode_mapping!J207</f>
        <v>Stop  time in sec past hour.</v>
      </c>
      <c r="J207" t="str">
        <f>Lcode_mapping!K207</f>
        <v>Obs</v>
      </c>
      <c r="K207" t="str">
        <f>Lcode_mapping!L207</f>
        <v>Duplicate</v>
      </c>
      <c r="L207" t="str">
        <f>Lcode_mapping!M207</f>
        <v>K</v>
      </c>
      <c r="M207" t="str">
        <f>Lcode_mapping!N207</f>
        <v>-</v>
      </c>
      <c r="N207" t="str">
        <f>Lcode_mapping!O207</f>
        <v>Observables</v>
      </c>
      <c r="O207" t="str">
        <f>Lcode_mapping!P207</f>
        <v>CorrInfo_bX</v>
      </c>
      <c r="P207" t="str">
        <f>Lcode_mapping!Q207</f>
        <v>-</v>
      </c>
      <c r="Q207" t="str">
        <f>Lcode_mapping!R207</f>
        <v>StopSec</v>
      </c>
      <c r="R207" t="str">
        <f>Lcode_mapping!S207</f>
        <v>-</v>
      </c>
      <c r="S207" t="str">
        <f>Lcode_mapping!T207</f>
        <v>-</v>
      </c>
      <c r="T207" t="str">
        <f>Lcode_mapping!U207</f>
        <v>-</v>
      </c>
      <c r="U207" t="str">
        <f>Lcode_mapping!V207</f>
        <v>-</v>
      </c>
      <c r="V207" t="str">
        <f>Lcode_mapping!W207</f>
        <v>-</v>
      </c>
    </row>
    <row r="208" spans="1:22" ht="15" customHeight="1" x14ac:dyDescent="0.25">
      <c r="A208">
        <f>Lcode_mapping!A208</f>
        <v>449</v>
      </c>
      <c r="B208">
        <f>Lcode_mapping!B208</f>
        <v>3</v>
      </c>
      <c r="C208" t="str">
        <f>Lcode_mapping!D208</f>
        <v>TAPQCODE</v>
      </c>
      <c r="D208">
        <f>Lcode_mapping!E208</f>
        <v>3</v>
      </c>
      <c r="E208">
        <f>Lcode_mapping!F208</f>
        <v>1</v>
      </c>
      <c r="F208">
        <f>Lcode_mapping!G208</f>
        <v>1</v>
      </c>
      <c r="G208" t="str">
        <f>Lcode_mapping!H208</f>
        <v>A</v>
      </c>
      <c r="H208">
        <f>Lcode_mapping!I208</f>
        <v>1</v>
      </c>
      <c r="I208" t="str">
        <f>Lcode_mapping!J208</f>
        <v>Tape quality code.</v>
      </c>
      <c r="J208" t="str">
        <f>Lcode_mapping!K208</f>
        <v>Obs</v>
      </c>
      <c r="K208" t="str">
        <f>Lcode_mapping!L208</f>
        <v>-</v>
      </c>
      <c r="L208" t="str">
        <f>Lcode_mapping!M208</f>
        <v>K</v>
      </c>
      <c r="M208" t="str">
        <f>Lcode_mapping!N208</f>
        <v>-</v>
      </c>
      <c r="N208" t="str">
        <f>Lcode_mapping!O208</f>
        <v>Observables</v>
      </c>
      <c r="O208" t="str">
        <f>Lcode_mapping!P208</f>
        <v>CorrInfo_bX</v>
      </c>
      <c r="P208" t="str">
        <f>Lcode_mapping!Q208</f>
        <v>-</v>
      </c>
      <c r="Q208" t="str">
        <f>Lcode_mapping!R208</f>
        <v>TapeCode</v>
      </c>
      <c r="R208" t="str">
        <f>Lcode_mapping!S208</f>
        <v>-</v>
      </c>
      <c r="S208" t="str">
        <f>Lcode_mapping!T208</f>
        <v>-</v>
      </c>
      <c r="T208" t="str">
        <f>Lcode_mapping!U208</f>
        <v>-</v>
      </c>
      <c r="U208" t="str">
        <f>Lcode_mapping!V208</f>
        <v>-</v>
      </c>
      <c r="V208" t="str">
        <f>Lcode_mapping!W208</f>
        <v>-</v>
      </c>
    </row>
    <row r="209" spans="1:22" ht="15" customHeight="1" x14ac:dyDescent="0.25">
      <c r="A209">
        <f>Lcode_mapping!A209</f>
        <v>448</v>
      </c>
      <c r="B209">
        <f>Lcode_mapping!B209</f>
        <v>3</v>
      </c>
      <c r="C209" t="str">
        <f>Lcode_mapping!D209</f>
        <v>TAPEID</v>
      </c>
      <c r="D209">
        <f>Lcode_mapping!E209</f>
        <v>4</v>
      </c>
      <c r="E209">
        <f>Lcode_mapping!F209</f>
        <v>2</v>
      </c>
      <c r="F209">
        <f>Lcode_mapping!G209</f>
        <v>1</v>
      </c>
      <c r="G209" t="str">
        <f>Lcode_mapping!H209</f>
        <v>A</v>
      </c>
      <c r="H209">
        <f>Lcode_mapping!I209</f>
        <v>1</v>
      </c>
      <c r="I209" t="str">
        <f>Lcode_mapping!J209</f>
        <v>Raw data tape ID for ref and rem</v>
      </c>
      <c r="J209" t="str">
        <f>Lcode_mapping!K209</f>
        <v>Obs</v>
      </c>
      <c r="K209" t="str">
        <f>Lcode_mapping!L209</f>
        <v>-</v>
      </c>
      <c r="L209" t="str">
        <f>Lcode_mapping!M209</f>
        <v>K</v>
      </c>
      <c r="M209" t="str">
        <f>Lcode_mapping!N209</f>
        <v>-</v>
      </c>
      <c r="N209" t="str">
        <f>Lcode_mapping!O209</f>
        <v>Observables</v>
      </c>
      <c r="O209" t="str">
        <f>Lcode_mapping!P209</f>
        <v>CorrInfo_bX</v>
      </c>
      <c r="P209" t="str">
        <f>Lcode_mapping!Q209</f>
        <v>-</v>
      </c>
      <c r="Q209" t="str">
        <f>Lcode_mapping!R209</f>
        <v>-</v>
      </c>
      <c r="R209" t="str">
        <f>Lcode_mapping!S209</f>
        <v>-</v>
      </c>
      <c r="S209" t="str">
        <f>Lcode_mapping!T209</f>
        <v>-</v>
      </c>
      <c r="T209" t="str">
        <f>Lcode_mapping!U209</f>
        <v>-</v>
      </c>
      <c r="U209" t="str">
        <f>Lcode_mapping!V209</f>
        <v>-</v>
      </c>
      <c r="V209" t="str">
        <f>Lcode_mapping!W209</f>
        <v>-</v>
      </c>
    </row>
    <row r="210" spans="1:22" ht="15" customHeight="1" x14ac:dyDescent="0.25">
      <c r="A210">
        <f>Lcode_mapping!A210</f>
        <v>464</v>
      </c>
      <c r="B210">
        <f>Lcode_mapping!B210</f>
        <v>2</v>
      </c>
      <c r="C210" t="str">
        <f>Lcode_mapping!D210</f>
        <v>STR TIME</v>
      </c>
      <c r="D210">
        <f>Lcode_mapping!E210</f>
        <v>1</v>
      </c>
      <c r="E210">
        <f>Lcode_mapping!F210</f>
        <v>1</v>
      </c>
      <c r="F210">
        <f>Lcode_mapping!G210</f>
        <v>1</v>
      </c>
      <c r="G210" t="str">
        <f>Lcode_mapping!H210</f>
        <v>R</v>
      </c>
      <c r="H210">
        <f>Lcode_mapping!I210</f>
        <v>1</v>
      </c>
      <c r="I210" t="str">
        <f>Lcode_mapping!J210</f>
        <v>Interval since start time (sec).</v>
      </c>
      <c r="J210" t="str">
        <f>Lcode_mapping!K210</f>
        <v>Obs</v>
      </c>
      <c r="K210" t="str">
        <f>Lcode_mapping!L210</f>
        <v>-</v>
      </c>
      <c r="L210" t="str">
        <f>Lcode_mapping!M210</f>
        <v>K</v>
      </c>
      <c r="M210" t="str">
        <f>Lcode_mapping!N210</f>
        <v>-</v>
      </c>
      <c r="N210" t="str">
        <f>Lcode_mapping!O210</f>
        <v>Observables</v>
      </c>
      <c r="O210" t="str">
        <f>Lcode_mapping!P210</f>
        <v>CorrInfo_bX</v>
      </c>
      <c r="P210" t="str">
        <f>Lcode_mapping!Q210</f>
        <v>-</v>
      </c>
      <c r="Q210" t="str">
        <f>Lcode_mapping!R210</f>
        <v>TimeSinceStart</v>
      </c>
      <c r="R210" t="str">
        <f>Lcode_mapping!S210</f>
        <v>-</v>
      </c>
      <c r="S210" t="str">
        <f>Lcode_mapping!T210</f>
        <v>-</v>
      </c>
      <c r="T210" t="str">
        <f>Lcode_mapping!U210</f>
        <v>-</v>
      </c>
      <c r="U210" t="str">
        <f>Lcode_mapping!V210</f>
        <v>-</v>
      </c>
      <c r="V210" t="str">
        <f>Lcode_mapping!W210</f>
        <v>-</v>
      </c>
    </row>
    <row r="211" spans="1:22" ht="15" customHeight="1" x14ac:dyDescent="0.25">
      <c r="A211">
        <f>Lcode_mapping!A211</f>
        <v>465</v>
      </c>
      <c r="B211">
        <f>Lcode_mapping!B211</f>
        <v>2</v>
      </c>
      <c r="C211" t="str">
        <f>Lcode_mapping!D211</f>
        <v>TPHA ERR</v>
      </c>
      <c r="D211">
        <f>Lcode_mapping!E211</f>
        <v>1</v>
      </c>
      <c r="E211">
        <f>Lcode_mapping!F211</f>
        <v>1</v>
      </c>
      <c r="F211">
        <f>Lcode_mapping!G211</f>
        <v>1</v>
      </c>
      <c r="G211" t="str">
        <f>Lcode_mapping!H211</f>
        <v>R</v>
      </c>
      <c r="H211">
        <f>Lcode_mapping!I211</f>
        <v>1</v>
      </c>
      <c r="I211" t="str">
        <f>Lcode_mapping!J211</f>
        <v>Total fringe phase error (deg)</v>
      </c>
      <c r="J211" t="str">
        <f>Lcode_mapping!K211</f>
        <v>Obs</v>
      </c>
      <c r="K211" t="str">
        <f>Lcode_mapping!L211</f>
        <v>-</v>
      </c>
      <c r="L211" t="str">
        <f>Lcode_mapping!M211</f>
        <v>K</v>
      </c>
      <c r="M211" t="str">
        <f>Lcode_mapping!N211</f>
        <v>-</v>
      </c>
      <c r="N211" t="str">
        <f>Lcode_mapping!O211</f>
        <v>Observables</v>
      </c>
      <c r="O211" t="str">
        <f>Lcode_mapping!P211</f>
        <v>CorrInfo_bX</v>
      </c>
      <c r="P211" t="str">
        <f>Lcode_mapping!Q211</f>
        <v>-</v>
      </c>
      <c r="Q211" t="str">
        <f>Lcode_mapping!R211</f>
        <v>TotalFringeErr</v>
      </c>
      <c r="R211" t="str">
        <f>Lcode_mapping!S211</f>
        <v>-</v>
      </c>
      <c r="S211" t="str">
        <f>Lcode_mapping!T211</f>
        <v>-</v>
      </c>
      <c r="T211" t="str">
        <f>Lcode_mapping!U211</f>
        <v>-</v>
      </c>
      <c r="U211" t="str">
        <f>Lcode_mapping!V211</f>
        <v>-</v>
      </c>
      <c r="V211" t="str">
        <f>Lcode_mapping!W211</f>
        <v>-</v>
      </c>
    </row>
    <row r="212" spans="1:22" ht="15" customHeight="1" x14ac:dyDescent="0.25">
      <c r="A212">
        <f>Lcode_mapping!A212</f>
        <v>450</v>
      </c>
      <c r="B212">
        <f>Lcode_mapping!B212</f>
        <v>3</v>
      </c>
      <c r="C212" t="str">
        <f>Lcode_mapping!D212</f>
        <v>TOTPCENT</v>
      </c>
      <c r="D212">
        <f>Lcode_mapping!E212</f>
        <v>1</v>
      </c>
      <c r="E212">
        <f>Lcode_mapping!F212</f>
        <v>1</v>
      </c>
      <c r="F212">
        <f>Lcode_mapping!G212</f>
        <v>1</v>
      </c>
      <c r="G212" t="str">
        <f>Lcode_mapping!H212</f>
        <v>R</v>
      </c>
      <c r="H212" t="str">
        <f>Lcode_mapping!I212</f>
        <v>x</v>
      </c>
      <c r="I212" t="str">
        <f>Lcode_mapping!J212</f>
        <v xml:space="preserve">Tot phase at central epoch. </v>
      </c>
      <c r="J212" t="str">
        <f>Lcode_mapping!K212</f>
        <v>Obs</v>
      </c>
      <c r="K212" t="str">
        <f>Lcode_mapping!L212</f>
        <v>-</v>
      </c>
      <c r="L212" t="str">
        <f>Lcode_mapping!M212</f>
        <v>K</v>
      </c>
      <c r="M212" t="str">
        <f>Lcode_mapping!N212</f>
        <v>-</v>
      </c>
      <c r="N212" t="str">
        <f>Lcode_mapping!O212</f>
        <v>Observables</v>
      </c>
      <c r="O212" t="str">
        <f>Lcode_mapping!P212</f>
        <v>CorrInfo_bX</v>
      </c>
      <c r="P212" t="str">
        <f>Lcode_mapping!Q212</f>
        <v>-</v>
      </c>
      <c r="Q212" t="str">
        <f>Lcode_mapping!R212</f>
        <v>-</v>
      </c>
      <c r="R212" t="str">
        <f>Lcode_mapping!S212</f>
        <v>-</v>
      </c>
      <c r="S212" t="str">
        <f>Lcode_mapping!T212</f>
        <v>-</v>
      </c>
      <c r="T212" t="str">
        <f>Lcode_mapping!U212</f>
        <v>-</v>
      </c>
      <c r="U212" t="str">
        <f>Lcode_mapping!V212</f>
        <v>-</v>
      </c>
      <c r="V212" t="str">
        <f>Lcode_mapping!W212</f>
        <v>-</v>
      </c>
    </row>
    <row r="213" spans="1:22" ht="15" customHeight="1" x14ac:dyDescent="0.25">
      <c r="A213">
        <f>Lcode_mapping!A213</f>
        <v>494</v>
      </c>
      <c r="B213">
        <f>Lcode_mapping!B213</f>
        <v>2</v>
      </c>
      <c r="C213" t="str">
        <f>Lcode_mapping!D213</f>
        <v>URVR</v>
      </c>
      <c r="D213">
        <f>Lcode_mapping!E213</f>
        <v>2</v>
      </c>
      <c r="E213">
        <f>Lcode_mapping!F213</f>
        <v>1</v>
      </c>
      <c r="F213">
        <f>Lcode_mapping!G213</f>
        <v>1</v>
      </c>
      <c r="G213" t="str">
        <f>Lcode_mapping!H213</f>
        <v>R</v>
      </c>
      <c r="H213">
        <f>Lcode_mapping!I213</f>
        <v>1</v>
      </c>
      <c r="I213" t="str">
        <f>Lcode_mapping!J213</f>
        <v>Rate derivatives mHz per asec.</v>
      </c>
      <c r="J213" t="str">
        <f>Lcode_mapping!K213</f>
        <v>Obs</v>
      </c>
      <c r="K213" t="str">
        <f>Lcode_mapping!L213</f>
        <v>-</v>
      </c>
      <c r="L213" t="str">
        <f>Lcode_mapping!M213</f>
        <v>K</v>
      </c>
      <c r="M213" t="str">
        <f>Lcode_mapping!N213</f>
        <v>-</v>
      </c>
      <c r="N213" t="str">
        <f>Lcode_mapping!O213</f>
        <v>Observables</v>
      </c>
      <c r="O213" t="str">
        <f>Lcode_mapping!P213</f>
        <v>CorrInfo_bX</v>
      </c>
      <c r="P213" t="str">
        <f>Lcode_mapping!Q213</f>
        <v>-</v>
      </c>
      <c r="Q213" t="str">
        <f>Lcode_mapping!R213</f>
        <v>-</v>
      </c>
      <c r="R213" t="str">
        <f>Lcode_mapping!S213</f>
        <v>-</v>
      </c>
      <c r="S213" t="str">
        <f>Lcode_mapping!T213</f>
        <v>-</v>
      </c>
      <c r="T213" t="str">
        <f>Lcode_mapping!U213</f>
        <v>-</v>
      </c>
      <c r="U213" t="str">
        <f>Lcode_mapping!V213</f>
        <v>-</v>
      </c>
      <c r="V213" t="str">
        <f>Lcode_mapping!W213</f>
        <v>-</v>
      </c>
    </row>
    <row r="214" spans="1:22" ht="15" customHeight="1" x14ac:dyDescent="0.25">
      <c r="A214">
        <f>Lcode_mapping!A214</f>
        <v>396</v>
      </c>
      <c r="B214">
        <f>Lcode_mapping!B214</f>
        <v>3</v>
      </c>
      <c r="C214" t="str">
        <f>Lcode_mapping!D214</f>
        <v>CORR UTC</v>
      </c>
      <c r="D214">
        <f>Lcode_mapping!E214</f>
        <v>6</v>
      </c>
      <c r="E214">
        <f>Lcode_mapping!F214</f>
        <v>1</v>
      </c>
      <c r="F214">
        <f>Lcode_mapping!G214</f>
        <v>1</v>
      </c>
      <c r="G214" t="str">
        <f>Lcode_mapping!H214</f>
        <v>I</v>
      </c>
      <c r="H214">
        <f>Lcode_mapping!I214</f>
        <v>1</v>
      </c>
      <c r="I214" t="str">
        <f>Lcode_mapping!J214</f>
        <v>UTC time tag of correlation.</v>
      </c>
      <c r="J214" t="str">
        <f>Lcode_mapping!K214</f>
        <v>Obs</v>
      </c>
      <c r="K214" t="str">
        <f>Lcode_mapping!L214</f>
        <v>-</v>
      </c>
      <c r="L214" t="str">
        <f>Lcode_mapping!M214</f>
        <v>K</v>
      </c>
      <c r="M214" t="str">
        <f>Lcode_mapping!N214</f>
        <v>-</v>
      </c>
      <c r="N214" t="str">
        <f>Lcode_mapping!O214</f>
        <v>Observables</v>
      </c>
      <c r="O214" t="str">
        <f>Lcode_mapping!P214</f>
        <v>CorrInfo_bX</v>
      </c>
      <c r="P214" t="str">
        <f>Lcode_mapping!Q214</f>
        <v>-</v>
      </c>
      <c r="Q214" t="str">
        <f>Lcode_mapping!R214</f>
        <v>UTCCorr</v>
      </c>
      <c r="R214" t="str">
        <f>Lcode_mapping!S214</f>
        <v>-</v>
      </c>
      <c r="S214" t="str">
        <f>Lcode_mapping!T214</f>
        <v>-</v>
      </c>
      <c r="T214" t="str">
        <f>Lcode_mapping!U214</f>
        <v>-</v>
      </c>
      <c r="U214" t="str">
        <f>Lcode_mapping!V214</f>
        <v>-</v>
      </c>
      <c r="V214" t="str">
        <f>Lcode_mapping!W214</f>
        <v>-</v>
      </c>
    </row>
    <row r="215" spans="1:22" ht="15" customHeight="1" x14ac:dyDescent="0.25">
      <c r="A215">
        <f>Lcode_mapping!A215</f>
        <v>466</v>
      </c>
      <c r="B215">
        <f>Lcode_mapping!B215</f>
        <v>2</v>
      </c>
      <c r="C215" t="str">
        <f>Lcode_mapping!D215</f>
        <v>UTC ERR</v>
      </c>
      <c r="D215">
        <f>Lcode_mapping!E215</f>
        <v>1</v>
      </c>
      <c r="E215">
        <f>Lcode_mapping!F215</f>
        <v>1</v>
      </c>
      <c r="F215">
        <f>Lcode_mapping!G215</f>
        <v>1</v>
      </c>
      <c r="G215" t="str">
        <f>Lcode_mapping!H215</f>
        <v>R</v>
      </c>
      <c r="H215">
        <f>Lcode_mapping!I215</f>
        <v>1</v>
      </c>
      <c r="I215" t="str">
        <f>Lcode_mapping!J215</f>
        <v>A priori UTC error site 1 (sec)</v>
      </c>
      <c r="J215" t="str">
        <f>Lcode_mapping!K215</f>
        <v>Obs</v>
      </c>
      <c r="K215" t="str">
        <f>Lcode_mapping!L215</f>
        <v>-</v>
      </c>
      <c r="L215" t="str">
        <f>Lcode_mapping!M215</f>
        <v>K</v>
      </c>
      <c r="M215" t="str">
        <f>Lcode_mapping!N215</f>
        <v>-</v>
      </c>
      <c r="N215" t="str">
        <f>Lcode_mapping!O215</f>
        <v>Observables</v>
      </c>
      <c r="O215" t="str">
        <f>Lcode_mapping!P215</f>
        <v>CorrInfo_bX</v>
      </c>
      <c r="P215" t="str">
        <f>Lcode_mapping!Q215</f>
        <v>-</v>
      </c>
      <c r="Q215" t="str">
        <f>Lcode_mapping!R215</f>
        <v>UTCErr</v>
      </c>
      <c r="R215" t="str">
        <f>Lcode_mapping!S215</f>
        <v>-</v>
      </c>
      <c r="S215" t="str">
        <f>Lcode_mapping!T215</f>
        <v>-</v>
      </c>
      <c r="T215" t="str">
        <f>Lcode_mapping!U215</f>
        <v>-</v>
      </c>
      <c r="U215" t="str">
        <f>Lcode_mapping!V215</f>
        <v>-</v>
      </c>
      <c r="V215" t="str">
        <f>Lcode_mapping!W215</f>
        <v>-</v>
      </c>
    </row>
    <row r="216" spans="1:22" ht="15" customHeight="1" x14ac:dyDescent="0.25">
      <c r="A216">
        <f>Lcode_mapping!A216</f>
        <v>451</v>
      </c>
      <c r="B216">
        <f>Lcode_mapping!B216</f>
        <v>3</v>
      </c>
      <c r="C216" t="str">
        <f>Lcode_mapping!D216</f>
        <v>UTCM TAG</v>
      </c>
      <c r="D216">
        <f>Lcode_mapping!E216</f>
        <v>6</v>
      </c>
      <c r="E216">
        <f>Lcode_mapping!F216</f>
        <v>1</v>
      </c>
      <c r="F216">
        <f>Lcode_mapping!G216</f>
        <v>1</v>
      </c>
      <c r="G216" t="str">
        <f>Lcode_mapping!H216</f>
        <v>I</v>
      </c>
      <c r="H216">
        <f>Lcode_mapping!I216</f>
        <v>1</v>
      </c>
      <c r="I216" t="str">
        <f>Lcode_mapping!J216</f>
        <v>UTC at central epoch YMDHMS.</v>
      </c>
      <c r="J216" t="str">
        <f>Lcode_mapping!K216</f>
        <v>Obs</v>
      </c>
      <c r="K216" t="str">
        <f>Lcode_mapping!L216</f>
        <v>-</v>
      </c>
      <c r="L216" t="str">
        <f>Lcode_mapping!M216</f>
        <v>K</v>
      </c>
      <c r="M216" t="str">
        <f>Lcode_mapping!N216</f>
        <v>-</v>
      </c>
      <c r="N216" t="str">
        <f>Lcode_mapping!O216</f>
        <v>Observables</v>
      </c>
      <c r="O216" t="str">
        <f>Lcode_mapping!P216</f>
        <v>CorrInfo_bX</v>
      </c>
      <c r="P216" t="str">
        <f>Lcode_mapping!Q216</f>
        <v>-</v>
      </c>
      <c r="Q216" t="str">
        <f>Lcode_mapping!R216</f>
        <v>UTCMidObs</v>
      </c>
      <c r="R216" t="str">
        <f>Lcode_mapping!S216</f>
        <v>-</v>
      </c>
      <c r="S216" t="str">
        <f>Lcode_mapping!T216</f>
        <v>-</v>
      </c>
      <c r="T216" t="str">
        <f>Lcode_mapping!U216</f>
        <v>-</v>
      </c>
      <c r="U216" t="str">
        <f>Lcode_mapping!V216</f>
        <v>-</v>
      </c>
      <c r="V216" t="str">
        <f>Lcode_mapping!W216</f>
        <v>-</v>
      </c>
    </row>
    <row r="217" spans="1:22" ht="15" customHeight="1" x14ac:dyDescent="0.25">
      <c r="A217">
        <f>Lcode_mapping!A217</f>
        <v>430</v>
      </c>
      <c r="B217">
        <f>Lcode_mapping!B217</f>
        <v>3</v>
      </c>
      <c r="C217" t="str">
        <f>Lcode_mapping!D217</f>
        <v>PROC UTC</v>
      </c>
      <c r="D217">
        <f>Lcode_mapping!E217</f>
        <v>2</v>
      </c>
      <c r="E217">
        <f>Lcode_mapping!F217</f>
        <v>14</v>
      </c>
      <c r="F217">
        <f>Lcode_mapping!G217</f>
        <v>1</v>
      </c>
      <c r="G217" t="str">
        <f>Lcode_mapping!H217</f>
        <v>I</v>
      </c>
      <c r="H217" t="str">
        <f>Lcode_mapping!I217</f>
        <v>x</v>
      </c>
      <c r="I217" t="str">
        <f>Lcode_mapping!J217</f>
        <v xml:space="preserve">YDDD of COREL by sta channel. </v>
      </c>
      <c r="J217" t="str">
        <f>Lcode_mapping!K217</f>
        <v>Obs</v>
      </c>
      <c r="K217" t="str">
        <f>Lcode_mapping!L217</f>
        <v>-</v>
      </c>
      <c r="L217" t="str">
        <f>Lcode_mapping!M217</f>
        <v>K</v>
      </c>
      <c r="M217" t="str">
        <f>Lcode_mapping!N217</f>
        <v>-</v>
      </c>
      <c r="N217" t="str">
        <f>Lcode_mapping!O217</f>
        <v>Observables</v>
      </c>
      <c r="O217" t="str">
        <f>Lcode_mapping!P217</f>
        <v>CorrInfo_bX</v>
      </c>
      <c r="P217" t="str">
        <f>Lcode_mapping!Q217</f>
        <v>-</v>
      </c>
      <c r="Q217" t="str">
        <f>Lcode_mapping!R217</f>
        <v>UTCProc</v>
      </c>
      <c r="R217" t="str">
        <f>Lcode_mapping!S217</f>
        <v>-</v>
      </c>
      <c r="S217" t="str">
        <f>Lcode_mapping!T217</f>
        <v>-</v>
      </c>
      <c r="T217" t="str">
        <f>Lcode_mapping!U217</f>
        <v>-</v>
      </c>
      <c r="U217" t="str">
        <f>Lcode_mapping!V217</f>
        <v>-</v>
      </c>
      <c r="V217" t="str">
        <f>Lcode_mapping!W217</f>
        <v>-</v>
      </c>
    </row>
    <row r="218" spans="1:22" ht="15" customHeight="1" x14ac:dyDescent="0.25">
      <c r="A218">
        <f>Lcode_mapping!A218</f>
        <v>441</v>
      </c>
      <c r="B218">
        <f>Lcode_mapping!B218</f>
        <v>3</v>
      </c>
      <c r="C218" t="str">
        <f>Lcode_mapping!D218</f>
        <v>SCAN UTC</v>
      </c>
      <c r="D218">
        <f>Lcode_mapping!E218</f>
        <v>6</v>
      </c>
      <c r="E218">
        <f>Lcode_mapping!F218</f>
        <v>1</v>
      </c>
      <c r="F218">
        <f>Lcode_mapping!G218</f>
        <v>1</v>
      </c>
      <c r="G218" t="str">
        <f>Lcode_mapping!H218</f>
        <v>I</v>
      </c>
      <c r="H218">
        <f>Lcode_mapping!I218</f>
        <v>1</v>
      </c>
      <c r="I218" t="str">
        <f>Lcode_mapping!J218</f>
        <v>Nominal scan time YMDHMS.</v>
      </c>
      <c r="J218" t="str">
        <f>Lcode_mapping!K218</f>
        <v>Obs</v>
      </c>
      <c r="K218" t="str">
        <f>Lcode_mapping!L218</f>
        <v>-</v>
      </c>
      <c r="L218" t="str">
        <f>Lcode_mapping!M218</f>
        <v>K</v>
      </c>
      <c r="M218" t="str">
        <f>Lcode_mapping!N218</f>
        <v>-</v>
      </c>
      <c r="N218" t="str">
        <f>Lcode_mapping!O218</f>
        <v>Observables</v>
      </c>
      <c r="O218" t="str">
        <f>Lcode_mapping!P218</f>
        <v>CorrInfo_bX</v>
      </c>
      <c r="P218" t="str">
        <f>Lcode_mapping!Q218</f>
        <v>-</v>
      </c>
      <c r="Q218" t="str">
        <f>Lcode_mapping!R218</f>
        <v>UTCScan</v>
      </c>
      <c r="R218" t="str">
        <f>Lcode_mapping!S218</f>
        <v>-</v>
      </c>
      <c r="S218" t="str">
        <f>Lcode_mapping!T218</f>
        <v>-</v>
      </c>
      <c r="T218" t="str">
        <f>Lcode_mapping!U218</f>
        <v>-</v>
      </c>
      <c r="U218" t="str">
        <f>Lcode_mapping!V218</f>
        <v>-</v>
      </c>
      <c r="V218" t="str">
        <f>Lcode_mapping!W218</f>
        <v>-</v>
      </c>
    </row>
    <row r="219" spans="1:22" ht="15" customHeight="1" x14ac:dyDescent="0.25">
      <c r="A219">
        <f>Lcode_mapping!A219</f>
        <v>454</v>
      </c>
      <c r="B219">
        <f>Lcode_mapping!B219</f>
        <v>3</v>
      </c>
      <c r="C219" t="str">
        <f>Lcode_mapping!D219</f>
        <v>VLB2 UTC</v>
      </c>
      <c r="D219">
        <f>Lcode_mapping!E219</f>
        <v>6</v>
      </c>
      <c r="E219">
        <f>Lcode_mapping!F219</f>
        <v>1</v>
      </c>
      <c r="F219">
        <f>Lcode_mapping!G219</f>
        <v>1</v>
      </c>
      <c r="G219" t="str">
        <f>Lcode_mapping!H219</f>
        <v>I</v>
      </c>
      <c r="H219" t="str">
        <f>Lcode_mapping!I219</f>
        <v>x</v>
      </c>
      <c r="I219" t="str">
        <f>Lcode_mapping!J219</f>
        <v xml:space="preserve">UTC of FRNGE proc YMDHMS. </v>
      </c>
      <c r="J219" t="str">
        <f>Lcode_mapping!K219</f>
        <v>Obs</v>
      </c>
      <c r="K219" t="str">
        <f>Lcode_mapping!L219</f>
        <v>-</v>
      </c>
      <c r="L219" t="str">
        <f>Lcode_mapping!M219</f>
        <v>K</v>
      </c>
      <c r="M219" t="str">
        <f>Lcode_mapping!N219</f>
        <v>-</v>
      </c>
      <c r="N219" t="str">
        <f>Lcode_mapping!O219</f>
        <v>Observables</v>
      </c>
      <c r="O219" t="str">
        <f>Lcode_mapping!P219</f>
        <v>CorrInfo_bX</v>
      </c>
      <c r="P219" t="str">
        <f>Lcode_mapping!Q219</f>
        <v>-</v>
      </c>
      <c r="Q219" t="str">
        <f>Lcode_mapping!R219</f>
        <v>UTCVLB2</v>
      </c>
      <c r="R219" t="str">
        <f>Lcode_mapping!S219</f>
        <v>-</v>
      </c>
      <c r="S219" t="str">
        <f>Lcode_mapping!T219</f>
        <v>-</v>
      </c>
      <c r="T219" t="str">
        <f>Lcode_mapping!U219</f>
        <v>-</v>
      </c>
      <c r="U219" t="str">
        <f>Lcode_mapping!V219</f>
        <v>-</v>
      </c>
      <c r="V219" t="str">
        <f>Lcode_mapping!W219</f>
        <v>-</v>
      </c>
    </row>
    <row r="220" spans="1:22" ht="15" customHeight="1" x14ac:dyDescent="0.25">
      <c r="A220">
        <f>Lcode_mapping!A220</f>
        <v>467</v>
      </c>
      <c r="B220">
        <f>Lcode_mapping!B220</f>
        <v>2</v>
      </c>
      <c r="C220" t="str">
        <f>Lcode_mapping!D220</f>
        <v>VFDWELL</v>
      </c>
      <c r="D220">
        <f>Lcode_mapping!E220</f>
        <v>1</v>
      </c>
      <c r="E220">
        <f>Lcode_mapping!F220</f>
        <v>1</v>
      </c>
      <c r="F220">
        <f>Lcode_mapping!G220</f>
        <v>1</v>
      </c>
      <c r="G220" t="str">
        <f>Lcode_mapping!H220</f>
        <v>R</v>
      </c>
      <c r="H220">
        <f>Lcode_mapping!I220</f>
        <v>1</v>
      </c>
      <c r="I220" t="str">
        <f>Lcode_mapping!J220</f>
        <v>Dwell time in each channel (sec)</v>
      </c>
      <c r="J220" t="str">
        <f>Lcode_mapping!K220</f>
        <v>Obs</v>
      </c>
      <c r="K220" t="str">
        <f>Lcode_mapping!L220</f>
        <v>-</v>
      </c>
      <c r="L220" t="str">
        <f>Lcode_mapping!M220</f>
        <v>K</v>
      </c>
      <c r="M220" t="str">
        <f>Lcode_mapping!N220</f>
        <v>-</v>
      </c>
      <c r="N220" t="str">
        <f>Lcode_mapping!O220</f>
        <v>Observables</v>
      </c>
      <c r="O220" t="str">
        <f>Lcode_mapping!P220</f>
        <v>CorrInfo_bX</v>
      </c>
      <c r="P220" t="str">
        <f>Lcode_mapping!Q220</f>
        <v>-</v>
      </c>
      <c r="Q220" t="str">
        <f>Lcode_mapping!R220</f>
        <v>-</v>
      </c>
      <c r="R220" t="str">
        <f>Lcode_mapping!S220</f>
        <v>-</v>
      </c>
      <c r="S220" t="str">
        <f>Lcode_mapping!T220</f>
        <v>-</v>
      </c>
      <c r="T220" t="str">
        <f>Lcode_mapping!U220</f>
        <v>-</v>
      </c>
      <c r="U220" t="str">
        <f>Lcode_mapping!V220</f>
        <v>-</v>
      </c>
      <c r="V220" t="str">
        <f>Lcode_mapping!W220</f>
        <v>-</v>
      </c>
    </row>
    <row r="221" spans="1:22" ht="15" customHeight="1" x14ac:dyDescent="0.25">
      <c r="A221">
        <f>Lcode_mapping!A221</f>
        <v>469</v>
      </c>
      <c r="B221">
        <f>Lcode_mapping!B221</f>
        <v>2</v>
      </c>
      <c r="C221" t="str">
        <f>Lcode_mapping!D221</f>
        <v>VFRQAM</v>
      </c>
      <c r="D221">
        <f>Lcode_mapping!E221</f>
        <v>32</v>
      </c>
      <c r="E221">
        <f>Lcode_mapping!F221</f>
        <v>1</v>
      </c>
      <c r="F221">
        <f>Lcode_mapping!G221</f>
        <v>1</v>
      </c>
      <c r="G221" t="str">
        <f>Lcode_mapping!H221</f>
        <v>R</v>
      </c>
      <c r="H221">
        <f>Lcode_mapping!I221</f>
        <v>1</v>
      </c>
      <c r="I221" t="str">
        <f>Lcode_mapping!J221</f>
        <v>Normalized channel amplitude</v>
      </c>
      <c r="J221" t="str">
        <f>Lcode_mapping!K221</f>
        <v>Obs</v>
      </c>
      <c r="K221" t="str">
        <f>Lcode_mapping!L221</f>
        <v>-</v>
      </c>
      <c r="L221" t="str">
        <f>Lcode_mapping!M221</f>
        <v>K</v>
      </c>
      <c r="M221" t="str">
        <f>Lcode_mapping!N221</f>
        <v>-</v>
      </c>
      <c r="N221" t="str">
        <f>Lcode_mapping!O221</f>
        <v>Observables</v>
      </c>
      <c r="O221" t="str">
        <f>Lcode_mapping!P221</f>
        <v>CorrInfo_bX</v>
      </c>
      <c r="P221" t="str">
        <f>Lcode_mapping!Q221</f>
        <v>-</v>
      </c>
      <c r="Q221" t="str">
        <f>Lcode_mapping!R221</f>
        <v>-</v>
      </c>
      <c r="R221" t="str">
        <f>Lcode_mapping!S221</f>
        <v>-</v>
      </c>
      <c r="S221" t="str">
        <f>Lcode_mapping!T221</f>
        <v>-</v>
      </c>
      <c r="T221" t="str">
        <f>Lcode_mapping!U221</f>
        <v>-</v>
      </c>
      <c r="U221" t="str">
        <f>Lcode_mapping!V221</f>
        <v>-</v>
      </c>
      <c r="V221" t="str">
        <f>Lcode_mapping!W221</f>
        <v>-</v>
      </c>
    </row>
    <row r="222" spans="1:22" ht="15" customHeight="1" x14ac:dyDescent="0.25">
      <c r="A222">
        <f>Lcode_mapping!A222</f>
        <v>470</v>
      </c>
      <c r="B222">
        <f>Lcode_mapping!B222</f>
        <v>2</v>
      </c>
      <c r="C222" t="str">
        <f>Lcode_mapping!D222</f>
        <v>VFRQPCAM</v>
      </c>
      <c r="D222">
        <f>Lcode_mapping!E222</f>
        <v>2</v>
      </c>
      <c r="E222">
        <f>Lcode_mapping!F222</f>
        <v>32</v>
      </c>
      <c r="F222">
        <f>Lcode_mapping!G222</f>
        <v>1</v>
      </c>
      <c r="G222" t="str">
        <f>Lcode_mapping!H222</f>
        <v>R</v>
      </c>
      <c r="H222">
        <f>Lcode_mapping!I222</f>
        <v>1</v>
      </c>
      <c r="I222" t="str">
        <f>Lcode_mapping!J222</f>
        <v>Phase cal tone Amplitudes</v>
      </c>
      <c r="J222" t="str">
        <f>Lcode_mapping!K222</f>
        <v>Obs</v>
      </c>
      <c r="K222" t="str">
        <f>Lcode_mapping!L222</f>
        <v>-</v>
      </c>
      <c r="L222" t="str">
        <f>Lcode_mapping!M222</f>
        <v>K</v>
      </c>
      <c r="M222" t="str">
        <f>Lcode_mapping!N222</f>
        <v>-</v>
      </c>
      <c r="N222" t="str">
        <f>Lcode_mapping!O222</f>
        <v>Observables</v>
      </c>
      <c r="O222" t="str">
        <f>Lcode_mapping!P222</f>
        <v>CorrInfo_bX</v>
      </c>
      <c r="P222" t="str">
        <f>Lcode_mapping!Q222</f>
        <v>-</v>
      </c>
      <c r="Q222" t="str">
        <f>Lcode_mapping!R222</f>
        <v>-</v>
      </c>
      <c r="R222" t="str">
        <f>Lcode_mapping!S222</f>
        <v>-</v>
      </c>
      <c r="S222" t="str">
        <f>Lcode_mapping!T222</f>
        <v>-</v>
      </c>
      <c r="T222" t="str">
        <f>Lcode_mapping!U222</f>
        <v>-</v>
      </c>
      <c r="U222" t="str">
        <f>Lcode_mapping!V222</f>
        <v>-</v>
      </c>
      <c r="V222" t="str">
        <f>Lcode_mapping!W222</f>
        <v>-</v>
      </c>
    </row>
    <row r="223" spans="1:22" ht="15" customHeight="1" x14ac:dyDescent="0.25">
      <c r="A223">
        <f>Lcode_mapping!A223</f>
        <v>471</v>
      </c>
      <c r="B223">
        <f>Lcode_mapping!B223</f>
        <v>2</v>
      </c>
      <c r="C223" t="str">
        <f>Lcode_mapping!D223</f>
        <v>VFRQPCFR</v>
      </c>
      <c r="D223">
        <f>Lcode_mapping!E223</f>
        <v>2</v>
      </c>
      <c r="E223">
        <f>Lcode_mapping!F223</f>
        <v>32</v>
      </c>
      <c r="F223">
        <f>Lcode_mapping!G223</f>
        <v>1</v>
      </c>
      <c r="G223" t="str">
        <f>Lcode_mapping!H223</f>
        <v>R</v>
      </c>
      <c r="H223">
        <f>Lcode_mapping!I223</f>
        <v>1</v>
      </c>
      <c r="I223" t="str">
        <f>Lcode_mapping!J223</f>
        <v>Phase cal tone Frequencies</v>
      </c>
      <c r="J223" t="str">
        <f>Lcode_mapping!K223</f>
        <v>Obs</v>
      </c>
      <c r="K223" t="str">
        <f>Lcode_mapping!L223</f>
        <v>-</v>
      </c>
      <c r="L223" t="str">
        <f>Lcode_mapping!M223</f>
        <v>K</v>
      </c>
      <c r="M223" t="str">
        <f>Lcode_mapping!N223</f>
        <v>-</v>
      </c>
      <c r="N223" t="str">
        <f>Lcode_mapping!O223</f>
        <v>Observables</v>
      </c>
      <c r="O223" t="str">
        <f>Lcode_mapping!P223</f>
        <v>CorrInfo_bX</v>
      </c>
      <c r="P223" t="str">
        <f>Lcode_mapping!Q223</f>
        <v>-</v>
      </c>
      <c r="Q223" t="str">
        <f>Lcode_mapping!R223</f>
        <v>-</v>
      </c>
      <c r="R223" t="str">
        <f>Lcode_mapping!S223</f>
        <v>-</v>
      </c>
      <c r="S223" t="str">
        <f>Lcode_mapping!T223</f>
        <v>-</v>
      </c>
      <c r="T223" t="str">
        <f>Lcode_mapping!U223</f>
        <v>-</v>
      </c>
      <c r="U223" t="str">
        <f>Lcode_mapping!V223</f>
        <v>-</v>
      </c>
      <c r="V223" t="str">
        <f>Lcode_mapping!W223</f>
        <v>-</v>
      </c>
    </row>
    <row r="224" spans="1:22" ht="15" customHeight="1" x14ac:dyDescent="0.25">
      <c r="A224">
        <f>Lcode_mapping!A224</f>
        <v>472</v>
      </c>
      <c r="B224">
        <f>Lcode_mapping!B224</f>
        <v>2</v>
      </c>
      <c r="C224" t="str">
        <f>Lcode_mapping!D224</f>
        <v>VFRQPCPH</v>
      </c>
      <c r="D224">
        <f>Lcode_mapping!E224</f>
        <v>2</v>
      </c>
      <c r="E224">
        <f>Lcode_mapping!F224</f>
        <v>32</v>
      </c>
      <c r="F224">
        <f>Lcode_mapping!G224</f>
        <v>1</v>
      </c>
      <c r="G224" t="str">
        <f>Lcode_mapping!H224</f>
        <v>R</v>
      </c>
      <c r="H224">
        <f>Lcode_mapping!I224</f>
        <v>1</v>
      </c>
      <c r="I224" t="str">
        <f>Lcode_mapping!J224</f>
        <v>PHASE cal tone Phases</v>
      </c>
      <c r="J224" t="str">
        <f>Lcode_mapping!K224</f>
        <v>Obs</v>
      </c>
      <c r="K224" t="str">
        <f>Lcode_mapping!L224</f>
        <v>-</v>
      </c>
      <c r="L224" t="str">
        <f>Lcode_mapping!M224</f>
        <v>K</v>
      </c>
      <c r="M224" t="str">
        <f>Lcode_mapping!N224</f>
        <v>-</v>
      </c>
      <c r="N224" t="str">
        <f>Lcode_mapping!O224</f>
        <v>Observables</v>
      </c>
      <c r="O224" t="str">
        <f>Lcode_mapping!P224</f>
        <v>CorrInfo_bX</v>
      </c>
      <c r="P224" t="str">
        <f>Lcode_mapping!Q224</f>
        <v>-</v>
      </c>
      <c r="Q224" t="str">
        <f>Lcode_mapping!R224</f>
        <v>-</v>
      </c>
      <c r="R224" t="str">
        <f>Lcode_mapping!S224</f>
        <v>-</v>
      </c>
      <c r="S224" t="str">
        <f>Lcode_mapping!T224</f>
        <v>-</v>
      </c>
      <c r="T224" t="str">
        <f>Lcode_mapping!U224</f>
        <v>-</v>
      </c>
      <c r="U224" t="str">
        <f>Lcode_mapping!V224</f>
        <v>-</v>
      </c>
      <c r="V224" t="str">
        <f>Lcode_mapping!W224</f>
        <v>-</v>
      </c>
    </row>
    <row r="225" spans="1:22" ht="15" customHeight="1" x14ac:dyDescent="0.25">
      <c r="A225">
        <f>Lcode_mapping!A225</f>
        <v>473</v>
      </c>
      <c r="B225">
        <f>Lcode_mapping!B225</f>
        <v>2</v>
      </c>
      <c r="C225" t="str">
        <f>Lcode_mapping!D225</f>
        <v>VFRQPH</v>
      </c>
      <c r="D225">
        <f>Lcode_mapping!E225</f>
        <v>32</v>
      </c>
      <c r="E225">
        <f>Lcode_mapping!F225</f>
        <v>1</v>
      </c>
      <c r="F225">
        <f>Lcode_mapping!G225</f>
        <v>1</v>
      </c>
      <c r="G225" t="str">
        <f>Lcode_mapping!H225</f>
        <v>R</v>
      </c>
      <c r="H225">
        <f>Lcode_mapping!I225</f>
        <v>1</v>
      </c>
      <c r="I225" t="str">
        <f>Lcode_mapping!J225</f>
        <v>Channel Phase (degrees)</v>
      </c>
      <c r="J225" t="str">
        <f>Lcode_mapping!K225</f>
        <v>Obs</v>
      </c>
      <c r="K225" t="str">
        <f>Lcode_mapping!L225</f>
        <v>-</v>
      </c>
      <c r="L225" t="str">
        <f>Lcode_mapping!M225</f>
        <v>K</v>
      </c>
      <c r="M225" t="str">
        <f>Lcode_mapping!N225</f>
        <v>-</v>
      </c>
      <c r="N225" t="str">
        <f>Lcode_mapping!O225</f>
        <v>Observables</v>
      </c>
      <c r="O225" t="str">
        <f>Lcode_mapping!P225</f>
        <v>CorrInfo_bX</v>
      </c>
      <c r="P225" t="str">
        <f>Lcode_mapping!Q225</f>
        <v>-</v>
      </c>
      <c r="Q225" t="str">
        <f>Lcode_mapping!R225</f>
        <v>-</v>
      </c>
      <c r="R225" t="str">
        <f>Lcode_mapping!S225</f>
        <v>-</v>
      </c>
      <c r="S225" t="str">
        <f>Lcode_mapping!T225</f>
        <v>-</v>
      </c>
      <c r="T225" t="str">
        <f>Lcode_mapping!U225</f>
        <v>-</v>
      </c>
      <c r="U225" t="str">
        <f>Lcode_mapping!V225</f>
        <v>-</v>
      </c>
      <c r="V225" t="str">
        <f>Lcode_mapping!W225</f>
        <v>-</v>
      </c>
    </row>
    <row r="226" spans="1:22" ht="15" customHeight="1" x14ac:dyDescent="0.25">
      <c r="A226">
        <f>Lcode_mapping!A226</f>
        <v>474</v>
      </c>
      <c r="B226">
        <f>Lcode_mapping!B226</f>
        <v>2</v>
      </c>
      <c r="C226" t="str">
        <f>Lcode_mapping!D226</f>
        <v>VIRTFREQ</v>
      </c>
      <c r="D226">
        <f>Lcode_mapping!E226</f>
        <v>32</v>
      </c>
      <c r="E226">
        <f>Lcode_mapping!F226</f>
        <v>1</v>
      </c>
      <c r="F226">
        <f>Lcode_mapping!G226</f>
        <v>1</v>
      </c>
      <c r="G226" t="str">
        <f>Lcode_mapping!H226</f>
        <v>R</v>
      </c>
      <c r="H226">
        <f>Lcode_mapping!I226</f>
        <v>1</v>
      </c>
      <c r="I226" t="str">
        <f>Lcode_mapping!J226</f>
        <v>Sky Frequencies</v>
      </c>
      <c r="J226" t="str">
        <f>Lcode_mapping!K226</f>
        <v>Obs</v>
      </c>
      <c r="K226" t="str">
        <f>Lcode_mapping!L226</f>
        <v>-</v>
      </c>
      <c r="L226" t="str">
        <f>Lcode_mapping!M226</f>
        <v>K</v>
      </c>
      <c r="M226" t="str">
        <f>Lcode_mapping!N226</f>
        <v>-</v>
      </c>
      <c r="N226" t="str">
        <f>Lcode_mapping!O226</f>
        <v>Observables</v>
      </c>
      <c r="O226" t="str">
        <f>Lcode_mapping!P226</f>
        <v>CorrInfo_bX</v>
      </c>
      <c r="P226" t="str">
        <f>Lcode_mapping!Q226</f>
        <v>-</v>
      </c>
      <c r="Q226" t="str">
        <f>Lcode_mapping!R226</f>
        <v>-</v>
      </c>
      <c r="R226" t="str">
        <f>Lcode_mapping!S226</f>
        <v>-</v>
      </c>
      <c r="S226" t="str">
        <f>Lcode_mapping!T226</f>
        <v>-</v>
      </c>
      <c r="T226" t="str">
        <f>Lcode_mapping!U226</f>
        <v>-</v>
      </c>
      <c r="U226" t="str">
        <f>Lcode_mapping!V226</f>
        <v>-</v>
      </c>
      <c r="V226" t="str">
        <f>Lcode_mapping!W226</f>
        <v>-</v>
      </c>
    </row>
    <row r="227" spans="1:22" ht="15" customHeight="1" x14ac:dyDescent="0.25">
      <c r="A227">
        <f>Lcode_mapping!A227</f>
        <v>452</v>
      </c>
      <c r="B227">
        <f>Lcode_mapping!B227</f>
        <v>2</v>
      </c>
      <c r="C227" t="str">
        <f>Lcode_mapping!D227</f>
        <v>VLB1FILE</v>
      </c>
      <c r="D227">
        <f>Lcode_mapping!E227</f>
        <v>3</v>
      </c>
      <c r="E227">
        <f>Lcode_mapping!F227</f>
        <v>1</v>
      </c>
      <c r="F227">
        <f>Lcode_mapping!G227</f>
        <v>1</v>
      </c>
      <c r="G227" t="str">
        <f>Lcode_mapping!H227</f>
        <v>A</v>
      </c>
      <c r="H227">
        <f>Lcode_mapping!I227</f>
        <v>0</v>
      </c>
      <c r="I227" t="str">
        <f>Lcode_mapping!J227</f>
        <v xml:space="preserve">Correlator file name. </v>
      </c>
      <c r="J227" t="str">
        <f>Lcode_mapping!K227</f>
        <v>Obs</v>
      </c>
      <c r="K227" t="str">
        <f>Lcode_mapping!L227</f>
        <v>-</v>
      </c>
      <c r="L227" t="str">
        <f>Lcode_mapping!M227</f>
        <v>K</v>
      </c>
      <c r="M227" t="str">
        <f>Lcode_mapping!N227</f>
        <v>-</v>
      </c>
      <c r="N227" t="str">
        <f>Lcode_mapping!O227</f>
        <v>Observables</v>
      </c>
      <c r="O227" t="str">
        <f>Lcode_mapping!P227</f>
        <v>CorrInfo_bX</v>
      </c>
      <c r="P227" t="str">
        <f>Lcode_mapping!Q227</f>
        <v>-</v>
      </c>
      <c r="Q227" t="str">
        <f>Lcode_mapping!R227</f>
        <v>-</v>
      </c>
      <c r="R227" t="str">
        <f>Lcode_mapping!S227</f>
        <v>-</v>
      </c>
      <c r="S227" t="str">
        <f>Lcode_mapping!T227</f>
        <v>-</v>
      </c>
      <c r="T227" t="str">
        <f>Lcode_mapping!U227</f>
        <v>-</v>
      </c>
      <c r="U227" t="str">
        <f>Lcode_mapping!V227</f>
        <v>-</v>
      </c>
      <c r="V227" t="str">
        <f>Lcode_mapping!W227</f>
        <v>-</v>
      </c>
    </row>
    <row r="228" spans="1:22" ht="15" customHeight="1" x14ac:dyDescent="0.25">
      <c r="A228">
        <f>Lcode_mapping!A228</f>
        <v>453</v>
      </c>
      <c r="B228">
        <f>Lcode_mapping!B228</f>
        <v>2</v>
      </c>
      <c r="C228" t="str">
        <f>Lcode_mapping!D228</f>
        <v>VLB1XTNT</v>
      </c>
      <c r="D228">
        <f>Lcode_mapping!E228</f>
        <v>2</v>
      </c>
      <c r="E228">
        <f>Lcode_mapping!F228</f>
        <v>14</v>
      </c>
      <c r="F228">
        <f>Lcode_mapping!G228</f>
        <v>1</v>
      </c>
      <c r="G228" t="str">
        <f>Lcode_mapping!H228</f>
        <v>I</v>
      </c>
      <c r="H228">
        <f>Lcode_mapping!I228</f>
        <v>0</v>
      </c>
      <c r="I228" t="str">
        <f>Lcode_mapping!J228</f>
        <v xml:space="preserve">corr. ext by sideb  channel. </v>
      </c>
      <c r="J228" t="str">
        <f>Lcode_mapping!K228</f>
        <v>Obs</v>
      </c>
      <c r="K228" t="str">
        <f>Lcode_mapping!L228</f>
        <v>-</v>
      </c>
      <c r="L228" t="str">
        <f>Lcode_mapping!M228</f>
        <v>K</v>
      </c>
      <c r="M228" t="str">
        <f>Lcode_mapping!N228</f>
        <v>-</v>
      </c>
      <c r="N228" t="str">
        <f>Lcode_mapping!O228</f>
        <v>Observables</v>
      </c>
      <c r="O228" t="str">
        <f>Lcode_mapping!P228</f>
        <v>CorrInfo_bX</v>
      </c>
      <c r="P228" t="str">
        <f>Lcode_mapping!Q228</f>
        <v>-</v>
      </c>
      <c r="Q228" t="str">
        <f>Lcode_mapping!R228</f>
        <v>-</v>
      </c>
      <c r="R228" t="str">
        <f>Lcode_mapping!S228</f>
        <v>-</v>
      </c>
      <c r="S228" t="str">
        <f>Lcode_mapping!T228</f>
        <v>-</v>
      </c>
      <c r="T228" t="str">
        <f>Lcode_mapping!U228</f>
        <v>-</v>
      </c>
      <c r="U228" t="str">
        <f>Lcode_mapping!V228</f>
        <v>-</v>
      </c>
      <c r="V228" t="str">
        <f>Lcode_mapping!W228</f>
        <v>-</v>
      </c>
    </row>
    <row r="229" spans="1:22" ht="15" customHeight="1" x14ac:dyDescent="0.25">
      <c r="A229">
        <f>Lcode_mapping!A229</f>
        <v>455</v>
      </c>
      <c r="B229">
        <f>Lcode_mapping!B229</f>
        <v>3</v>
      </c>
      <c r="C229" t="str">
        <f>Lcode_mapping!D229</f>
        <v>VLB2PRG</v>
      </c>
      <c r="D229">
        <f>Lcode_mapping!E229</f>
        <v>3</v>
      </c>
      <c r="E229">
        <f>Lcode_mapping!F229</f>
        <v>1</v>
      </c>
      <c r="F229">
        <f>Lcode_mapping!G229</f>
        <v>1</v>
      </c>
      <c r="G229" t="str">
        <f>Lcode_mapping!H229</f>
        <v>A</v>
      </c>
      <c r="H229" t="str">
        <f>Lcode_mapping!I229</f>
        <v>x</v>
      </c>
      <c r="I229" t="str">
        <f>Lcode_mapping!J229</f>
        <v xml:space="preserve">FRNGE(YYMMDD)  Fourfit(x.x) ver. </v>
      </c>
      <c r="J229" t="str">
        <f>Lcode_mapping!K229</f>
        <v>Obs</v>
      </c>
      <c r="K229" t="str">
        <f>Lcode_mapping!L229</f>
        <v>-</v>
      </c>
      <c r="L229" t="str">
        <f>Lcode_mapping!M229</f>
        <v>K</v>
      </c>
      <c r="M229" t="str">
        <f>Lcode_mapping!N229</f>
        <v>-</v>
      </c>
      <c r="N229" t="str">
        <f>Lcode_mapping!O229</f>
        <v>Observables</v>
      </c>
      <c r="O229" t="str">
        <f>Lcode_mapping!P229</f>
        <v>CorrInfo_bX</v>
      </c>
      <c r="P229" t="str">
        <f>Lcode_mapping!Q229</f>
        <v>-</v>
      </c>
      <c r="Q229" t="str">
        <f>Lcode_mapping!R229</f>
        <v>-</v>
      </c>
      <c r="R229" t="str">
        <f>Lcode_mapping!S229</f>
        <v>-</v>
      </c>
      <c r="S229" t="str">
        <f>Lcode_mapping!T229</f>
        <v>-</v>
      </c>
      <c r="T229" t="str">
        <f>Lcode_mapping!U229</f>
        <v>-</v>
      </c>
      <c r="U229" t="str">
        <f>Lcode_mapping!V229</f>
        <v>-</v>
      </c>
      <c r="V229" t="str">
        <f>Lcode_mapping!W229</f>
        <v>-</v>
      </c>
    </row>
    <row r="230" spans="1:22" ht="15" customHeight="1" x14ac:dyDescent="0.25">
      <c r="A230">
        <f>Lcode_mapping!A230</f>
        <v>456</v>
      </c>
      <c r="B230">
        <f>Lcode_mapping!B230</f>
        <v>2</v>
      </c>
      <c r="C230" t="str">
        <f>Lcode_mapping!D230</f>
        <v>VLB2XTNT</v>
      </c>
      <c r="D230">
        <f>Lcode_mapping!E230</f>
        <v>1</v>
      </c>
      <c r="E230">
        <f>Lcode_mapping!F230</f>
        <v>1</v>
      </c>
      <c r="F230">
        <f>Lcode_mapping!G230</f>
        <v>1</v>
      </c>
      <c r="G230" t="str">
        <f>Lcode_mapping!H230</f>
        <v>I</v>
      </c>
      <c r="H230">
        <f>Lcode_mapping!I230</f>
        <v>0</v>
      </c>
      <c r="I230" t="str">
        <f>Lcode_mapping!J230</f>
        <v xml:space="preserve">FRNGE extent number. </v>
      </c>
      <c r="J230" t="str">
        <f>Lcode_mapping!K230</f>
        <v>Obs</v>
      </c>
      <c r="K230" t="str">
        <f>Lcode_mapping!L230</f>
        <v>-</v>
      </c>
      <c r="L230" t="str">
        <f>Lcode_mapping!M230</f>
        <v>K</v>
      </c>
      <c r="M230" t="str">
        <f>Lcode_mapping!N230</f>
        <v>-</v>
      </c>
      <c r="N230" t="str">
        <f>Lcode_mapping!O230</f>
        <v>Observables</v>
      </c>
      <c r="O230" t="str">
        <f>Lcode_mapping!P230</f>
        <v>CorrInfo_bX</v>
      </c>
      <c r="P230" t="str">
        <f>Lcode_mapping!Q230</f>
        <v>-</v>
      </c>
      <c r="Q230" t="str">
        <f>Lcode_mapping!R230</f>
        <v>-</v>
      </c>
      <c r="R230" t="str">
        <f>Lcode_mapping!S230</f>
        <v>-</v>
      </c>
      <c r="S230" t="str">
        <f>Lcode_mapping!T230</f>
        <v>-</v>
      </c>
      <c r="T230" t="str">
        <f>Lcode_mapping!U230</f>
        <v>-</v>
      </c>
      <c r="U230" t="str">
        <f>Lcode_mapping!V230</f>
        <v>-</v>
      </c>
      <c r="V230" t="str">
        <f>Lcode_mapping!W230</f>
        <v>-</v>
      </c>
    </row>
    <row r="231" spans="1:22" ht="15" customHeight="1" x14ac:dyDescent="0.25">
      <c r="A231">
        <f>Lcode_mapping!A231</f>
        <v>457</v>
      </c>
      <c r="B231">
        <f>Lcode_mapping!B231</f>
        <v>3</v>
      </c>
      <c r="C231" t="str">
        <f>Lcode_mapping!D231</f>
        <v>ZDELAY</v>
      </c>
      <c r="D231">
        <f>Lcode_mapping!E231</f>
        <v>2</v>
      </c>
      <c r="E231">
        <f>Lcode_mapping!F231</f>
        <v>1</v>
      </c>
      <c r="F231">
        <f>Lcode_mapping!G231</f>
        <v>1</v>
      </c>
      <c r="G231" t="str">
        <f>Lcode_mapping!H231</f>
        <v>R</v>
      </c>
      <c r="H231">
        <f>Lcode_mapping!I231</f>
        <v>1</v>
      </c>
      <c r="I231" t="str">
        <f>Lcode_mapping!J231</f>
        <v>Corel zenith atmos. delay (sec).</v>
      </c>
      <c r="J231" t="str">
        <f>Lcode_mapping!K231</f>
        <v>Obs</v>
      </c>
      <c r="K231" t="str">
        <f>Lcode_mapping!L231</f>
        <v>-</v>
      </c>
      <c r="L231" t="str">
        <f>Lcode_mapping!M231</f>
        <v>K</v>
      </c>
      <c r="M231" t="str">
        <f>Lcode_mapping!N231</f>
        <v>-</v>
      </c>
      <c r="N231" t="str">
        <f>Lcode_mapping!O231</f>
        <v>Observables</v>
      </c>
      <c r="O231" t="str">
        <f>Lcode_mapping!P231</f>
        <v>CorrInfo_bX</v>
      </c>
      <c r="P231" t="str">
        <f>Lcode_mapping!Q231</f>
        <v>-</v>
      </c>
      <c r="Q231" t="str">
        <f>Lcode_mapping!R231</f>
        <v>-</v>
      </c>
      <c r="R231" t="str">
        <f>Lcode_mapping!S231</f>
        <v>-</v>
      </c>
      <c r="S231" t="str">
        <f>Lcode_mapping!T231</f>
        <v>-</v>
      </c>
      <c r="T231" t="str">
        <f>Lcode_mapping!U231</f>
        <v>-</v>
      </c>
      <c r="U231" t="str">
        <f>Lcode_mapping!V231</f>
        <v>-</v>
      </c>
      <c r="V231" t="str">
        <f>Lcode_mapping!W231</f>
        <v>-</v>
      </c>
    </row>
    <row r="232" spans="1:22" ht="15" customHeight="1" x14ac:dyDescent="0.25">
      <c r="A232">
        <f>Lcode_mapping!A232</f>
        <v>336</v>
      </c>
      <c r="B232" t="str">
        <f>Lcode_mapping!B232</f>
        <v>N</v>
      </c>
      <c r="C232" t="str">
        <f>Lcode_mapping!D232</f>
        <v>DataFlag_S</v>
      </c>
      <c r="D232">
        <f>Lcode_mapping!E232</f>
        <v>1</v>
      </c>
      <c r="E232">
        <f>Lcode_mapping!F232</f>
        <v>1</v>
      </c>
      <c r="F232">
        <f>Lcode_mapping!G232</f>
        <v>1</v>
      </c>
      <c r="G232" t="str">
        <f>Lcode_mapping!H232</f>
        <v>I</v>
      </c>
      <c r="H232" t="str">
        <f>Lcode_mapping!I232</f>
        <v>N</v>
      </c>
      <c r="I232" t="str">
        <f>Lcode_mapping!J232</f>
        <v>-</v>
      </c>
      <c r="J232" t="str">
        <f>Lcode_mapping!K232</f>
        <v>Obs</v>
      </c>
      <c r="K232" t="str">
        <f>Lcode_mapping!L232</f>
        <v>New</v>
      </c>
      <c r="L232" t="str">
        <f>Lcode_mapping!M232</f>
        <v>K</v>
      </c>
      <c r="M232" t="str">
        <f>Lcode_mapping!N232</f>
        <v>NGS</v>
      </c>
      <c r="N232" t="str">
        <f>Lcode_mapping!O232</f>
        <v>Observables</v>
      </c>
      <c r="O232" t="str">
        <f>Lcode_mapping!P232</f>
        <v>DataFlag_bS</v>
      </c>
      <c r="P232" t="str">
        <f>Lcode_mapping!Q232</f>
        <v>-</v>
      </c>
      <c r="Q232" t="str">
        <f>Lcode_mapping!R232</f>
        <v>DataFlag</v>
      </c>
      <c r="R232" t="str">
        <f>Lcode_mapping!S232</f>
        <v>-</v>
      </c>
      <c r="S232" t="str">
        <f>Lcode_mapping!T232</f>
        <v>0=OK, -1=Missing,  -2=bad,-3=sigma small, -4=sigma big</v>
      </c>
      <c r="T232" t="str">
        <f>Lcode_mapping!U232</f>
        <v>-</v>
      </c>
      <c r="U232" t="str">
        <f>Lcode_mapping!V232</f>
        <v>-</v>
      </c>
      <c r="V232" t="str">
        <f>Lcode_mapping!W232</f>
        <v>-</v>
      </c>
    </row>
    <row r="233" spans="1:22" ht="15" customHeight="1" x14ac:dyDescent="0.25">
      <c r="A233">
        <f>Lcode_mapping!A233</f>
        <v>337</v>
      </c>
      <c r="B233" t="str">
        <f>Lcode_mapping!B233</f>
        <v>N</v>
      </c>
      <c r="C233" t="str">
        <f>Lcode_mapping!D233</f>
        <v>DataFlag_X</v>
      </c>
      <c r="D233">
        <f>Lcode_mapping!E233</f>
        <v>1</v>
      </c>
      <c r="E233">
        <f>Lcode_mapping!F233</f>
        <v>1</v>
      </c>
      <c r="F233">
        <f>Lcode_mapping!G233</f>
        <v>1</v>
      </c>
      <c r="G233" t="str">
        <f>Lcode_mapping!H233</f>
        <v>I</v>
      </c>
      <c r="H233" t="str">
        <f>Lcode_mapping!I233</f>
        <v>N</v>
      </c>
      <c r="I233" t="str">
        <f>Lcode_mapping!J233</f>
        <v>-</v>
      </c>
      <c r="J233" t="str">
        <f>Lcode_mapping!K233</f>
        <v>Obs</v>
      </c>
      <c r="K233" t="str">
        <f>Lcode_mapping!L233</f>
        <v>New</v>
      </c>
      <c r="L233" t="str">
        <f>Lcode_mapping!M233</f>
        <v>K</v>
      </c>
      <c r="M233" t="str">
        <f>Lcode_mapping!N233</f>
        <v>NGS</v>
      </c>
      <c r="N233" t="str">
        <f>Lcode_mapping!O233</f>
        <v>Observables</v>
      </c>
      <c r="O233" t="str">
        <f>Lcode_mapping!P233</f>
        <v>DataFlag_bX</v>
      </c>
      <c r="P233" t="str">
        <f>Lcode_mapping!Q233</f>
        <v>-</v>
      </c>
      <c r="Q233" t="str">
        <f>Lcode_mapping!R233</f>
        <v>DataFlag</v>
      </c>
      <c r="R233" t="str">
        <f>Lcode_mapping!S233</f>
        <v>-</v>
      </c>
      <c r="S233" t="str">
        <f>Lcode_mapping!T233</f>
        <v>0=OK, -1=Missing,  -2=bad,-3=sigma small, -4=sigma big</v>
      </c>
      <c r="T233" t="str">
        <f>Lcode_mapping!U233</f>
        <v>-</v>
      </c>
      <c r="U233" t="str">
        <f>Lcode_mapping!V233</f>
        <v>-</v>
      </c>
      <c r="V233" t="str">
        <f>Lcode_mapping!W233</f>
        <v>-</v>
      </c>
    </row>
    <row r="234" spans="1:22" ht="15" customHeight="1" x14ac:dyDescent="0.25">
      <c r="A234">
        <f>Lcode_mapping!A234</f>
        <v>350</v>
      </c>
      <c r="B234" t="str">
        <f>Lcode_mapping!B234</f>
        <v>N</v>
      </c>
      <c r="C234" t="str">
        <f>Lcode_mapping!D234</f>
        <v>GroupDelay_bS</v>
      </c>
      <c r="D234">
        <f>Lcode_mapping!E234</f>
        <v>1</v>
      </c>
      <c r="E234">
        <f>Lcode_mapping!F234</f>
        <v>1</v>
      </c>
      <c r="F234">
        <f>Lcode_mapping!G234</f>
        <v>1</v>
      </c>
      <c r="G234" t="str">
        <f>Lcode_mapping!H234</f>
        <v>R</v>
      </c>
      <c r="H234" t="str">
        <f>Lcode_mapping!I234</f>
        <v>N</v>
      </c>
      <c r="I234" t="str">
        <f>Lcode_mapping!J234</f>
        <v>-</v>
      </c>
      <c r="J234" t="str">
        <f>Lcode_mapping!K234</f>
        <v>Obs</v>
      </c>
      <c r="K234" t="str">
        <f>Lcode_mapping!L234</f>
        <v>-</v>
      </c>
      <c r="L234" t="str">
        <f>Lcode_mapping!M234</f>
        <v>N</v>
      </c>
      <c r="M234" t="str">
        <f>Lcode_mapping!N234</f>
        <v>NGS</v>
      </c>
      <c r="N234" t="str">
        <f>Lcode_mapping!O234</f>
        <v>Observables</v>
      </c>
      <c r="O234" t="str">
        <f>Lcode_mapping!P234</f>
        <v>GroupDelay_bS</v>
      </c>
      <c r="P234" t="str">
        <f>Lcode_mapping!Q234</f>
        <v>-</v>
      </c>
      <c r="Q234" t="str">
        <f>Lcode_mapping!R234</f>
        <v>GroupDelay</v>
      </c>
      <c r="R234" t="str">
        <f>Lcode_mapping!S234</f>
        <v>-</v>
      </c>
      <c r="S234" t="str">
        <f>Lcode_mapping!T234</f>
        <v>Delay observable produced by fringing.</v>
      </c>
      <c r="T234" t="str">
        <f>Lcode_mapping!U234</f>
        <v>-</v>
      </c>
      <c r="U234" t="str">
        <f>Lcode_mapping!V234</f>
        <v>second</v>
      </c>
      <c r="V234" t="str">
        <f>Lcode_mapping!W234</f>
        <v>-</v>
      </c>
    </row>
    <row r="235" spans="1:22" ht="15" customHeight="1" x14ac:dyDescent="0.25">
      <c r="A235">
        <f>Lcode_mapping!A235</f>
        <v>349</v>
      </c>
      <c r="B235">
        <f>Lcode_mapping!B235</f>
        <v>2</v>
      </c>
      <c r="C235" t="str">
        <f>Lcode_mapping!D235</f>
        <v>DLERR XS</v>
      </c>
      <c r="D235">
        <f>Lcode_mapping!E235</f>
        <v>1</v>
      </c>
      <c r="E235">
        <f>Lcode_mapping!F235</f>
        <v>1</v>
      </c>
      <c r="F235">
        <f>Lcode_mapping!G235</f>
        <v>1</v>
      </c>
      <c r="G235" t="str">
        <f>Lcode_mapping!H235</f>
        <v>R</v>
      </c>
      <c r="H235">
        <f>Lcode_mapping!I235</f>
        <v>4</v>
      </c>
      <c r="I235" t="str">
        <f>Lcode_mapping!J235</f>
        <v>Delay formal err  opposite band</v>
      </c>
      <c r="J235" t="str">
        <f>Lcode_mapping!K235</f>
        <v>Obs</v>
      </c>
      <c r="K235" t="str">
        <f>Lcode_mapping!L235</f>
        <v>-</v>
      </c>
      <c r="L235" t="str">
        <f>Lcode_mapping!M235</f>
        <v>K</v>
      </c>
      <c r="M235" t="str">
        <f>Lcode_mapping!N235</f>
        <v>NGS</v>
      </c>
      <c r="N235" t="str">
        <f>Lcode_mapping!O235</f>
        <v>Observables</v>
      </c>
      <c r="O235" t="str">
        <f>Lcode_mapping!P235</f>
        <v>GroupDelay_bS</v>
      </c>
      <c r="P235" t="str">
        <f>Lcode_mapping!Q235</f>
        <v>-</v>
      </c>
      <c r="Q235" t="str">
        <f>Lcode_mapping!R235</f>
        <v>GroupDelaySig</v>
      </c>
      <c r="R235" t="str">
        <f>Lcode_mapping!S235</f>
        <v>-</v>
      </c>
      <c r="S235" t="str">
        <f>Lcode_mapping!T235</f>
        <v>Delay Measurement Sigma</v>
      </c>
      <c r="T235" t="str">
        <f>Lcode_mapping!U235</f>
        <v>-</v>
      </c>
      <c r="U235" t="str">
        <f>Lcode_mapping!V235</f>
        <v>second</v>
      </c>
      <c r="V235" t="str">
        <f>Lcode_mapping!W235</f>
        <v>-</v>
      </c>
    </row>
    <row r="236" spans="1:22" ht="15" customHeight="1" x14ac:dyDescent="0.25">
      <c r="A236">
        <f>Lcode_mapping!A236</f>
        <v>351</v>
      </c>
      <c r="B236">
        <f>Lcode_mapping!B236</f>
        <v>2</v>
      </c>
      <c r="C236" t="str">
        <f>Lcode_mapping!D236</f>
        <v>DEL OBSV</v>
      </c>
      <c r="D236">
        <f>Lcode_mapping!E236</f>
        <v>2</v>
      </c>
      <c r="E236">
        <f>Lcode_mapping!F236</f>
        <v>1</v>
      </c>
      <c r="F236">
        <f>Lcode_mapping!G236</f>
        <v>1</v>
      </c>
      <c r="G236" t="str">
        <f>Lcode_mapping!H236</f>
        <v>R</v>
      </c>
      <c r="H236">
        <f>Lcode_mapping!I236</f>
        <v>1</v>
      </c>
      <c r="I236" t="str">
        <f>Lcode_mapping!J236</f>
        <v>Observed delay us in 2 parts.</v>
      </c>
      <c r="J236" t="str">
        <f>Lcode_mapping!K236</f>
        <v>Obs</v>
      </c>
      <c r="K236" t="str">
        <f>Lcode_mapping!L236</f>
        <v>-</v>
      </c>
      <c r="L236" t="str">
        <f>Lcode_mapping!M236</f>
        <v>R</v>
      </c>
      <c r="M236" t="str">
        <f>Lcode_mapping!N236</f>
        <v>NGS</v>
      </c>
      <c r="N236" t="str">
        <f>Lcode_mapping!O236</f>
        <v>Observables</v>
      </c>
      <c r="O236" t="str">
        <f>Lcode_mapping!P236</f>
        <v>GroupDelay_bX</v>
      </c>
      <c r="P236" t="str">
        <f>Lcode_mapping!Q236</f>
        <v>-</v>
      </c>
      <c r="Q236" t="str">
        <f>Lcode_mapping!R236</f>
        <v>GroupDelay</v>
      </c>
      <c r="R236" t="str">
        <f>Lcode_mapping!S236</f>
        <v>-</v>
      </c>
      <c r="S236" t="str">
        <f>Lcode_mapping!T236</f>
        <v>Delay observable produced by fringing.</v>
      </c>
      <c r="T236" t="str">
        <f>Lcode_mapping!U236</f>
        <v>-</v>
      </c>
      <c r="U236" t="str">
        <f>Lcode_mapping!V236</f>
        <v>microsecond</v>
      </c>
      <c r="V236" t="str">
        <f>Lcode_mapping!W236</f>
        <v>-</v>
      </c>
    </row>
    <row r="237" spans="1:22" ht="15" customHeight="1" x14ac:dyDescent="0.25">
      <c r="A237">
        <f>Lcode_mapping!A237</f>
        <v>352</v>
      </c>
      <c r="B237">
        <f>Lcode_mapping!B237</f>
        <v>2</v>
      </c>
      <c r="C237" t="str">
        <f>Lcode_mapping!D237</f>
        <v>DELSIGMA</v>
      </c>
      <c r="D237">
        <f>Lcode_mapping!E237</f>
        <v>1</v>
      </c>
      <c r="E237">
        <f>Lcode_mapping!F237</f>
        <v>1</v>
      </c>
      <c r="F237">
        <f>Lcode_mapping!G237</f>
        <v>1</v>
      </c>
      <c r="G237" t="str">
        <f>Lcode_mapping!H237</f>
        <v>R</v>
      </c>
      <c r="H237">
        <f>Lcode_mapping!I237</f>
        <v>1</v>
      </c>
      <c r="I237" t="str">
        <f>Lcode_mapping!J237</f>
        <v>Delay err (sec).</v>
      </c>
      <c r="J237" t="str">
        <f>Lcode_mapping!K237</f>
        <v>Obs</v>
      </c>
      <c r="K237" t="str">
        <f>Lcode_mapping!L237</f>
        <v>-</v>
      </c>
      <c r="L237" t="str">
        <f>Lcode_mapping!M237</f>
        <v>R</v>
      </c>
      <c r="M237" t="str">
        <f>Lcode_mapping!N237</f>
        <v>NGS</v>
      </c>
      <c r="N237" t="str">
        <f>Lcode_mapping!O237</f>
        <v>Observables</v>
      </c>
      <c r="O237" t="str">
        <f>Lcode_mapping!P237</f>
        <v>GroupDelay_bX</v>
      </c>
      <c r="P237" t="str">
        <f>Lcode_mapping!Q237</f>
        <v>-</v>
      </c>
      <c r="Q237" t="str">
        <f>Lcode_mapping!R237</f>
        <v>GroupDelaySig</v>
      </c>
      <c r="R237" t="str">
        <f>Lcode_mapping!S237</f>
        <v>-</v>
      </c>
      <c r="S237" t="str">
        <f>Lcode_mapping!T237</f>
        <v>Delay Measurement Sigma</v>
      </c>
      <c r="T237" t="str">
        <f>Lcode_mapping!U237</f>
        <v>-</v>
      </c>
      <c r="U237" t="str">
        <f>Lcode_mapping!V237</f>
        <v>second</v>
      </c>
      <c r="V237" t="str">
        <f>Lcode_mapping!W237</f>
        <v>-</v>
      </c>
    </row>
    <row r="238" spans="1:22" ht="15" customHeight="1" x14ac:dyDescent="0.25">
      <c r="A238">
        <f>Lcode_mapping!A238</f>
        <v>353</v>
      </c>
      <c r="B238" t="str">
        <f>Lcode_mapping!B238</f>
        <v>N</v>
      </c>
      <c r="C238" t="str">
        <f>Lcode_mapping!D238</f>
        <v>RateDataFlag_S</v>
      </c>
      <c r="D238">
        <f>Lcode_mapping!E238</f>
        <v>1</v>
      </c>
      <c r="E238">
        <f>Lcode_mapping!F238</f>
        <v>1</v>
      </c>
      <c r="F238">
        <f>Lcode_mapping!G238</f>
        <v>1</v>
      </c>
      <c r="G238" t="str">
        <f>Lcode_mapping!H238</f>
        <v>I</v>
      </c>
      <c r="H238" t="str">
        <f>Lcode_mapping!I238</f>
        <v>N</v>
      </c>
      <c r="I238" t="str">
        <f>Lcode_mapping!J238</f>
        <v>-</v>
      </c>
      <c r="J238" t="str">
        <f>Lcode_mapping!K238</f>
        <v>Obs</v>
      </c>
      <c r="K238" t="str">
        <f>Lcode_mapping!L238</f>
        <v>New</v>
      </c>
      <c r="L238" t="str">
        <f>Lcode_mapping!M238</f>
        <v>K</v>
      </c>
      <c r="M238" t="str">
        <f>Lcode_mapping!N238</f>
        <v>NGS</v>
      </c>
      <c r="N238" t="str">
        <f>Lcode_mapping!O238</f>
        <v>Observables</v>
      </c>
      <c r="O238" t="str">
        <f>Lcode_mapping!P238</f>
        <v>GroupRate_bS</v>
      </c>
      <c r="P238" t="str">
        <f>Lcode_mapping!Q238</f>
        <v>-</v>
      </c>
      <c r="Q238" t="str">
        <f>Lcode_mapping!R238</f>
        <v>RateDataFlag</v>
      </c>
      <c r="R238" t="str">
        <f>Lcode_mapping!S238</f>
        <v>-</v>
      </c>
      <c r="S238" t="str">
        <f>Lcode_mapping!T238</f>
        <v>0=OK, -1=Missing,  -2=bad,-3=sigma small, -4=sigma big</v>
      </c>
      <c r="T238" t="str">
        <f>Lcode_mapping!U238</f>
        <v>-</v>
      </c>
      <c r="U238" t="str">
        <f>Lcode_mapping!V238</f>
        <v>-</v>
      </c>
      <c r="V238" t="str">
        <f>Lcode_mapping!W238</f>
        <v>-</v>
      </c>
    </row>
    <row r="239" spans="1:22" ht="15" customHeight="1" x14ac:dyDescent="0.25">
      <c r="A239">
        <f>Lcode_mapping!A239</f>
        <v>355</v>
      </c>
      <c r="B239">
        <f>Lcode_mapping!B239</f>
        <v>2</v>
      </c>
      <c r="C239" t="str">
        <f>Lcode_mapping!D239</f>
        <v>RTOBS XS</v>
      </c>
      <c r="D239">
        <f>Lcode_mapping!E239</f>
        <v>1</v>
      </c>
      <c r="E239">
        <f>Lcode_mapping!F239</f>
        <v>1</v>
      </c>
      <c r="F239">
        <f>Lcode_mapping!G239</f>
        <v>1</v>
      </c>
      <c r="G239" t="str">
        <f>Lcode_mapping!H239</f>
        <v>R</v>
      </c>
      <c r="H239">
        <f>Lcode_mapping!I239</f>
        <v>4</v>
      </c>
      <c r="I239" t="str">
        <f>Lcode_mapping!J239</f>
        <v>Rate observable  opposite band</v>
      </c>
      <c r="J239" t="str">
        <f>Lcode_mapping!K239</f>
        <v>Obs</v>
      </c>
      <c r="K239" t="str">
        <f>Lcode_mapping!L239</f>
        <v>-</v>
      </c>
      <c r="L239" t="str">
        <f>Lcode_mapping!M239</f>
        <v>K</v>
      </c>
      <c r="M239" t="str">
        <f>Lcode_mapping!N239</f>
        <v>NGS</v>
      </c>
      <c r="N239" t="str">
        <f>Lcode_mapping!O239</f>
        <v>Observables</v>
      </c>
      <c r="O239" t="str">
        <f>Lcode_mapping!P239</f>
        <v>GroupRate_bS</v>
      </c>
      <c r="P239" t="str">
        <f>Lcode_mapping!Q239</f>
        <v>-</v>
      </c>
      <c r="Q239" t="str">
        <f>Lcode_mapping!R239</f>
        <v>GroupRate</v>
      </c>
      <c r="R239" t="str">
        <f>Lcode_mapping!S239</f>
        <v>-</v>
      </c>
      <c r="S239" t="str">
        <f>Lcode_mapping!T239</f>
        <v>Rate Observable</v>
      </c>
      <c r="T239" t="str">
        <f>Lcode_mapping!U239</f>
        <v>-</v>
      </c>
      <c r="U239" t="str">
        <f>Lcode_mapping!V239</f>
        <v>-</v>
      </c>
      <c r="V239" t="str">
        <f>Lcode_mapping!W239</f>
        <v>-</v>
      </c>
    </row>
    <row r="240" spans="1:22" ht="15" customHeight="1" x14ac:dyDescent="0.25">
      <c r="A240">
        <f>Lcode_mapping!A240</f>
        <v>354</v>
      </c>
      <c r="B240">
        <f>Lcode_mapping!B240</f>
        <v>2</v>
      </c>
      <c r="C240" t="str">
        <f>Lcode_mapping!D240</f>
        <v>RTERR XS</v>
      </c>
      <c r="D240">
        <f>Lcode_mapping!E240</f>
        <v>1</v>
      </c>
      <c r="E240">
        <f>Lcode_mapping!F240</f>
        <v>1</v>
      </c>
      <c r="F240">
        <f>Lcode_mapping!G240</f>
        <v>1</v>
      </c>
      <c r="G240" t="str">
        <f>Lcode_mapping!H240</f>
        <v>R</v>
      </c>
      <c r="H240">
        <f>Lcode_mapping!I240</f>
        <v>4</v>
      </c>
      <c r="I240" t="str">
        <f>Lcode_mapping!J240</f>
        <v>Rate formal err  opposite band</v>
      </c>
      <c r="J240" t="str">
        <f>Lcode_mapping!K240</f>
        <v>Obs</v>
      </c>
      <c r="K240" t="str">
        <f>Lcode_mapping!L240</f>
        <v>-</v>
      </c>
      <c r="L240" t="str">
        <f>Lcode_mapping!M240</f>
        <v>K</v>
      </c>
      <c r="M240" t="str">
        <f>Lcode_mapping!N240</f>
        <v>NGS</v>
      </c>
      <c r="N240" t="str">
        <f>Lcode_mapping!O240</f>
        <v>Observables</v>
      </c>
      <c r="O240" t="str">
        <f>Lcode_mapping!P240</f>
        <v>GroupRate_bS</v>
      </c>
      <c r="P240" t="str">
        <f>Lcode_mapping!Q240</f>
        <v>-</v>
      </c>
      <c r="Q240" t="str">
        <f>Lcode_mapping!R240</f>
        <v>GroupRateSig</v>
      </c>
      <c r="R240" t="str">
        <f>Lcode_mapping!S240</f>
        <v>-</v>
      </c>
      <c r="S240" t="str">
        <f>Lcode_mapping!T240</f>
        <v>Rate Measurement Sigma</v>
      </c>
      <c r="T240" t="str">
        <f>Lcode_mapping!U240</f>
        <v>-</v>
      </c>
      <c r="U240" t="str">
        <f>Lcode_mapping!V240</f>
        <v>-</v>
      </c>
      <c r="V240" t="str">
        <f>Lcode_mapping!W240</f>
        <v>-</v>
      </c>
    </row>
    <row r="241" spans="1:22" ht="15" customHeight="1" x14ac:dyDescent="0.25">
      <c r="A241">
        <f>Lcode_mapping!A241</f>
        <v>357</v>
      </c>
      <c r="B241" t="str">
        <f>Lcode_mapping!B241</f>
        <v>N</v>
      </c>
      <c r="C241" t="str">
        <f>Lcode_mapping!D241</f>
        <v>RateDataFlag_X</v>
      </c>
      <c r="D241">
        <f>Lcode_mapping!E241</f>
        <v>1</v>
      </c>
      <c r="E241">
        <f>Lcode_mapping!F241</f>
        <v>1</v>
      </c>
      <c r="F241">
        <f>Lcode_mapping!G241</f>
        <v>1</v>
      </c>
      <c r="G241" t="str">
        <f>Lcode_mapping!H241</f>
        <v>I</v>
      </c>
      <c r="H241" t="str">
        <f>Lcode_mapping!I241</f>
        <v>N</v>
      </c>
      <c r="I241" t="str">
        <f>Lcode_mapping!J241</f>
        <v>-</v>
      </c>
      <c r="J241" t="str">
        <f>Lcode_mapping!K241</f>
        <v>Obs</v>
      </c>
      <c r="K241" t="str">
        <f>Lcode_mapping!L241</f>
        <v>New</v>
      </c>
      <c r="L241" t="str">
        <f>Lcode_mapping!M241</f>
        <v>K</v>
      </c>
      <c r="M241" t="str">
        <f>Lcode_mapping!N241</f>
        <v>NGS</v>
      </c>
      <c r="N241" t="str">
        <f>Lcode_mapping!O241</f>
        <v>Observables</v>
      </c>
      <c r="O241" t="str">
        <f>Lcode_mapping!P241</f>
        <v>GroupRate_bX</v>
      </c>
      <c r="P241" t="str">
        <f>Lcode_mapping!Q241</f>
        <v>-</v>
      </c>
      <c r="Q241" t="str">
        <f>Lcode_mapping!R241</f>
        <v>DataFlag</v>
      </c>
      <c r="R241" t="str">
        <f>Lcode_mapping!S241</f>
        <v>-</v>
      </c>
      <c r="S241" t="str">
        <f>Lcode_mapping!T241</f>
        <v>0=OK, -1=Missing,  -2=bad,-3=sigma small, -4=sigma big</v>
      </c>
      <c r="T241" t="str">
        <f>Lcode_mapping!U241</f>
        <v>-</v>
      </c>
      <c r="U241" t="str">
        <f>Lcode_mapping!V241</f>
        <v>-</v>
      </c>
      <c r="V241" t="str">
        <f>Lcode_mapping!W241</f>
        <v>-</v>
      </c>
    </row>
    <row r="242" spans="1:22" ht="15" customHeight="1" x14ac:dyDescent="0.25">
      <c r="A242">
        <f>Lcode_mapping!A242</f>
        <v>356</v>
      </c>
      <c r="B242">
        <f>Lcode_mapping!B242</f>
        <v>2</v>
      </c>
      <c r="C242" t="str">
        <f>Lcode_mapping!D242</f>
        <v>RAT OBSV</v>
      </c>
      <c r="D242">
        <f>Lcode_mapping!E242</f>
        <v>1</v>
      </c>
      <c r="E242">
        <f>Lcode_mapping!F242</f>
        <v>1</v>
      </c>
      <c r="F242">
        <f>Lcode_mapping!G242</f>
        <v>1</v>
      </c>
      <c r="G242" t="str">
        <f>Lcode_mapping!H242</f>
        <v>R</v>
      </c>
      <c r="H242">
        <f>Lcode_mapping!I242</f>
        <v>1</v>
      </c>
      <c r="I242" t="str">
        <f>Lcode_mapping!J242</f>
        <v>Observd delay rate (sec per sec)</v>
      </c>
      <c r="J242" t="str">
        <f>Lcode_mapping!K242</f>
        <v>Obs</v>
      </c>
      <c r="K242" t="str">
        <f>Lcode_mapping!L242</f>
        <v>-</v>
      </c>
      <c r="L242" t="str">
        <f>Lcode_mapping!M242</f>
        <v>K</v>
      </c>
      <c r="M242" t="str">
        <f>Lcode_mapping!N242</f>
        <v>NGS</v>
      </c>
      <c r="N242" t="str">
        <f>Lcode_mapping!O242</f>
        <v>Observables</v>
      </c>
      <c r="O242" t="str">
        <f>Lcode_mapping!P242</f>
        <v>GroupRate_bX</v>
      </c>
      <c r="P242" t="str">
        <f>Lcode_mapping!Q242</f>
        <v>-</v>
      </c>
      <c r="Q242" t="str">
        <f>Lcode_mapping!R242</f>
        <v>GroupRate</v>
      </c>
      <c r="R242" t="str">
        <f>Lcode_mapping!S242</f>
        <v>-</v>
      </c>
      <c r="S242" t="str">
        <f>Lcode_mapping!T242</f>
        <v>Rate Observable</v>
      </c>
      <c r="T242" t="str">
        <f>Lcode_mapping!U242</f>
        <v>-</v>
      </c>
      <c r="U242" t="str">
        <f>Lcode_mapping!V242</f>
        <v>second/second</v>
      </c>
      <c r="V242" t="str">
        <f>Lcode_mapping!W242</f>
        <v>-</v>
      </c>
    </row>
    <row r="243" spans="1:22" ht="15" customHeight="1" x14ac:dyDescent="0.25">
      <c r="A243">
        <f>Lcode_mapping!A243</f>
        <v>358</v>
      </c>
      <c r="B243">
        <f>Lcode_mapping!B243</f>
        <v>2</v>
      </c>
      <c r="C243" t="str">
        <f>Lcode_mapping!D243</f>
        <v>RATSIGMA</v>
      </c>
      <c r="D243">
        <f>Lcode_mapping!E243</f>
        <v>1</v>
      </c>
      <c r="E243">
        <f>Lcode_mapping!F243</f>
        <v>1</v>
      </c>
      <c r="F243">
        <f>Lcode_mapping!G243</f>
        <v>1</v>
      </c>
      <c r="G243" t="str">
        <f>Lcode_mapping!H243</f>
        <v>R</v>
      </c>
      <c r="H243">
        <f>Lcode_mapping!I243</f>
        <v>1</v>
      </c>
      <c r="I243" t="str">
        <f>Lcode_mapping!J243</f>
        <v>Rate formal error(sec per sec).</v>
      </c>
      <c r="J243" t="str">
        <f>Lcode_mapping!K243</f>
        <v>Obs</v>
      </c>
      <c r="K243" t="str">
        <f>Lcode_mapping!L243</f>
        <v>-</v>
      </c>
      <c r="L243" t="str">
        <f>Lcode_mapping!M243</f>
        <v>K</v>
      </c>
      <c r="M243" t="str">
        <f>Lcode_mapping!N243</f>
        <v>NGS</v>
      </c>
      <c r="N243" t="str">
        <f>Lcode_mapping!O243</f>
        <v>Observables</v>
      </c>
      <c r="O243" t="str">
        <f>Lcode_mapping!P243</f>
        <v>GroupRate_bX</v>
      </c>
      <c r="P243" t="str">
        <f>Lcode_mapping!Q243</f>
        <v>-</v>
      </c>
      <c r="Q243" t="str">
        <f>Lcode_mapping!R243</f>
        <v>GroupRateSig</v>
      </c>
      <c r="R243" t="str">
        <f>Lcode_mapping!S243</f>
        <v>-</v>
      </c>
      <c r="S243" t="str">
        <f>Lcode_mapping!T243</f>
        <v>Rate Measurement Sigma</v>
      </c>
      <c r="T243" t="str">
        <f>Lcode_mapping!U243</f>
        <v>-</v>
      </c>
      <c r="U243" t="str">
        <f>Lcode_mapping!V243</f>
        <v>second/second</v>
      </c>
      <c r="V243" t="str">
        <f>Lcode_mapping!W243</f>
        <v>-</v>
      </c>
    </row>
    <row r="244" spans="1:22" ht="15" customHeight="1" x14ac:dyDescent="0.25">
      <c r="A244">
        <f>Lcode_mapping!A244</f>
        <v>361</v>
      </c>
      <c r="B244">
        <f>Lcode_mapping!B244</f>
        <v>2</v>
      </c>
      <c r="C244" t="str">
        <f>Lcode_mapping!D244</f>
        <v>TOTPHA_S</v>
      </c>
      <c r="D244">
        <f>Lcode_mapping!E244</f>
        <v>1</v>
      </c>
      <c r="E244">
        <f>Lcode_mapping!F244</f>
        <v>1</v>
      </c>
      <c r="F244">
        <f>Lcode_mapping!G244</f>
        <v>1</v>
      </c>
      <c r="G244" t="str">
        <f>Lcode_mapping!H244</f>
        <v>R</v>
      </c>
      <c r="H244">
        <f>Lcode_mapping!I244</f>
        <v>4</v>
      </c>
      <c r="I244" t="str">
        <f>Lcode_mapping!J244</f>
        <v>S-band Total phase (in degrees)</v>
      </c>
      <c r="J244" t="str">
        <f>Lcode_mapping!K244</f>
        <v>Obs</v>
      </c>
      <c r="K244" t="str">
        <f>Lcode_mapping!L244</f>
        <v>-</v>
      </c>
      <c r="L244" t="str">
        <f>Lcode_mapping!M244</f>
        <v>K</v>
      </c>
      <c r="M244" t="str">
        <f>Lcode_mapping!N244</f>
        <v>Solve</v>
      </c>
      <c r="N244" t="str">
        <f>Lcode_mapping!O244</f>
        <v>Observables</v>
      </c>
      <c r="O244" t="str">
        <f>Lcode_mapping!P244</f>
        <v>Phase_bS</v>
      </c>
      <c r="P244" t="str">
        <f>Lcode_mapping!Q244</f>
        <v>-</v>
      </c>
      <c r="Q244" t="str">
        <f>Lcode_mapping!R244</f>
        <v>Phase</v>
      </c>
      <c r="R244" t="str">
        <f>Lcode_mapping!S244</f>
        <v>-</v>
      </c>
      <c r="S244" t="str">
        <f>Lcode_mapping!T244</f>
        <v xml:space="preserve">Total phase   </v>
      </c>
      <c r="T244" t="str">
        <f>Lcode_mapping!U244</f>
        <v>-</v>
      </c>
      <c r="U244" t="str">
        <f>Lcode_mapping!V244</f>
        <v>degree</v>
      </c>
      <c r="V244" t="str">
        <f>Lcode_mapping!W244</f>
        <v>-</v>
      </c>
    </row>
    <row r="245" spans="1:22" ht="15" customHeight="1" x14ac:dyDescent="0.25">
      <c r="A245">
        <f>Lcode_mapping!A245</f>
        <v>360</v>
      </c>
      <c r="B245" t="str">
        <f>Lcode_mapping!B245</f>
        <v>N</v>
      </c>
      <c r="C245" t="str">
        <f>Lcode_mapping!D245</f>
        <v>PhaseDataFlag_S</v>
      </c>
      <c r="D245">
        <f>Lcode_mapping!E245</f>
        <v>1</v>
      </c>
      <c r="E245">
        <f>Lcode_mapping!F245</f>
        <v>1</v>
      </c>
      <c r="F245">
        <f>Lcode_mapping!G245</f>
        <v>1</v>
      </c>
      <c r="G245" t="str">
        <f>Lcode_mapping!H245</f>
        <v>I</v>
      </c>
      <c r="H245" t="str">
        <f>Lcode_mapping!I245</f>
        <v>N</v>
      </c>
      <c r="I245" t="str">
        <f>Lcode_mapping!J245</f>
        <v>-</v>
      </c>
      <c r="J245" t="str">
        <f>Lcode_mapping!K245</f>
        <v>Obs</v>
      </c>
      <c r="K245" t="str">
        <f>Lcode_mapping!L245</f>
        <v>New</v>
      </c>
      <c r="L245" t="str">
        <f>Lcode_mapping!M245</f>
        <v>K</v>
      </c>
      <c r="M245" t="str">
        <f>Lcode_mapping!N245</f>
        <v>NGS</v>
      </c>
      <c r="N245" t="str">
        <f>Lcode_mapping!O245</f>
        <v>Observables</v>
      </c>
      <c r="O245" t="str">
        <f>Lcode_mapping!P245</f>
        <v>Phase_bS</v>
      </c>
      <c r="P245" t="str">
        <f>Lcode_mapping!Q245</f>
        <v>-</v>
      </c>
      <c r="Q245" t="str">
        <f>Lcode_mapping!R245</f>
        <v>PhaseDataFlag</v>
      </c>
      <c r="R245" t="str">
        <f>Lcode_mapping!S245</f>
        <v>-</v>
      </c>
      <c r="S245" t="str">
        <f>Lcode_mapping!T245</f>
        <v>0=OK, -1=Missing,  -2=bad,-3=sigma small, -4=sigma big</v>
      </c>
      <c r="T245" t="str">
        <f>Lcode_mapping!U245</f>
        <v>-</v>
      </c>
      <c r="U245" t="str">
        <f>Lcode_mapping!V245</f>
        <v>-</v>
      </c>
      <c r="V245" t="str">
        <f>Lcode_mapping!W245</f>
        <v>-</v>
      </c>
    </row>
    <row r="246" spans="1:22" ht="15" customHeight="1" x14ac:dyDescent="0.25">
      <c r="A246">
        <f>Lcode_mapping!A246</f>
        <v>359</v>
      </c>
      <c r="B246">
        <f>Lcode_mapping!B246</f>
        <v>2</v>
      </c>
      <c r="C246" t="str">
        <f>Lcode_mapping!D246</f>
        <v>DPHER XS</v>
      </c>
      <c r="D246">
        <f>Lcode_mapping!E246</f>
        <v>1</v>
      </c>
      <c r="E246">
        <f>Lcode_mapping!F246</f>
        <v>1</v>
      </c>
      <c r="F246">
        <f>Lcode_mapping!G246</f>
        <v>1</v>
      </c>
      <c r="G246" t="str">
        <f>Lcode_mapping!H246</f>
        <v>R</v>
      </c>
      <c r="H246">
        <f>Lcode_mapping!I246</f>
        <v>4</v>
      </c>
      <c r="I246" t="str">
        <f>Lcode_mapping!J246</f>
        <v>Phase formal err  opposite band</v>
      </c>
      <c r="J246" t="str">
        <f>Lcode_mapping!K246</f>
        <v>Obs</v>
      </c>
      <c r="K246" t="str">
        <f>Lcode_mapping!L246</f>
        <v>-</v>
      </c>
      <c r="L246" t="str">
        <f>Lcode_mapping!M246</f>
        <v>K</v>
      </c>
      <c r="M246" t="str">
        <f>Lcode_mapping!N246</f>
        <v>Solve</v>
      </c>
      <c r="N246" t="str">
        <f>Lcode_mapping!O246</f>
        <v>Observables</v>
      </c>
      <c r="O246" t="str">
        <f>Lcode_mapping!P246</f>
        <v>Phase_bS</v>
      </c>
      <c r="P246" t="str">
        <f>Lcode_mapping!Q246</f>
        <v>-</v>
      </c>
      <c r="Q246" t="str">
        <f>Lcode_mapping!R246</f>
        <v>PhaseSig</v>
      </c>
      <c r="R246" t="str">
        <f>Lcode_mapping!S246</f>
        <v>-</v>
      </c>
      <c r="S246" t="str">
        <f>Lcode_mapping!T246</f>
        <v>Phase delay sigma.</v>
      </c>
      <c r="T246" t="str">
        <f>Lcode_mapping!U246</f>
        <v>-</v>
      </c>
      <c r="U246" t="str">
        <f>Lcode_mapping!V246</f>
        <v>second</v>
      </c>
      <c r="V246" t="str">
        <f>Lcode_mapping!W246</f>
        <v>-</v>
      </c>
    </row>
    <row r="247" spans="1:22" ht="15" customHeight="1" x14ac:dyDescent="0.25">
      <c r="A247">
        <f>Lcode_mapping!A247</f>
        <v>365</v>
      </c>
      <c r="B247">
        <f>Lcode_mapping!B247</f>
        <v>2</v>
      </c>
      <c r="C247" t="str">
        <f>Lcode_mapping!D247</f>
        <v>TOTPHASE</v>
      </c>
      <c r="D247">
        <f>Lcode_mapping!E247</f>
        <v>1</v>
      </c>
      <c r="E247">
        <f>Lcode_mapping!F247</f>
        <v>1</v>
      </c>
      <c r="F247">
        <f>Lcode_mapping!G247</f>
        <v>1</v>
      </c>
      <c r="G247" t="str">
        <f>Lcode_mapping!H247</f>
        <v>R</v>
      </c>
      <c r="H247">
        <f>Lcode_mapping!I247</f>
        <v>1</v>
      </c>
      <c r="I247" t="str">
        <f>Lcode_mapping!J247</f>
        <v>Total phase degrees mod 360.</v>
      </c>
      <c r="J247" t="str">
        <f>Lcode_mapping!K247</f>
        <v>Obs</v>
      </c>
      <c r="K247" t="str">
        <f>Lcode_mapping!L247</f>
        <v>-</v>
      </c>
      <c r="L247" t="str">
        <f>Lcode_mapping!M247</f>
        <v>K</v>
      </c>
      <c r="M247" t="str">
        <f>Lcode_mapping!N247</f>
        <v>Solve</v>
      </c>
      <c r="N247" t="str">
        <f>Lcode_mapping!O247</f>
        <v>Observables</v>
      </c>
      <c r="O247" t="str">
        <f>Lcode_mapping!P247</f>
        <v>Phase_bX</v>
      </c>
      <c r="P247" t="str">
        <f>Lcode_mapping!Q247</f>
        <v>-</v>
      </c>
      <c r="Q247" t="str">
        <f>Lcode_mapping!R247</f>
        <v>Phase</v>
      </c>
      <c r="R247" t="str">
        <f>Lcode_mapping!S247</f>
        <v>-</v>
      </c>
      <c r="S247" t="str">
        <f>Lcode_mapping!T247</f>
        <v xml:space="preserve">Total phase   </v>
      </c>
      <c r="T247" t="str">
        <f>Lcode_mapping!U247</f>
        <v>-</v>
      </c>
      <c r="U247" t="str">
        <f>Lcode_mapping!V247</f>
        <v>degree</v>
      </c>
      <c r="V247" t="str">
        <f>Lcode_mapping!W247</f>
        <v>-</v>
      </c>
    </row>
    <row r="248" spans="1:22" ht="15" customHeight="1" x14ac:dyDescent="0.25">
      <c r="A248">
        <f>Lcode_mapping!A248</f>
        <v>362</v>
      </c>
      <c r="B248" t="str">
        <f>Lcode_mapping!B248</f>
        <v>N</v>
      </c>
      <c r="C248" t="str">
        <f>Lcode_mapping!D248</f>
        <v>PhaseDataFlag_X</v>
      </c>
      <c r="D248">
        <f>Lcode_mapping!E248</f>
        <v>1</v>
      </c>
      <c r="E248">
        <f>Lcode_mapping!F248</f>
        <v>1</v>
      </c>
      <c r="F248">
        <f>Lcode_mapping!G248</f>
        <v>1</v>
      </c>
      <c r="G248" t="str">
        <f>Lcode_mapping!H248</f>
        <v>I</v>
      </c>
      <c r="H248" t="str">
        <f>Lcode_mapping!I248</f>
        <v>N</v>
      </c>
      <c r="I248" t="str">
        <f>Lcode_mapping!J248</f>
        <v>-</v>
      </c>
      <c r="J248" t="str">
        <f>Lcode_mapping!K248</f>
        <v>Obs</v>
      </c>
      <c r="K248" t="str">
        <f>Lcode_mapping!L248</f>
        <v>New</v>
      </c>
      <c r="L248" t="str">
        <f>Lcode_mapping!M248</f>
        <v>K</v>
      </c>
      <c r="M248" t="str">
        <f>Lcode_mapping!N248</f>
        <v>NGS</v>
      </c>
      <c r="N248" t="str">
        <f>Lcode_mapping!O248</f>
        <v>Observables</v>
      </c>
      <c r="O248" t="str">
        <f>Lcode_mapping!P248</f>
        <v>Phase_bX</v>
      </c>
      <c r="P248" t="str">
        <f>Lcode_mapping!Q248</f>
        <v>-</v>
      </c>
      <c r="Q248" t="str">
        <f>Lcode_mapping!R248</f>
        <v>PhaseDataFlag</v>
      </c>
      <c r="R248" t="str">
        <f>Lcode_mapping!S248</f>
        <v>-</v>
      </c>
      <c r="S248" t="str">
        <f>Lcode_mapping!T248</f>
        <v>0=OK, -1=Missing,  -2=bad,-3=sigma small, -4=sigma big</v>
      </c>
      <c r="T248" t="str">
        <f>Lcode_mapping!U248</f>
        <v>-</v>
      </c>
      <c r="U248" t="str">
        <f>Lcode_mapping!V248</f>
        <v>-</v>
      </c>
      <c r="V248" t="str">
        <f>Lcode_mapping!W248</f>
        <v>-</v>
      </c>
    </row>
    <row r="249" spans="1:22" ht="15" customHeight="1" x14ac:dyDescent="0.25">
      <c r="A249">
        <f>Lcode_mapping!A249</f>
        <v>363</v>
      </c>
      <c r="B249" t="str">
        <f>Lcode_mapping!B249</f>
        <v>N</v>
      </c>
      <c r="C249" t="str">
        <f>Lcode_mapping!D249</f>
        <v>PhaseDelayRaw_bX</v>
      </c>
      <c r="D249">
        <f>Lcode_mapping!E249</f>
        <v>1</v>
      </c>
      <c r="E249">
        <f>Lcode_mapping!F249</f>
        <v>1</v>
      </c>
      <c r="F249">
        <f>Lcode_mapping!G249</f>
        <v>1</v>
      </c>
      <c r="G249" t="str">
        <f>Lcode_mapping!H249</f>
        <v>R</v>
      </c>
      <c r="H249" t="str">
        <f>Lcode_mapping!I249</f>
        <v>N</v>
      </c>
      <c r="I249" t="str">
        <f>Lcode_mapping!J249</f>
        <v>-</v>
      </c>
      <c r="J249" t="str">
        <f>Lcode_mapping!K249</f>
        <v>Obs</v>
      </c>
      <c r="K249" t="str">
        <f>Lcode_mapping!L249</f>
        <v>-</v>
      </c>
      <c r="L249" t="str">
        <f>Lcode_mapping!M249</f>
        <v>N</v>
      </c>
      <c r="M249" t="str">
        <f>Lcode_mapping!N249</f>
        <v>Solve</v>
      </c>
      <c r="N249" t="str">
        <f>Lcode_mapping!O249</f>
        <v>Observables</v>
      </c>
      <c r="O249" t="str">
        <f>Lcode_mapping!P249</f>
        <v>Phase_bX</v>
      </c>
      <c r="P249" t="str">
        <f>Lcode_mapping!Q249</f>
        <v>-</v>
      </c>
      <c r="Q249" t="str">
        <f>Lcode_mapping!R249</f>
        <v>PhaseDelayRaw</v>
      </c>
      <c r="R249" t="str">
        <f>Lcode_mapping!S249</f>
        <v>-</v>
      </c>
      <c r="S249" t="str">
        <f>Lcode_mapping!T249</f>
        <v>Unresolved phase delay</v>
      </c>
      <c r="T249" t="str">
        <f>Lcode_mapping!U249</f>
        <v>-</v>
      </c>
      <c r="U249" t="str">
        <f>Lcode_mapping!V249</f>
        <v>radian</v>
      </c>
      <c r="V249" t="str">
        <f>Lcode_mapping!W249</f>
        <v>-</v>
      </c>
    </row>
    <row r="250" spans="1:22" ht="15" customHeight="1" x14ac:dyDescent="0.25">
      <c r="A250">
        <f>Lcode_mapping!A250</f>
        <v>364</v>
      </c>
      <c r="B250" t="str">
        <f>Lcode_mapping!B250</f>
        <v>N</v>
      </c>
      <c r="C250" t="str">
        <f>Lcode_mapping!D250</f>
        <v>PhaseDelaySig_bX</v>
      </c>
      <c r="D250">
        <f>Lcode_mapping!E250</f>
        <v>1</v>
      </c>
      <c r="E250">
        <f>Lcode_mapping!F250</f>
        <v>1</v>
      </c>
      <c r="F250">
        <f>Lcode_mapping!G250</f>
        <v>1</v>
      </c>
      <c r="G250" t="str">
        <f>Lcode_mapping!H250</f>
        <v>R</v>
      </c>
      <c r="H250" t="str">
        <f>Lcode_mapping!I250</f>
        <v>N</v>
      </c>
      <c r="I250" t="str">
        <f>Lcode_mapping!J250</f>
        <v>-</v>
      </c>
      <c r="J250" t="str">
        <f>Lcode_mapping!K250</f>
        <v>Obs</v>
      </c>
      <c r="K250" t="str">
        <f>Lcode_mapping!L250</f>
        <v>-</v>
      </c>
      <c r="L250" t="str">
        <f>Lcode_mapping!M250</f>
        <v>N</v>
      </c>
      <c r="M250" t="str">
        <f>Lcode_mapping!N250</f>
        <v>Solve</v>
      </c>
      <c r="N250" t="str">
        <f>Lcode_mapping!O250</f>
        <v>Observables</v>
      </c>
      <c r="O250" t="str">
        <f>Lcode_mapping!P250</f>
        <v>Phase_bX</v>
      </c>
      <c r="P250" t="str">
        <f>Lcode_mapping!Q250</f>
        <v>-</v>
      </c>
      <c r="Q250" t="str">
        <f>Lcode_mapping!R250</f>
        <v>PhaseSig</v>
      </c>
      <c r="R250" t="str">
        <f>Lcode_mapping!S250</f>
        <v>-</v>
      </c>
      <c r="S250" t="str">
        <f>Lcode_mapping!T250</f>
        <v>Phase delay sigma.</v>
      </c>
      <c r="T250" t="str">
        <f>Lcode_mapping!U250</f>
        <v>-</v>
      </c>
      <c r="U250" t="str">
        <f>Lcode_mapping!V250</f>
        <v>second</v>
      </c>
      <c r="V250" t="str">
        <f>Lcode_mapping!W250</f>
        <v>-</v>
      </c>
    </row>
    <row r="251" spans="1:22" ht="15" customHeight="1" x14ac:dyDescent="0.25">
      <c r="A251">
        <f>Lcode_mapping!A251</f>
        <v>367</v>
      </c>
      <c r="B251">
        <f>Lcode_mapping!B251</f>
        <v>2</v>
      </c>
      <c r="C251" t="str">
        <f>Lcode_mapping!D251</f>
        <v>QCODE XS</v>
      </c>
      <c r="D251">
        <f>Lcode_mapping!E251</f>
        <v>1</v>
      </c>
      <c r="E251">
        <f>Lcode_mapping!F251</f>
        <v>1</v>
      </c>
      <c r="F251">
        <f>Lcode_mapping!G251</f>
        <v>1</v>
      </c>
      <c r="G251" t="str">
        <f>Lcode_mapping!H251</f>
        <v>A</v>
      </c>
      <c r="H251">
        <f>Lcode_mapping!I251</f>
        <v>4</v>
      </c>
      <c r="I251" t="str">
        <f>Lcode_mapping!J251</f>
        <v>Quality code  opposite band</v>
      </c>
      <c r="J251" t="str">
        <f>Lcode_mapping!K251</f>
        <v>Obs</v>
      </c>
      <c r="K251" t="str">
        <f>Lcode_mapping!L251</f>
        <v>-</v>
      </c>
      <c r="L251" t="str">
        <f>Lcode_mapping!M251</f>
        <v>K</v>
      </c>
      <c r="M251" t="str">
        <f>Lcode_mapping!N251</f>
        <v>Solve</v>
      </c>
      <c r="N251" t="str">
        <f>Lcode_mapping!O251</f>
        <v>Observables</v>
      </c>
      <c r="O251" t="str">
        <f>Lcode_mapping!P251</f>
        <v>QualityCode_bS</v>
      </c>
      <c r="P251" t="str">
        <f>Lcode_mapping!Q251</f>
        <v>-</v>
      </c>
      <c r="Q251" t="str">
        <f>Lcode_mapping!R251</f>
        <v>QualityCode</v>
      </c>
      <c r="R251" t="str">
        <f>Lcode_mapping!S251</f>
        <v>-</v>
      </c>
      <c r="S251" t="str">
        <f>Lcode_mapping!T251</f>
        <v>FRNGE quality  index 0 --&gt; 9</v>
      </c>
      <c r="T251" t="str">
        <f>Lcode_mapping!U251</f>
        <v>-</v>
      </c>
      <c r="U251" t="str">
        <f>Lcode_mapping!V251</f>
        <v>-</v>
      </c>
      <c r="V251" t="str">
        <f>Lcode_mapping!W251</f>
        <v>-</v>
      </c>
    </row>
    <row r="252" spans="1:22" ht="15" customHeight="1" x14ac:dyDescent="0.25">
      <c r="A252">
        <f>Lcode_mapping!A252</f>
        <v>370</v>
      </c>
      <c r="B252">
        <f>Lcode_mapping!B252</f>
        <v>2</v>
      </c>
      <c r="C252" t="str">
        <f>Lcode_mapping!D252</f>
        <v>QUALCODE</v>
      </c>
      <c r="D252">
        <f>Lcode_mapping!E252</f>
        <v>1</v>
      </c>
      <c r="E252">
        <f>Lcode_mapping!F252</f>
        <v>1</v>
      </c>
      <c r="F252">
        <f>Lcode_mapping!G252</f>
        <v>1</v>
      </c>
      <c r="G252" t="str">
        <f>Lcode_mapping!H252</f>
        <v>A</v>
      </c>
      <c r="H252">
        <f>Lcode_mapping!I252</f>
        <v>1</v>
      </c>
      <c r="I252" t="str">
        <f>Lcode_mapping!J252</f>
        <v>FRNGE quality  index 0 --&gt; 9.</v>
      </c>
      <c r="J252" t="str">
        <f>Lcode_mapping!K252</f>
        <v>Obs</v>
      </c>
      <c r="K252" t="str">
        <f>Lcode_mapping!L252</f>
        <v>-</v>
      </c>
      <c r="L252" t="str">
        <f>Lcode_mapping!M252</f>
        <v>K</v>
      </c>
      <c r="M252" t="str">
        <f>Lcode_mapping!N252</f>
        <v>Solve</v>
      </c>
      <c r="N252" t="str">
        <f>Lcode_mapping!O252</f>
        <v>Observables</v>
      </c>
      <c r="O252" t="str">
        <f>Lcode_mapping!P252</f>
        <v>QualityCode_bX</v>
      </c>
      <c r="P252" t="str">
        <f>Lcode_mapping!Q252</f>
        <v>-</v>
      </c>
      <c r="Q252" t="str">
        <f>Lcode_mapping!R252</f>
        <v>QualityCode</v>
      </c>
      <c r="R252" t="str">
        <f>Lcode_mapping!S252</f>
        <v>-</v>
      </c>
      <c r="S252" t="str">
        <f>Lcode_mapping!T252</f>
        <v>FRNGE quality  index 0 --&gt; 9</v>
      </c>
      <c r="T252" t="str">
        <f>Lcode_mapping!U252</f>
        <v>-</v>
      </c>
      <c r="U252" t="str">
        <f>Lcode_mapping!V252</f>
        <v>-</v>
      </c>
      <c r="V252" t="str">
        <f>Lcode_mapping!W252</f>
        <v>-</v>
      </c>
    </row>
    <row r="253" spans="1:22" ht="15" customHeight="1" x14ac:dyDescent="0.25">
      <c r="A253">
        <f>Lcode_mapping!A253</f>
        <v>340</v>
      </c>
      <c r="B253">
        <f>Lcode_mapping!B253</f>
        <v>2</v>
      </c>
      <c r="C253" t="str">
        <f>Lcode_mapping!D253</f>
        <v>REF FR_S</v>
      </c>
      <c r="D253">
        <f>Lcode_mapping!E253</f>
        <v>1</v>
      </c>
      <c r="E253">
        <f>Lcode_mapping!F253</f>
        <v>1</v>
      </c>
      <c r="F253">
        <f>Lcode_mapping!G253</f>
        <v>1</v>
      </c>
      <c r="G253" t="str">
        <f>Lcode_mapping!H253</f>
        <v>R</v>
      </c>
      <c r="H253">
        <f>Lcode_mapping!I253</f>
        <v>4</v>
      </c>
      <c r="I253" t="str">
        <f>Lcode_mapping!J253</f>
        <v>Fr to w.phase is referred S-band</v>
      </c>
      <c r="J253" t="str">
        <f>Lcode_mapping!K253</f>
        <v>Obs</v>
      </c>
      <c r="K253" t="str">
        <f>Lcode_mapping!L253</f>
        <v>-</v>
      </c>
      <c r="L253" t="str">
        <f>Lcode_mapping!M253</f>
        <v>K</v>
      </c>
      <c r="M253" t="str">
        <f>Lcode_mapping!N253</f>
        <v>Solve</v>
      </c>
      <c r="N253" t="str">
        <f>Lcode_mapping!O253</f>
        <v>Observables</v>
      </c>
      <c r="O253" t="str">
        <f>Lcode_mapping!P253</f>
        <v>RefFreq_bS</v>
      </c>
      <c r="P253" t="str">
        <f>Lcode_mapping!Q253</f>
        <v>-</v>
      </c>
      <c r="Q253" t="str">
        <f>Lcode_mapping!R253</f>
        <v>RefFreq</v>
      </c>
      <c r="R253" t="str">
        <f>Lcode_mapping!S253</f>
        <v>-</v>
      </c>
      <c r="S253" t="str">
        <f>Lcode_mapping!T253</f>
        <v>Frequency to which phase is referenced</v>
      </c>
      <c r="T253" t="str">
        <f>Lcode_mapping!U253</f>
        <v>-</v>
      </c>
      <c r="U253" t="str">
        <f>Lcode_mapping!V253</f>
        <v>MHz</v>
      </c>
      <c r="V253" t="str">
        <f>Lcode_mapping!W253</f>
        <v>-</v>
      </c>
    </row>
    <row r="254" spans="1:22" ht="15" customHeight="1" x14ac:dyDescent="0.25">
      <c r="A254">
        <f>Lcode_mapping!A254</f>
        <v>344</v>
      </c>
      <c r="B254">
        <f>Lcode_mapping!B254</f>
        <v>2</v>
      </c>
      <c r="C254" t="str">
        <f>Lcode_mapping!D254</f>
        <v>REF FREQ</v>
      </c>
      <c r="D254">
        <f>Lcode_mapping!E254</f>
        <v>1</v>
      </c>
      <c r="E254">
        <f>Lcode_mapping!F254</f>
        <v>1</v>
      </c>
      <c r="F254">
        <f>Lcode_mapping!G254</f>
        <v>1</v>
      </c>
      <c r="G254" t="str">
        <f>Lcode_mapping!H254</f>
        <v>R</v>
      </c>
      <c r="H254">
        <f>Lcode_mapping!I254</f>
        <v>1</v>
      </c>
      <c r="I254" t="str">
        <f>Lcode_mapping!J254</f>
        <v>Freq to which phase is referred.</v>
      </c>
      <c r="J254" t="str">
        <f>Lcode_mapping!K254</f>
        <v>Obs</v>
      </c>
      <c r="K254" t="str">
        <f>Lcode_mapping!L254</f>
        <v>-</v>
      </c>
      <c r="L254" t="str">
        <f>Lcode_mapping!M254</f>
        <v>K</v>
      </c>
      <c r="M254" t="str">
        <f>Lcode_mapping!N254</f>
        <v>Solve</v>
      </c>
      <c r="N254" t="str">
        <f>Lcode_mapping!O254</f>
        <v>Observables</v>
      </c>
      <c r="O254" t="str">
        <f>Lcode_mapping!P254</f>
        <v>RefFreq_bX</v>
      </c>
      <c r="P254" t="str">
        <f>Lcode_mapping!Q254</f>
        <v>-</v>
      </c>
      <c r="Q254" t="str">
        <f>Lcode_mapping!R254</f>
        <v>RefFreq</v>
      </c>
      <c r="R254" t="str">
        <f>Lcode_mapping!S254</f>
        <v>-</v>
      </c>
      <c r="S254" t="str">
        <f>Lcode_mapping!T254</f>
        <v>Frequency to which phase is referenced</v>
      </c>
      <c r="T254" t="str">
        <f>Lcode_mapping!U254</f>
        <v>-</v>
      </c>
      <c r="U254" t="str">
        <f>Lcode_mapping!V254</f>
        <v>MHz</v>
      </c>
      <c r="V254" t="str">
        <f>Lcode_mapping!W254</f>
        <v>-</v>
      </c>
    </row>
    <row r="255" spans="1:22" ht="15" customHeight="1" x14ac:dyDescent="0.25">
      <c r="A255">
        <f>Lcode_mapping!A255</f>
        <v>372</v>
      </c>
      <c r="B255">
        <f>Lcode_mapping!B255</f>
        <v>2</v>
      </c>
      <c r="C255" t="str">
        <f>Lcode_mapping!D255</f>
        <v>SB DEL_S</v>
      </c>
      <c r="D255">
        <f>Lcode_mapping!E255</f>
        <v>1</v>
      </c>
      <c r="E255">
        <f>Lcode_mapping!F255</f>
        <v>1</v>
      </c>
      <c r="F255">
        <f>Lcode_mapping!G255</f>
        <v>1</v>
      </c>
      <c r="G255" t="str">
        <f>Lcode_mapping!H255</f>
        <v>R</v>
      </c>
      <c r="H255">
        <f>Lcode_mapping!I255</f>
        <v>4</v>
      </c>
      <c r="I255" t="str">
        <f>Lcode_mapping!J255</f>
        <v>Single band delay for S-band</v>
      </c>
      <c r="J255" t="str">
        <f>Lcode_mapping!K255</f>
        <v>Obs</v>
      </c>
      <c r="K255" t="str">
        <f>Lcode_mapping!L255</f>
        <v>-</v>
      </c>
      <c r="L255" t="str">
        <f>Lcode_mapping!M255</f>
        <v>K</v>
      </c>
      <c r="M255" t="str">
        <f>Lcode_mapping!N255</f>
        <v>Solve</v>
      </c>
      <c r="N255" t="str">
        <f>Lcode_mapping!O255</f>
        <v>Observables</v>
      </c>
      <c r="O255" t="str">
        <f>Lcode_mapping!P255</f>
        <v>SBDelay_bS</v>
      </c>
      <c r="P255" t="str">
        <f>Lcode_mapping!Q255</f>
        <v>-</v>
      </c>
      <c r="Q255" t="str">
        <f>Lcode_mapping!R255</f>
        <v>SBDelay</v>
      </c>
      <c r="R255" t="str">
        <f>Lcode_mapping!S255</f>
        <v>-</v>
      </c>
      <c r="S255" t="str">
        <f>Lcode_mapping!T255</f>
        <v>Single band delay</v>
      </c>
      <c r="T255" t="str">
        <f>Lcode_mapping!U255</f>
        <v>-</v>
      </c>
      <c r="U255" t="str">
        <f>Lcode_mapping!V255</f>
        <v>microsecond</v>
      </c>
      <c r="V255" t="str">
        <f>Lcode_mapping!W255</f>
        <v>-</v>
      </c>
    </row>
    <row r="256" spans="1:22" ht="15" customHeight="1" x14ac:dyDescent="0.25">
      <c r="A256">
        <f>Lcode_mapping!A256</f>
        <v>373</v>
      </c>
      <c r="B256">
        <f>Lcode_mapping!B256</f>
        <v>2</v>
      </c>
      <c r="C256" t="str">
        <f>Lcode_mapping!D256</f>
        <v>SB SIG_S</v>
      </c>
      <c r="D256">
        <f>Lcode_mapping!E256</f>
        <v>1</v>
      </c>
      <c r="E256">
        <f>Lcode_mapping!F256</f>
        <v>1</v>
      </c>
      <c r="F256">
        <f>Lcode_mapping!G256</f>
        <v>1</v>
      </c>
      <c r="G256" t="str">
        <f>Lcode_mapping!H256</f>
        <v>R</v>
      </c>
      <c r="H256">
        <f>Lcode_mapping!I256</f>
        <v>4</v>
      </c>
      <c r="I256" t="str">
        <f>Lcode_mapping!J256</f>
        <v>SB delay error S-band  mks</v>
      </c>
      <c r="J256" t="str">
        <f>Lcode_mapping!K256</f>
        <v>Obs</v>
      </c>
      <c r="K256" t="str">
        <f>Lcode_mapping!L256</f>
        <v>-</v>
      </c>
      <c r="L256" t="str">
        <f>Lcode_mapping!M256</f>
        <v>K</v>
      </c>
      <c r="M256" t="str">
        <f>Lcode_mapping!N256</f>
        <v>Solve</v>
      </c>
      <c r="N256" t="str">
        <f>Lcode_mapping!O256</f>
        <v>Observables</v>
      </c>
      <c r="O256" t="str">
        <f>Lcode_mapping!P256</f>
        <v>SBDelay_bS</v>
      </c>
      <c r="P256" t="str">
        <f>Lcode_mapping!Q256</f>
        <v>-</v>
      </c>
      <c r="Q256" t="str">
        <f>Lcode_mapping!R256</f>
        <v>SBDelaySig</v>
      </c>
      <c r="R256" t="str">
        <f>Lcode_mapping!S256</f>
        <v>-</v>
      </c>
      <c r="S256" t="str">
        <f>Lcode_mapping!T256</f>
        <v>Single band delay error</v>
      </c>
      <c r="T256" t="str">
        <f>Lcode_mapping!U256</f>
        <v>-</v>
      </c>
      <c r="U256" t="str">
        <f>Lcode_mapping!V256</f>
        <v>second</v>
      </c>
      <c r="V256" t="str">
        <f>Lcode_mapping!W256</f>
        <v>-</v>
      </c>
    </row>
    <row r="257" spans="1:22" ht="15" customHeight="1" x14ac:dyDescent="0.25">
      <c r="A257">
        <f>Lcode_mapping!A257</f>
        <v>374</v>
      </c>
      <c r="B257">
        <f>Lcode_mapping!B257</f>
        <v>2</v>
      </c>
      <c r="C257" t="str">
        <f>Lcode_mapping!D257</f>
        <v>SB DELAY</v>
      </c>
      <c r="D257">
        <f>Lcode_mapping!E257</f>
        <v>1</v>
      </c>
      <c r="E257">
        <f>Lcode_mapping!F257</f>
        <v>1</v>
      </c>
      <c r="F257">
        <f>Lcode_mapping!G257</f>
        <v>1</v>
      </c>
      <c r="G257" t="str">
        <f>Lcode_mapping!H257</f>
        <v>R</v>
      </c>
      <c r="H257">
        <f>Lcode_mapping!I257</f>
        <v>1</v>
      </c>
      <c r="I257" t="str">
        <f>Lcode_mapping!J257</f>
        <v>Single band delay (microsec).</v>
      </c>
      <c r="J257" t="str">
        <f>Lcode_mapping!K257</f>
        <v>Obs</v>
      </c>
      <c r="K257" t="str">
        <f>Lcode_mapping!L257</f>
        <v>-</v>
      </c>
      <c r="L257" t="str">
        <f>Lcode_mapping!M257</f>
        <v>K</v>
      </c>
      <c r="M257" t="str">
        <f>Lcode_mapping!N257</f>
        <v>Solve</v>
      </c>
      <c r="N257" t="str">
        <f>Lcode_mapping!O257</f>
        <v>Observables</v>
      </c>
      <c r="O257" t="str">
        <f>Lcode_mapping!P257</f>
        <v>SBDelay_bX</v>
      </c>
      <c r="P257" t="str">
        <f>Lcode_mapping!Q257</f>
        <v>-</v>
      </c>
      <c r="Q257" t="str">
        <f>Lcode_mapping!R257</f>
        <v>SBDelay</v>
      </c>
      <c r="R257" t="str">
        <f>Lcode_mapping!S257</f>
        <v>-</v>
      </c>
      <c r="S257" t="str">
        <f>Lcode_mapping!T257</f>
        <v>Single band delay</v>
      </c>
      <c r="T257" t="str">
        <f>Lcode_mapping!U257</f>
        <v>-</v>
      </c>
      <c r="U257" t="str">
        <f>Lcode_mapping!V257</f>
        <v>microsecond</v>
      </c>
      <c r="V257" t="str">
        <f>Lcode_mapping!W257</f>
        <v>-</v>
      </c>
    </row>
    <row r="258" spans="1:22" ht="15" customHeight="1" x14ac:dyDescent="0.25">
      <c r="A258">
        <f>Lcode_mapping!A258</f>
        <v>375</v>
      </c>
      <c r="B258">
        <f>Lcode_mapping!B258</f>
        <v>2</v>
      </c>
      <c r="C258" t="str">
        <f>Lcode_mapping!D258</f>
        <v>SB SIGMA</v>
      </c>
      <c r="D258">
        <f>Lcode_mapping!E258</f>
        <v>1</v>
      </c>
      <c r="E258">
        <f>Lcode_mapping!F258</f>
        <v>1</v>
      </c>
      <c r="F258">
        <f>Lcode_mapping!G258</f>
        <v>1</v>
      </c>
      <c r="G258" t="str">
        <f>Lcode_mapping!H258</f>
        <v>R</v>
      </c>
      <c r="H258">
        <f>Lcode_mapping!I258</f>
        <v>1</v>
      </c>
      <c r="I258" t="str">
        <f>Lcode_mapping!J258</f>
        <v>SB delay error microseconds.</v>
      </c>
      <c r="J258" t="str">
        <f>Lcode_mapping!K258</f>
        <v>Obs</v>
      </c>
      <c r="K258" t="str">
        <f>Lcode_mapping!L258</f>
        <v>-</v>
      </c>
      <c r="L258" t="str">
        <f>Lcode_mapping!M258</f>
        <v>K</v>
      </c>
      <c r="M258" t="str">
        <f>Lcode_mapping!N258</f>
        <v>Solve</v>
      </c>
      <c r="N258" t="str">
        <f>Lcode_mapping!O258</f>
        <v>Observables</v>
      </c>
      <c r="O258" t="str">
        <f>Lcode_mapping!P258</f>
        <v>SBDelay_bX</v>
      </c>
      <c r="P258" t="str">
        <f>Lcode_mapping!Q258</f>
        <v>-</v>
      </c>
      <c r="Q258" t="str">
        <f>Lcode_mapping!R258</f>
        <v>SBDelaySig</v>
      </c>
      <c r="R258" t="str">
        <f>Lcode_mapping!S258</f>
        <v>-</v>
      </c>
      <c r="S258" t="str">
        <f>Lcode_mapping!T258</f>
        <v>Single band delay error</v>
      </c>
      <c r="T258" t="str">
        <f>Lcode_mapping!U258</f>
        <v>-</v>
      </c>
      <c r="U258" t="str">
        <f>Lcode_mapping!V258</f>
        <v>microsecond</v>
      </c>
      <c r="V258" t="str">
        <f>Lcode_mapping!W258</f>
        <v>-</v>
      </c>
    </row>
    <row r="259" spans="1:22" ht="15" customHeight="1" x14ac:dyDescent="0.25">
      <c r="A259">
        <f>Lcode_mapping!A259</f>
        <v>368</v>
      </c>
      <c r="B259">
        <f>Lcode_mapping!B259</f>
        <v>2</v>
      </c>
      <c r="C259" t="str">
        <f>Lcode_mapping!D259</f>
        <v>SNR_S</v>
      </c>
      <c r="D259">
        <f>Lcode_mapping!E259</f>
        <v>1</v>
      </c>
      <c r="E259">
        <f>Lcode_mapping!F259</f>
        <v>1</v>
      </c>
      <c r="F259">
        <f>Lcode_mapping!G259</f>
        <v>1</v>
      </c>
      <c r="G259" t="str">
        <f>Lcode_mapping!H259</f>
        <v>R</v>
      </c>
      <c r="H259">
        <f>Lcode_mapping!I259</f>
        <v>4</v>
      </c>
      <c r="I259" t="str">
        <f>Lcode_mapping!J259</f>
        <v>Signal to noise ratio for S-band</v>
      </c>
      <c r="J259" t="str">
        <f>Lcode_mapping!K259</f>
        <v>Obs</v>
      </c>
      <c r="K259" t="str">
        <f>Lcode_mapping!L259</f>
        <v>-</v>
      </c>
      <c r="L259" t="str">
        <f>Lcode_mapping!M259</f>
        <v>K</v>
      </c>
      <c r="M259" t="str">
        <f>Lcode_mapping!N259</f>
        <v>Solve</v>
      </c>
      <c r="N259" t="str">
        <f>Lcode_mapping!O259</f>
        <v>Observables</v>
      </c>
      <c r="O259" t="str">
        <f>Lcode_mapping!P259</f>
        <v>SNR_bS</v>
      </c>
      <c r="P259" t="str">
        <f>Lcode_mapping!Q259</f>
        <v>-</v>
      </c>
      <c r="Q259" t="str">
        <f>Lcode_mapping!R259</f>
        <v>SNR</v>
      </c>
      <c r="R259" t="str">
        <f>Lcode_mapping!S259</f>
        <v>-</v>
      </c>
      <c r="S259" t="str">
        <f>Lcode_mapping!T259</f>
        <v>-</v>
      </c>
      <c r="T259" t="str">
        <f>Lcode_mapping!U259</f>
        <v>-</v>
      </c>
      <c r="U259" t="str">
        <f>Lcode_mapping!V259</f>
        <v>-</v>
      </c>
      <c r="V259" t="str">
        <f>Lcode_mapping!W259</f>
        <v>-</v>
      </c>
    </row>
    <row r="260" spans="1:22" ht="15" customHeight="1" x14ac:dyDescent="0.25">
      <c r="A260">
        <f>Lcode_mapping!A260</f>
        <v>371</v>
      </c>
      <c r="B260">
        <f>Lcode_mapping!B260</f>
        <v>2</v>
      </c>
      <c r="C260" t="str">
        <f>Lcode_mapping!D260</f>
        <v>SNRATIO</v>
      </c>
      <c r="D260">
        <f>Lcode_mapping!E260</f>
        <v>1</v>
      </c>
      <c r="E260">
        <f>Lcode_mapping!F260</f>
        <v>1</v>
      </c>
      <c r="F260">
        <f>Lcode_mapping!G260</f>
        <v>1</v>
      </c>
      <c r="G260" t="str">
        <f>Lcode_mapping!H260</f>
        <v>R</v>
      </c>
      <c r="H260">
        <f>Lcode_mapping!I260</f>
        <v>1</v>
      </c>
      <c r="I260" t="str">
        <f>Lcode_mapping!J260</f>
        <v>Signal to noise  ratio.</v>
      </c>
      <c r="J260" t="str">
        <f>Lcode_mapping!K260</f>
        <v>Obs</v>
      </c>
      <c r="K260" t="str">
        <f>Lcode_mapping!L260</f>
        <v>-</v>
      </c>
      <c r="L260" t="str">
        <f>Lcode_mapping!M260</f>
        <v>K</v>
      </c>
      <c r="M260" t="str">
        <f>Lcode_mapping!N260</f>
        <v>Solve</v>
      </c>
      <c r="N260" t="str">
        <f>Lcode_mapping!O260</f>
        <v>Observables</v>
      </c>
      <c r="O260" t="str">
        <f>Lcode_mapping!P260</f>
        <v>SNR_bX</v>
      </c>
      <c r="P260" t="str">
        <f>Lcode_mapping!Q260</f>
        <v>-</v>
      </c>
      <c r="Q260" t="str">
        <f>Lcode_mapping!R260</f>
        <v>SNR</v>
      </c>
      <c r="R260" t="str">
        <f>Lcode_mapping!S260</f>
        <v>-</v>
      </c>
      <c r="S260" t="str">
        <f>Lcode_mapping!T260</f>
        <v>-</v>
      </c>
      <c r="T260" t="str">
        <f>Lcode_mapping!U260</f>
        <v>-</v>
      </c>
      <c r="U260" t="str">
        <f>Lcode_mapping!V260</f>
        <v>-</v>
      </c>
      <c r="V260" t="str">
        <f>Lcode_mapping!W260</f>
        <v>-</v>
      </c>
    </row>
    <row r="261" spans="1:22" ht="15" customHeight="1" x14ac:dyDescent="0.25">
      <c r="A261">
        <f>Lcode_mapping!A261</f>
        <v>376</v>
      </c>
      <c r="B261">
        <f>Lcode_mapping!B261</f>
        <v>2</v>
      </c>
      <c r="C261" t="str">
        <f>Lcode_mapping!D261</f>
        <v>STAR ID</v>
      </c>
      <c r="D261">
        <f>Lcode_mapping!E261</f>
        <v>4</v>
      </c>
      <c r="E261">
        <f>Lcode_mapping!F261</f>
        <v>1</v>
      </c>
      <c r="F261">
        <f>Lcode_mapping!G261</f>
        <v>1</v>
      </c>
      <c r="G261" t="str">
        <f>Lcode_mapping!H261</f>
        <v>A</v>
      </c>
      <c r="H261">
        <f>Lcode_mapping!I261</f>
        <v>1</v>
      </c>
      <c r="I261" t="str">
        <f>Lcode_mapping!J261</f>
        <v>Radio source name.</v>
      </c>
      <c r="J261" t="str">
        <f>Lcode_mapping!K261</f>
        <v>Obs</v>
      </c>
      <c r="K261" t="str">
        <f>Lcode_mapping!L261</f>
        <v>-</v>
      </c>
      <c r="L261" t="str">
        <f>Lcode_mapping!M261</f>
        <v>K</v>
      </c>
      <c r="M261" t="str">
        <f>Lcode_mapping!N261</f>
        <v>NGS</v>
      </c>
      <c r="N261" t="str">
        <f>Lcode_mapping!O261</f>
        <v>Observables</v>
      </c>
      <c r="O261" t="str">
        <f>Lcode_mapping!P261</f>
        <v>Source</v>
      </c>
      <c r="P261" t="str">
        <f>Lcode_mapping!Q261</f>
        <v>-</v>
      </c>
      <c r="Q261" t="str">
        <f>Lcode_mapping!R261</f>
        <v>Source</v>
      </c>
      <c r="R261" t="str">
        <f>Lcode_mapping!S261</f>
        <v>-</v>
      </c>
      <c r="S261" t="str">
        <f>Lcode_mapping!T261</f>
        <v>-</v>
      </c>
      <c r="T261" t="str">
        <f>Lcode_mapping!U261</f>
        <v>-</v>
      </c>
      <c r="U261" t="str">
        <f>Lcode_mapping!V261</f>
        <v>-</v>
      </c>
      <c r="V261" t="str">
        <f>Lcode_mapping!W261</f>
        <v>-</v>
      </c>
    </row>
    <row r="262" spans="1:22" ht="15" customHeight="1" x14ac:dyDescent="0.25">
      <c r="A262">
        <f>Lcode_mapping!A262</f>
        <v>377</v>
      </c>
      <c r="B262">
        <f>Lcode_mapping!B262</f>
        <v>2</v>
      </c>
      <c r="C262" t="str">
        <f>Lcode_mapping!D262</f>
        <v>SEC TAG</v>
      </c>
      <c r="D262">
        <f>Lcode_mapping!E262</f>
        <v>1</v>
      </c>
      <c r="E262">
        <f>Lcode_mapping!F262</f>
        <v>1</v>
      </c>
      <c r="F262">
        <f>Lcode_mapping!G262</f>
        <v>1</v>
      </c>
      <c r="G262" t="str">
        <f>Lcode_mapping!H262</f>
        <v>R</v>
      </c>
      <c r="H262">
        <f>Lcode_mapping!I262</f>
        <v>1</v>
      </c>
      <c r="I262" t="str">
        <f>Lcode_mapping!J262</f>
        <v>Seconds part of UTC TAG.</v>
      </c>
      <c r="J262" t="str">
        <f>Lcode_mapping!K262</f>
        <v>Obs</v>
      </c>
      <c r="K262" t="str">
        <f>Lcode_mapping!L262</f>
        <v>-</v>
      </c>
      <c r="L262" t="str">
        <f>Lcode_mapping!M262</f>
        <v>K</v>
      </c>
      <c r="M262" t="str">
        <f>Lcode_mapping!N262</f>
        <v>NGS</v>
      </c>
      <c r="N262" t="str">
        <f>Lcode_mapping!O262</f>
        <v>Observables</v>
      </c>
      <c r="O262" t="str">
        <f>Lcode_mapping!P262</f>
        <v>TimeUTC</v>
      </c>
      <c r="P262" t="str">
        <f>Lcode_mapping!Q262</f>
        <v>-</v>
      </c>
      <c r="Q262" t="str">
        <f>Lcode_mapping!R262</f>
        <v>Second</v>
      </c>
      <c r="R262" t="str">
        <f>Lcode_mapping!S262</f>
        <v>-</v>
      </c>
      <c r="S262" t="str">
        <f>Lcode_mapping!T262</f>
        <v>-</v>
      </c>
      <c r="T262" t="str">
        <f>Lcode_mapping!U262</f>
        <v>-</v>
      </c>
      <c r="U262" t="str">
        <f>Lcode_mapping!V262</f>
        <v>second</v>
      </c>
      <c r="V262" t="str">
        <f>Lcode_mapping!W262</f>
        <v>-</v>
      </c>
    </row>
    <row r="263" spans="1:22" ht="15" customHeight="1" x14ac:dyDescent="0.25">
      <c r="A263">
        <f>Lcode_mapping!A263</f>
        <v>378</v>
      </c>
      <c r="B263">
        <f>Lcode_mapping!B263</f>
        <v>2</v>
      </c>
      <c r="C263" t="str">
        <f>Lcode_mapping!D263</f>
        <v>UTC TAG</v>
      </c>
      <c r="D263">
        <f>Lcode_mapping!E263</f>
        <v>5</v>
      </c>
      <c r="E263">
        <f>Lcode_mapping!F263</f>
        <v>1</v>
      </c>
      <c r="F263">
        <f>Lcode_mapping!G263</f>
        <v>1</v>
      </c>
      <c r="G263" t="str">
        <f>Lcode_mapping!H263</f>
        <v>I</v>
      </c>
      <c r="H263">
        <f>Lcode_mapping!I263</f>
        <v>1</v>
      </c>
      <c r="I263" t="str">
        <f>Lcode_mapping!J263</f>
        <v>Epoch UTC YMDHM.</v>
      </c>
      <c r="J263" t="str">
        <f>Lcode_mapping!K263</f>
        <v>Obs</v>
      </c>
      <c r="K263" t="str">
        <f>Lcode_mapping!L263</f>
        <v>-</v>
      </c>
      <c r="L263" t="str">
        <f>Lcode_mapping!M263</f>
        <v>S</v>
      </c>
      <c r="M263" t="str">
        <f>Lcode_mapping!N263</f>
        <v>NGS</v>
      </c>
      <c r="N263" t="str">
        <f>Lcode_mapping!O263</f>
        <v>Observables</v>
      </c>
      <c r="O263" t="str">
        <f>Lcode_mapping!P263</f>
        <v>TimeUTC</v>
      </c>
      <c r="P263" t="str">
        <f>Lcode_mapping!Q263</f>
        <v>-</v>
      </c>
      <c r="Q263" t="str">
        <f>Lcode_mapping!R263</f>
        <v>YMDHM</v>
      </c>
      <c r="R263" t="str">
        <f>Lcode_mapping!S263</f>
        <v>-</v>
      </c>
      <c r="S263" t="str">
        <f>Lcode_mapping!T263</f>
        <v>-</v>
      </c>
      <c r="T263" t="str">
        <f>Lcode_mapping!U263</f>
        <v>-</v>
      </c>
      <c r="U263" t="str">
        <f>Lcode_mapping!V263</f>
        <v>-</v>
      </c>
      <c r="V263" t="str">
        <f>Lcode_mapping!W263</f>
        <v>-</v>
      </c>
    </row>
    <row r="264" spans="1:22" ht="15" customHeight="1" x14ac:dyDescent="0.25">
      <c r="A264">
        <f>Lcode_mapping!A264</f>
        <v>379</v>
      </c>
      <c r="B264" t="str">
        <f>Lcode_mapping!B264</f>
        <v xml:space="preserve">N </v>
      </c>
      <c r="C264" t="str">
        <f>Lcode_mapping!D264</f>
        <v>TSYS TMP</v>
      </c>
      <c r="D264">
        <f>Lcode_mapping!E264</f>
        <v>16</v>
      </c>
      <c r="E264">
        <f>Lcode_mapping!F264</f>
        <v>2</v>
      </c>
      <c r="F264">
        <f>Lcode_mapping!G264</f>
        <v>1</v>
      </c>
      <c r="G264" t="str">
        <f>Lcode_mapping!H264</f>
        <v>R</v>
      </c>
      <c r="H264" t="str">
        <f>Lcode_mapping!I264</f>
        <v>N</v>
      </c>
      <c r="I264" t="str">
        <f>Lcode_mapping!J264</f>
        <v>TSYS TMP (K) 14CH AND IF1 IF2</v>
      </c>
      <c r="J264" t="str">
        <f>Lcode_mapping!K264</f>
        <v>Obs</v>
      </c>
      <c r="K264" t="str">
        <f>Lcode_mapping!L264</f>
        <v>-</v>
      </c>
      <c r="L264" t="str">
        <f>Lcode_mapping!M264</f>
        <v>K</v>
      </c>
      <c r="M264" t="str">
        <f>Lcode_mapping!N264</f>
        <v>-</v>
      </c>
      <c r="N264" t="str">
        <f>Lcode_mapping!O264</f>
        <v>Observables</v>
      </c>
      <c r="O264" t="str">
        <f>Lcode_mapping!P264</f>
        <v>Tsys</v>
      </c>
      <c r="P264" t="str">
        <f>Lcode_mapping!Q264</f>
        <v>-</v>
      </c>
      <c r="Q264" t="str">
        <f>Lcode_mapping!R264</f>
        <v>Tsys</v>
      </c>
      <c r="R264" t="str">
        <f>Lcode_mapping!S264</f>
        <v>-</v>
      </c>
      <c r="S264" t="str">
        <f>Lcode_mapping!T264</f>
        <v>-</v>
      </c>
      <c r="T264" t="str">
        <f>Lcode_mapping!U264</f>
        <v>-</v>
      </c>
      <c r="U264" t="str">
        <f>Lcode_mapping!V264</f>
        <v>-</v>
      </c>
      <c r="V264" t="str">
        <f>Lcode_mapping!W264</f>
        <v>-</v>
      </c>
    </row>
    <row r="265" spans="1:22" ht="15" customHeight="1" x14ac:dyDescent="0.25">
      <c r="A265">
        <f>Lcode_mapping!A265</f>
        <v>475</v>
      </c>
      <c r="B265">
        <f>Lcode_mapping!B265</f>
        <v>2</v>
      </c>
      <c r="C265" t="str">
        <f>Lcode_mapping!D265</f>
        <v>BENDPART</v>
      </c>
      <c r="D265">
        <f>Lcode_mapping!E265</f>
        <v>2</v>
      </c>
      <c r="E265">
        <f>Lcode_mapping!F265</f>
        <v>1</v>
      </c>
      <c r="F265">
        <f>Lcode_mapping!G265</f>
        <v>1</v>
      </c>
      <c r="G265" t="str">
        <f>Lcode_mapping!H265</f>
        <v>R</v>
      </c>
      <c r="H265">
        <f>Lcode_mapping!I265</f>
        <v>5</v>
      </c>
      <c r="I265" t="str">
        <f>Lcode_mapping!J265</f>
        <v>Grav. bend. partial w.r.t. Gamma</v>
      </c>
      <c r="J265" t="str">
        <f>Lcode_mapping!K265</f>
        <v>Obs</v>
      </c>
      <c r="K265" t="str">
        <f>Lcode_mapping!L265</f>
        <v>-</v>
      </c>
      <c r="L265" t="str">
        <f>Lcode_mapping!M265</f>
        <v>K</v>
      </c>
      <c r="M265" t="str">
        <f>Lcode_mapping!N265</f>
        <v>-</v>
      </c>
      <c r="N265" t="str">
        <f>Lcode_mapping!O265</f>
        <v>ObsPart</v>
      </c>
      <c r="O265" t="str">
        <f>Lcode_mapping!P265</f>
        <v>Part-Bend</v>
      </c>
      <c r="P265" t="str">
        <f>Lcode_mapping!Q265</f>
        <v>Y</v>
      </c>
      <c r="Q265" t="str">
        <f>Lcode_mapping!R265</f>
        <v>Part-Bend</v>
      </c>
      <c r="R265" t="str">
        <f>Lcode_mapping!S265</f>
        <v>-</v>
      </c>
      <c r="S265" t="str">
        <f>Lcode_mapping!T265</f>
        <v>-</v>
      </c>
      <c r="T265">
        <f>Lcode_mapping!U265</f>
        <v>2</v>
      </c>
      <c r="U265" t="str">
        <f>Lcode_mapping!V265</f>
        <v>second</v>
      </c>
      <c r="V265" t="str">
        <f>Lcode_mapping!W265</f>
        <v>-</v>
      </c>
    </row>
    <row r="266" spans="1:22" ht="15" customHeight="1" x14ac:dyDescent="0.25">
      <c r="A266">
        <f>Lcode_mapping!A266</f>
        <v>476</v>
      </c>
      <c r="B266">
        <f>Lcode_mapping!B266</f>
        <v>2</v>
      </c>
      <c r="C266" t="str">
        <f>Lcode_mapping!D266</f>
        <v>UT1 PART</v>
      </c>
      <c r="D266">
        <f>Lcode_mapping!E266</f>
        <v>2</v>
      </c>
      <c r="E266">
        <f>Lcode_mapping!F266</f>
        <v>2</v>
      </c>
      <c r="F266">
        <f>Lcode_mapping!G266</f>
        <v>1</v>
      </c>
      <c r="G266" t="str">
        <f>Lcode_mapping!H266</f>
        <v>R</v>
      </c>
      <c r="H266">
        <f>Lcode_mapping!I266</f>
        <v>5</v>
      </c>
      <c r="I266" t="str">
        <f>Lcode_mapping!J266</f>
        <v>UT1 partial derivatives def.</v>
      </c>
      <c r="J266" t="str">
        <f>Lcode_mapping!K266</f>
        <v>Obs</v>
      </c>
      <c r="K266" t="str">
        <f>Lcode_mapping!L266</f>
        <v>Change the sign db2openDB</v>
      </c>
      <c r="L266" t="str">
        <f>Lcode_mapping!M266</f>
        <v>K</v>
      </c>
      <c r="M266" t="str">
        <f>Lcode_mapping!N266</f>
        <v>Solve</v>
      </c>
      <c r="N266" t="str">
        <f>Lcode_mapping!O266</f>
        <v>ObsPart</v>
      </c>
      <c r="O266" t="str">
        <f>Lcode_mapping!P266</f>
        <v>Part-ERP</v>
      </c>
      <c r="P266" t="str">
        <f>Lcode_mapping!Q266</f>
        <v>Y</v>
      </c>
      <c r="Q266" t="str">
        <f>Lcode_mapping!R266</f>
        <v>Part-UT1</v>
      </c>
      <c r="R266" t="str">
        <f>Lcode_mapping!S266</f>
        <v xml:space="preserve">UT1 LOD </v>
      </c>
      <c r="S266" t="str">
        <f>Lcode_mapping!T266</f>
        <v>-</v>
      </c>
      <c r="T266">
        <f>Lcode_mapping!U266</f>
        <v>2</v>
      </c>
      <c r="U266" t="str">
        <f>Lcode_mapping!V266</f>
        <v>second</v>
      </c>
      <c r="V266" t="str">
        <f>Lcode_mapping!W266</f>
        <v>-</v>
      </c>
    </row>
    <row r="267" spans="1:22" ht="15" customHeight="1" x14ac:dyDescent="0.25">
      <c r="A267">
        <f>Lcode_mapping!A267</f>
        <v>477</v>
      </c>
      <c r="B267">
        <f>Lcode_mapping!B267</f>
        <v>2</v>
      </c>
      <c r="C267" t="str">
        <f>Lcode_mapping!D267</f>
        <v>WOB PART</v>
      </c>
      <c r="D267">
        <f>Lcode_mapping!E267</f>
        <v>2</v>
      </c>
      <c r="E267">
        <f>Lcode_mapping!F267</f>
        <v>2</v>
      </c>
      <c r="F267">
        <f>Lcode_mapping!G267</f>
        <v>1</v>
      </c>
      <c r="G267" t="str">
        <f>Lcode_mapping!H267</f>
        <v>R</v>
      </c>
      <c r="H267">
        <f>Lcode_mapping!I267</f>
        <v>5</v>
      </c>
      <c r="I267" t="str">
        <f>Lcode_mapping!J267</f>
        <v>Wobble partial derivatives def.</v>
      </c>
      <c r="J267" t="str">
        <f>Lcode_mapping!K267</f>
        <v>Obs</v>
      </c>
      <c r="K267" t="str">
        <f>Lcode_mapping!L267</f>
        <v>-</v>
      </c>
      <c r="L267" t="str">
        <f>Lcode_mapping!M267</f>
        <v>K</v>
      </c>
      <c r="M267" t="str">
        <f>Lcode_mapping!N267</f>
        <v>Solve</v>
      </c>
      <c r="N267" t="str">
        <f>Lcode_mapping!O267</f>
        <v>ObsPart</v>
      </c>
      <c r="O267" t="str">
        <f>Lcode_mapping!P267</f>
        <v>Part-ERP</v>
      </c>
      <c r="P267" t="str">
        <f>Lcode_mapping!Q267</f>
        <v>Y</v>
      </c>
      <c r="Q267" t="str">
        <f>Lcode_mapping!R267</f>
        <v>Part-Wobble</v>
      </c>
      <c r="R267" t="str">
        <f>Lcode_mapping!S267</f>
        <v>Xwobble Ywobble</v>
      </c>
      <c r="S267" t="str">
        <f>Lcode_mapping!T267</f>
        <v>-</v>
      </c>
      <c r="T267">
        <f>Lcode_mapping!U267</f>
        <v>2</v>
      </c>
      <c r="U267" t="str">
        <f>Lcode_mapping!V267</f>
        <v>second</v>
      </c>
      <c r="V267" t="str">
        <f>Lcode_mapping!W267</f>
        <v>-</v>
      </c>
    </row>
    <row r="268" spans="1:22" ht="15" customHeight="1" x14ac:dyDescent="0.25">
      <c r="A268">
        <f>Lcode_mapping!A268</f>
        <v>478</v>
      </c>
      <c r="B268">
        <f>Lcode_mapping!B268</f>
        <v>2</v>
      </c>
      <c r="C268" t="str">
        <f>Lcode_mapping!D268</f>
        <v>CONSPART</v>
      </c>
      <c r="D268">
        <f>Lcode_mapping!E268</f>
        <v>2</v>
      </c>
      <c r="E268">
        <f>Lcode_mapping!F268</f>
        <v>1</v>
      </c>
      <c r="F268">
        <f>Lcode_mapping!G268</f>
        <v>1</v>
      </c>
      <c r="G268" t="str">
        <f>Lcode_mapping!H268</f>
        <v>R</v>
      </c>
      <c r="H268">
        <f>Lcode_mapping!I268</f>
        <v>5</v>
      </c>
      <c r="I268" t="str">
        <f>Lcode_mapping!J268</f>
        <v>Consensus partial w.r.t. Gamma</v>
      </c>
      <c r="J268" t="str">
        <f>Lcode_mapping!K268</f>
        <v>Obs</v>
      </c>
      <c r="K268" t="str">
        <f>Lcode_mapping!L268</f>
        <v>-</v>
      </c>
      <c r="L268" t="str">
        <f>Lcode_mapping!M268</f>
        <v>k</v>
      </c>
      <c r="M268" t="str">
        <f>Lcode_mapping!N268</f>
        <v>Solve</v>
      </c>
      <c r="N268" t="str">
        <f>Lcode_mapping!O268</f>
        <v>ObsPart</v>
      </c>
      <c r="O268" t="str">
        <f>Lcode_mapping!P268</f>
        <v>Part-Gamma</v>
      </c>
      <c r="P268" t="str">
        <f>Lcode_mapping!Q268</f>
        <v>Y</v>
      </c>
      <c r="Q268" t="str">
        <f>Lcode_mapping!R268</f>
        <v>Part-Gamma</v>
      </c>
      <c r="R268" t="str">
        <f>Lcode_mapping!S268</f>
        <v>-</v>
      </c>
      <c r="S268" t="str">
        <f>Lcode_mapping!T268</f>
        <v>-</v>
      </c>
      <c r="T268">
        <f>Lcode_mapping!U268</f>
        <v>2</v>
      </c>
      <c r="U268" t="str">
        <f>Lcode_mapping!V268</f>
        <v>second</v>
      </c>
      <c r="V268" t="str">
        <f>Lcode_mapping!W268</f>
        <v>-</v>
      </c>
    </row>
    <row r="269" spans="1:22" ht="15" customHeight="1" x14ac:dyDescent="0.25">
      <c r="A269">
        <f>Lcode_mapping!A269</f>
        <v>479</v>
      </c>
      <c r="B269" t="str">
        <f>Lcode_mapping!B269</f>
        <v>N</v>
      </c>
      <c r="C269" t="str">
        <f>Lcode_mapping!D269</f>
        <v>NMFGradEW</v>
      </c>
      <c r="D269">
        <f>Lcode_mapping!E269</f>
        <v>2</v>
      </c>
      <c r="E269">
        <f>Lcode_mapping!F269</f>
        <v>2</v>
      </c>
      <c r="F269">
        <f>Lcode_mapping!G269</f>
        <v>1</v>
      </c>
      <c r="G269" t="str">
        <f>Lcode_mapping!H269</f>
        <v>R</v>
      </c>
      <c r="H269">
        <f>Lcode_mapping!I269</f>
        <v>5</v>
      </c>
      <c r="I269" t="str">
        <f>Lcode_mapping!J269</f>
        <v>-</v>
      </c>
      <c r="J269" t="str">
        <f>Lcode_mapping!K269</f>
        <v>Obs</v>
      </c>
      <c r="K269" t="str">
        <f>Lcode_mapping!L269</f>
        <v>-</v>
      </c>
      <c r="L269" t="str">
        <f>Lcode_mapping!M269</f>
        <v>N</v>
      </c>
      <c r="M269" t="str">
        <f>Lcode_mapping!N269</f>
        <v>Solve</v>
      </c>
      <c r="N269" t="str">
        <f>Lcode_mapping!O269</f>
        <v>ObsPart</v>
      </c>
      <c r="O269" t="str">
        <f>Lcode_mapping!P269</f>
        <v>Part-HorizonGrad_kNMF</v>
      </c>
      <c r="P269" t="str">
        <f>Lcode_mapping!Q269</f>
        <v>Y</v>
      </c>
      <c r="Q269" t="str">
        <f>Lcode_mapping!R269</f>
        <v>Part-HorizonGrad-EW</v>
      </c>
      <c r="R269" t="str">
        <f>Lcode_mapping!S269</f>
        <v>-</v>
      </c>
      <c r="S269" t="str">
        <f>Lcode_mapping!T269</f>
        <v>NMF dry atm. EW Gradient Partials</v>
      </c>
      <c r="T269">
        <f>Lcode_mapping!U269</f>
        <v>2</v>
      </c>
      <c r="U269" t="str">
        <f>Lcode_mapping!V269</f>
        <v>second</v>
      </c>
      <c r="V269" t="str">
        <f>Lcode_mapping!W269</f>
        <v>1.5d-12 1.d-15</v>
      </c>
    </row>
    <row r="270" spans="1:22" ht="15" customHeight="1" x14ac:dyDescent="0.25">
      <c r="A270">
        <f>Lcode_mapping!A270</f>
        <v>480</v>
      </c>
      <c r="B270" t="str">
        <f>Lcode_mapping!B270</f>
        <v>N</v>
      </c>
      <c r="C270" t="str">
        <f>Lcode_mapping!D270</f>
        <v>NMFGradNS</v>
      </c>
      <c r="D270">
        <f>Lcode_mapping!E270</f>
        <v>2</v>
      </c>
      <c r="E270">
        <f>Lcode_mapping!F270</f>
        <v>2</v>
      </c>
      <c r="F270">
        <f>Lcode_mapping!G270</f>
        <v>1</v>
      </c>
      <c r="G270" t="str">
        <f>Lcode_mapping!H270</f>
        <v>R</v>
      </c>
      <c r="H270">
        <f>Lcode_mapping!I270</f>
        <v>5</v>
      </c>
      <c r="I270" t="str">
        <f>Lcode_mapping!J270</f>
        <v>-</v>
      </c>
      <c r="J270" t="str">
        <f>Lcode_mapping!K270</f>
        <v>Obs</v>
      </c>
      <c r="K270" t="str">
        <f>Lcode_mapping!L270</f>
        <v>-</v>
      </c>
      <c r="L270" t="str">
        <f>Lcode_mapping!M270</f>
        <v>N</v>
      </c>
      <c r="M270" t="str">
        <f>Lcode_mapping!N270</f>
        <v>Solve</v>
      </c>
      <c r="N270" t="str">
        <f>Lcode_mapping!O270</f>
        <v>ObsPart</v>
      </c>
      <c r="O270" t="str">
        <f>Lcode_mapping!P270</f>
        <v>Part-HorizonGrad_kNMF</v>
      </c>
      <c r="P270" t="str">
        <f>Lcode_mapping!Q270</f>
        <v>Y</v>
      </c>
      <c r="Q270" t="str">
        <f>Lcode_mapping!R270</f>
        <v>Part-HorizonGrad-NS</v>
      </c>
      <c r="R270" t="str">
        <f>Lcode_mapping!S270</f>
        <v>-</v>
      </c>
      <c r="S270" t="str">
        <f>Lcode_mapping!T270</f>
        <v>NMF dry atm. NS Gradient Partials</v>
      </c>
      <c r="T270">
        <f>Lcode_mapping!U270</f>
        <v>2</v>
      </c>
      <c r="U270" t="str">
        <f>Lcode_mapping!V270</f>
        <v>second</v>
      </c>
      <c r="V270" t="str">
        <f>Lcode_mapping!W270</f>
        <v>1.5d-12 1.d-15</v>
      </c>
    </row>
    <row r="271" spans="1:22" ht="15" customHeight="1" x14ac:dyDescent="0.25">
      <c r="A271">
        <f>Lcode_mapping!A271</f>
        <v>483</v>
      </c>
      <c r="B271">
        <f>Lcode_mapping!B271</f>
        <v>2</v>
      </c>
      <c r="C271" t="str">
        <f>Lcode_mapping!D271</f>
        <v>NUT PART</v>
      </c>
      <c r="D271">
        <f>Lcode_mapping!E271</f>
        <v>2</v>
      </c>
      <c r="E271">
        <f>Lcode_mapping!F271</f>
        <v>2</v>
      </c>
      <c r="F271">
        <f>Lcode_mapping!G271</f>
        <v>1</v>
      </c>
      <c r="G271" t="str">
        <f>Lcode_mapping!H271</f>
        <v>R</v>
      </c>
      <c r="H271">
        <f>Lcode_mapping!I271</f>
        <v>5</v>
      </c>
      <c r="I271" t="str">
        <f>Lcode_mapping!J271</f>
        <v>Pre Calc10 Nuation Partial</v>
      </c>
      <c r="J271" t="str">
        <f>Lcode_mapping!K271</f>
        <v>Obs</v>
      </c>
      <c r="K271" t="str">
        <f>Lcode_mapping!L271</f>
        <v>-</v>
      </c>
      <c r="L271" t="str">
        <f>Lcode_mapping!M271</f>
        <v>K</v>
      </c>
      <c r="M271" t="str">
        <f>Lcode_mapping!N271</f>
        <v>-</v>
      </c>
      <c r="N271" t="str">
        <f>Lcode_mapping!O271</f>
        <v>ObsPart</v>
      </c>
      <c r="O271" t="str">
        <f>Lcode_mapping!P271</f>
        <v>Part-Nutation_kpreCalc10</v>
      </c>
      <c r="P271" t="str">
        <f>Lcode_mapping!Q271</f>
        <v>Y</v>
      </c>
      <c r="Q271" t="str">
        <f>Lcode_mapping!R271</f>
        <v>Part-NutationEQX</v>
      </c>
      <c r="R271" t="str">
        <f>Lcode_mapping!S271</f>
        <v>NutationPsi NutationEps</v>
      </c>
      <c r="S271" t="str">
        <f>Lcode_mapping!T271</f>
        <v>-</v>
      </c>
      <c r="T271">
        <f>Lcode_mapping!U271</f>
        <v>2</v>
      </c>
      <c r="U271" t="str">
        <f>Lcode_mapping!V271</f>
        <v>second</v>
      </c>
      <c r="V271" t="str">
        <f>Lcode_mapping!W271</f>
        <v>-</v>
      </c>
    </row>
    <row r="272" spans="1:22" ht="15" customHeight="1" x14ac:dyDescent="0.25">
      <c r="A272">
        <f>Lcode_mapping!A272</f>
        <v>481</v>
      </c>
      <c r="B272">
        <f>Lcode_mapping!B272</f>
        <v>2</v>
      </c>
      <c r="C272" t="str">
        <f>Lcode_mapping!D272</f>
        <v>NUT2000P</v>
      </c>
      <c r="D272">
        <f>Lcode_mapping!E272</f>
        <v>2</v>
      </c>
      <c r="E272">
        <f>Lcode_mapping!F272</f>
        <v>2</v>
      </c>
      <c r="F272">
        <f>Lcode_mapping!G272</f>
        <v>1</v>
      </c>
      <c r="G272" t="str">
        <f>Lcode_mapping!H272</f>
        <v>R</v>
      </c>
      <c r="H272">
        <f>Lcode_mapping!I272</f>
        <v>5</v>
      </c>
      <c r="I272" t="str">
        <f>Lcode_mapping!J272</f>
        <v>IAU2000A Nutation Psi Eps Partls</v>
      </c>
      <c r="J272" t="str">
        <f>Lcode_mapping!K272</f>
        <v>Obs</v>
      </c>
      <c r="K272" t="str">
        <f>Lcode_mapping!L272</f>
        <v>-</v>
      </c>
      <c r="L272" t="str">
        <f>Lcode_mapping!M272</f>
        <v>K</v>
      </c>
      <c r="M272" t="str">
        <f>Lcode_mapping!N272</f>
        <v>-</v>
      </c>
      <c r="N272" t="str">
        <f>Lcode_mapping!O272</f>
        <v>ObsPart</v>
      </c>
      <c r="O272" t="str">
        <f>Lcode_mapping!P272</f>
        <v>Part-NutationEQX_kIAU2000</v>
      </c>
      <c r="P272" t="str">
        <f>Lcode_mapping!Q272</f>
        <v>Y</v>
      </c>
      <c r="Q272" t="str">
        <f>Lcode_mapping!R272</f>
        <v>Part-NutationEQX</v>
      </c>
      <c r="R272" t="str">
        <f>Lcode_mapping!S272</f>
        <v>NutationPsi NutationEps</v>
      </c>
      <c r="S272" t="str">
        <f>Lcode_mapping!T272</f>
        <v>-</v>
      </c>
      <c r="T272">
        <f>Lcode_mapping!U272</f>
        <v>2</v>
      </c>
      <c r="U272" t="str">
        <f>Lcode_mapping!V272</f>
        <v>second</v>
      </c>
      <c r="V272" t="str">
        <f>Lcode_mapping!W272</f>
        <v>-</v>
      </c>
    </row>
    <row r="273" spans="1:22" ht="15" customHeight="1" x14ac:dyDescent="0.25">
      <c r="A273">
        <f>Lcode_mapping!A273</f>
        <v>482</v>
      </c>
      <c r="B273">
        <f>Lcode_mapping!B273</f>
        <v>2</v>
      </c>
      <c r="C273" t="str">
        <f>Lcode_mapping!D273</f>
        <v>NUT2KXYP</v>
      </c>
      <c r="D273">
        <f>Lcode_mapping!E273</f>
        <v>2</v>
      </c>
      <c r="E273">
        <f>Lcode_mapping!F273</f>
        <v>2</v>
      </c>
      <c r="F273">
        <f>Lcode_mapping!G273</f>
        <v>1</v>
      </c>
      <c r="G273" t="str">
        <f>Lcode_mapping!H273</f>
        <v>R</v>
      </c>
      <c r="H273">
        <f>Lcode_mapping!I273</f>
        <v>5</v>
      </c>
      <c r="I273" t="str">
        <f>Lcode_mapping!J273</f>
        <v>IAU2000A Nutation X Y Partials</v>
      </c>
      <c r="J273" t="str">
        <f>Lcode_mapping!K273</f>
        <v>Obs</v>
      </c>
      <c r="K273" t="str">
        <f>Lcode_mapping!L273</f>
        <v>-</v>
      </c>
      <c r="L273" t="str">
        <f>Lcode_mapping!M273</f>
        <v>K</v>
      </c>
      <c r="M273" t="str">
        <f>Lcode_mapping!N273</f>
        <v>Solve</v>
      </c>
      <c r="N273" t="str">
        <f>Lcode_mapping!O273</f>
        <v>ObsPart</v>
      </c>
      <c r="O273" t="str">
        <f>Lcode_mapping!P273</f>
        <v>Part-NutationNRO_kIAU2000</v>
      </c>
      <c r="P273" t="str">
        <f>Lcode_mapping!Q273</f>
        <v>Y</v>
      </c>
      <c r="Q273" t="str">
        <f>Lcode_mapping!R273</f>
        <v>Part-NutationNRO</v>
      </c>
      <c r="R273" t="str">
        <f>Lcode_mapping!S273</f>
        <v>NutationX NutationY</v>
      </c>
      <c r="S273" t="str">
        <f>Lcode_mapping!T273</f>
        <v>-</v>
      </c>
      <c r="T273">
        <f>Lcode_mapping!U273</f>
        <v>2</v>
      </c>
      <c r="U273" t="str">
        <f>Lcode_mapping!V273</f>
        <v>second</v>
      </c>
      <c r="V273" t="str">
        <f>Lcode_mapping!W273</f>
        <v>-</v>
      </c>
    </row>
    <row r="274" spans="1:22" ht="15" customHeight="1" x14ac:dyDescent="0.25">
      <c r="A274">
        <f>Lcode_mapping!A274</f>
        <v>481</v>
      </c>
      <c r="B274">
        <f>Lcode_mapping!B274</f>
        <v>2</v>
      </c>
      <c r="C274" t="str">
        <f>Lcode_mapping!D274</f>
        <v>NUT06XYP</v>
      </c>
      <c r="D274">
        <f>Lcode_mapping!E274</f>
        <v>2</v>
      </c>
      <c r="E274">
        <f>Lcode_mapping!F274</f>
        <v>2</v>
      </c>
      <c r="F274">
        <f>Lcode_mapping!G274</f>
        <v>1</v>
      </c>
      <c r="G274" t="str">
        <f>Lcode_mapping!H274</f>
        <v>R</v>
      </c>
      <c r="H274">
        <f>Lcode_mapping!I274</f>
        <v>5</v>
      </c>
      <c r="I274" t="str">
        <f>Lcode_mapping!J274</f>
        <v>2000/2006 Nut/Prec X,Y Partials</v>
      </c>
      <c r="J274" t="str">
        <f>Lcode_mapping!K274</f>
        <v>Obs</v>
      </c>
      <c r="K274" t="str">
        <f>Lcode_mapping!L274</f>
        <v>-</v>
      </c>
      <c r="L274" t="str">
        <f>Lcode_mapping!M274</f>
        <v>K</v>
      </c>
      <c r="M274" t="str">
        <f>Lcode_mapping!N274</f>
        <v>Solve</v>
      </c>
      <c r="N274" t="str">
        <f>Lcode_mapping!O274</f>
        <v>ObsPart</v>
      </c>
      <c r="O274" t="str">
        <f>Lcode_mapping!P274</f>
        <v>Part-NutationNRO_kIAU2006</v>
      </c>
      <c r="P274" t="str">
        <f>Lcode_mapping!Q274</f>
        <v>Y</v>
      </c>
      <c r="Q274" t="str">
        <f>Lcode_mapping!R274</f>
        <v>Part-NutationNRO</v>
      </c>
      <c r="R274" t="str">
        <f>Lcode_mapping!S274</f>
        <v>NutationX NutationY</v>
      </c>
      <c r="S274" t="str">
        <f>Lcode_mapping!T274</f>
        <v>-</v>
      </c>
      <c r="T274">
        <f>Lcode_mapping!U274</f>
        <v>2</v>
      </c>
      <c r="U274" t="str">
        <f>Lcode_mapping!V274</f>
        <v>second</v>
      </c>
      <c r="V274" t="str">
        <f>Lcode_mapping!W274</f>
        <v>-</v>
      </c>
    </row>
    <row r="275" spans="1:22" ht="15" customHeight="1" x14ac:dyDescent="0.25">
      <c r="A275">
        <f>Lcode_mapping!A275</f>
        <v>484</v>
      </c>
      <c r="B275">
        <f>Lcode_mapping!B275</f>
        <v>2</v>
      </c>
      <c r="C275" t="str">
        <f>Lcode_mapping!D275</f>
        <v>PLX PART</v>
      </c>
      <c r="D275">
        <f>Lcode_mapping!E275</f>
        <v>2</v>
      </c>
      <c r="E275">
        <f>Lcode_mapping!F275</f>
        <v>1</v>
      </c>
      <c r="F275">
        <f>Lcode_mapping!G275</f>
        <v>1</v>
      </c>
      <c r="G275" t="str">
        <f>Lcode_mapping!H275</f>
        <v>R</v>
      </c>
      <c r="H275">
        <f>Lcode_mapping!I275</f>
        <v>5</v>
      </c>
      <c r="I275" t="str">
        <f>Lcode_mapping!J275</f>
        <v>Parallax partial deriv. def.</v>
      </c>
      <c r="J275" t="str">
        <f>Lcode_mapping!K275</f>
        <v>Obs</v>
      </c>
      <c r="K275" t="str">
        <f>Lcode_mapping!L275</f>
        <v>-</v>
      </c>
      <c r="L275" t="str">
        <f>Lcode_mapping!M275</f>
        <v>K</v>
      </c>
      <c r="M275" t="str">
        <f>Lcode_mapping!N275</f>
        <v>-</v>
      </c>
      <c r="N275" t="str">
        <f>Lcode_mapping!O275</f>
        <v>ObsPart</v>
      </c>
      <c r="O275" t="str">
        <f>Lcode_mapping!P275</f>
        <v>Part-Parallax</v>
      </c>
      <c r="P275" t="str">
        <f>Lcode_mapping!Q275</f>
        <v>Y</v>
      </c>
      <c r="Q275" t="str">
        <f>Lcode_mapping!R275</f>
        <v>Part-Parallax</v>
      </c>
      <c r="R275" t="str">
        <f>Lcode_mapping!S275</f>
        <v>-</v>
      </c>
      <c r="S275" t="str">
        <f>Lcode_mapping!T275</f>
        <v>-</v>
      </c>
      <c r="T275">
        <f>Lcode_mapping!U275</f>
        <v>2</v>
      </c>
      <c r="U275" t="str">
        <f>Lcode_mapping!V275</f>
        <v>second</v>
      </c>
      <c r="V275" t="str">
        <f>Lcode_mapping!W275</f>
        <v>-</v>
      </c>
    </row>
    <row r="276" spans="1:22" ht="15" customHeight="1" x14ac:dyDescent="0.25">
      <c r="A276">
        <f>Lcode_mapping!A276</f>
        <v>485</v>
      </c>
      <c r="B276">
        <f>Lcode_mapping!B276</f>
        <v>2</v>
      </c>
      <c r="C276" t="str">
        <f>Lcode_mapping!D276</f>
        <v>PTDXYPAR</v>
      </c>
      <c r="D276">
        <f>Lcode_mapping!E276</f>
        <v>2</v>
      </c>
      <c r="E276">
        <f>Lcode_mapping!F276</f>
        <v>2</v>
      </c>
      <c r="F276">
        <f>Lcode_mapping!G276</f>
        <v>1</v>
      </c>
      <c r="G276" t="str">
        <f>Lcode_mapping!H276</f>
        <v>R</v>
      </c>
      <c r="H276">
        <f>Lcode_mapping!I276</f>
        <v>5</v>
      </c>
      <c r="I276" t="str">
        <f>Lcode_mapping!J276</f>
        <v>Pole Tide Partials w.r.t. X &amp; Y</v>
      </c>
      <c r="J276" t="str">
        <f>Lcode_mapping!K276</f>
        <v>Obs</v>
      </c>
      <c r="K276" t="str">
        <f>Lcode_mapping!L276</f>
        <v>-</v>
      </c>
      <c r="L276" t="str">
        <f>Lcode_mapping!M276</f>
        <v>K</v>
      </c>
      <c r="M276" t="str">
        <f>Lcode_mapping!N276</f>
        <v>-</v>
      </c>
      <c r="N276" t="str">
        <f>Lcode_mapping!O276</f>
        <v>ObsPart</v>
      </c>
      <c r="O276" t="str">
        <f>Lcode_mapping!P276</f>
        <v>Part-Poletide_kIERS2006</v>
      </c>
      <c r="P276" t="str">
        <f>Lcode_mapping!Q276</f>
        <v>Y</v>
      </c>
      <c r="Q276" t="str">
        <f>Lcode_mapping!R276</f>
        <v>Part-PoleTide</v>
      </c>
      <c r="R276" t="str">
        <f>Lcode_mapping!S276</f>
        <v>XPoleTide YPoleTide</v>
      </c>
      <c r="S276" t="str">
        <f>Lcode_mapping!T276</f>
        <v>-</v>
      </c>
      <c r="T276">
        <f>Lcode_mapping!U276</f>
        <v>2</v>
      </c>
      <c r="U276" t="str">
        <f>Lcode_mapping!V276</f>
        <v>second</v>
      </c>
      <c r="V276" t="str">
        <f>Lcode_mapping!W276</f>
        <v>-</v>
      </c>
    </row>
    <row r="277" spans="1:22" ht="15" customHeight="1" x14ac:dyDescent="0.25">
      <c r="A277">
        <f>Lcode_mapping!A277</f>
        <v>486</v>
      </c>
      <c r="B277">
        <f>Lcode_mapping!B277</f>
        <v>2</v>
      </c>
      <c r="C277" t="str">
        <f>Lcode_mapping!D277</f>
        <v>PRE PART</v>
      </c>
      <c r="D277">
        <f>Lcode_mapping!E277</f>
        <v>2</v>
      </c>
      <c r="E277">
        <f>Lcode_mapping!F277</f>
        <v>1</v>
      </c>
      <c r="F277">
        <f>Lcode_mapping!G277</f>
        <v>1</v>
      </c>
      <c r="G277" t="str">
        <f>Lcode_mapping!H277</f>
        <v>R</v>
      </c>
      <c r="H277">
        <f>Lcode_mapping!I277</f>
        <v>5</v>
      </c>
      <c r="I277" t="str">
        <f>Lcode_mapping!J277</f>
        <v>Precession partial deriv. def.</v>
      </c>
      <c r="J277" t="str">
        <f>Lcode_mapping!K277</f>
        <v>Obs</v>
      </c>
      <c r="K277" t="str">
        <f>Lcode_mapping!L277</f>
        <v>-</v>
      </c>
      <c r="L277" t="str">
        <f>Lcode_mapping!M277</f>
        <v>K</v>
      </c>
      <c r="M277" t="str">
        <f>Lcode_mapping!N277</f>
        <v>Solve</v>
      </c>
      <c r="N277" t="str">
        <f>Lcode_mapping!O277</f>
        <v>ObsPart</v>
      </c>
      <c r="O277" t="str">
        <f>Lcode_mapping!P277</f>
        <v>Part-Precession</v>
      </c>
      <c r="P277" t="str">
        <f>Lcode_mapping!Q277</f>
        <v>Y</v>
      </c>
      <c r="Q277" t="str">
        <f>Lcode_mapping!R277</f>
        <v>Part-Precession</v>
      </c>
      <c r="R277" t="str">
        <f>Lcode_mapping!S277</f>
        <v>-</v>
      </c>
      <c r="S277" t="str">
        <f>Lcode_mapping!T277</f>
        <v>-</v>
      </c>
      <c r="T277">
        <f>Lcode_mapping!U277</f>
        <v>2</v>
      </c>
      <c r="U277" t="str">
        <f>Lcode_mapping!V277</f>
        <v>second</v>
      </c>
      <c r="V277" t="str">
        <f>Lcode_mapping!W277</f>
        <v>-</v>
      </c>
    </row>
    <row r="278" spans="1:22" ht="15" customHeight="1" x14ac:dyDescent="0.25">
      <c r="A278">
        <f>Lcode_mapping!A278</f>
        <v>487</v>
      </c>
      <c r="B278">
        <f>Lcode_mapping!B278</f>
        <v>2</v>
      </c>
      <c r="C278" t="str">
        <f>Lcode_mapping!D278</f>
        <v>STR PART</v>
      </c>
      <c r="D278">
        <f>Lcode_mapping!E278</f>
        <v>2</v>
      </c>
      <c r="E278">
        <f>Lcode_mapping!F278</f>
        <v>2</v>
      </c>
      <c r="F278">
        <f>Lcode_mapping!G278</f>
        <v>1</v>
      </c>
      <c r="G278" t="str">
        <f>Lcode_mapping!H278</f>
        <v>R</v>
      </c>
      <c r="H278">
        <f>Lcode_mapping!I278</f>
        <v>5</v>
      </c>
      <c r="I278" t="str">
        <f>Lcode_mapping!J278</f>
        <v>Star partial derivatives def.</v>
      </c>
      <c r="J278" t="str">
        <f>Lcode_mapping!K278</f>
        <v>Obs</v>
      </c>
      <c r="K278" t="str">
        <f>Lcode_mapping!L278</f>
        <v>-</v>
      </c>
      <c r="L278" t="str">
        <f>Lcode_mapping!M278</f>
        <v>K</v>
      </c>
      <c r="M278" t="str">
        <f>Lcode_mapping!N278</f>
        <v>Solve</v>
      </c>
      <c r="N278" t="str">
        <f>Lcode_mapping!O278</f>
        <v>ObsPart</v>
      </c>
      <c r="O278" t="str">
        <f>Lcode_mapping!P278</f>
        <v>Part-RaDec</v>
      </c>
      <c r="P278" t="str">
        <f>Lcode_mapping!Q278</f>
        <v>Y</v>
      </c>
      <c r="Q278" t="str">
        <f>Lcode_mapping!R278</f>
        <v>Part-RaDec</v>
      </c>
      <c r="R278" t="str">
        <f>Lcode_mapping!S278</f>
        <v>Ra Dec</v>
      </c>
      <c r="S278" t="str">
        <f>Lcode_mapping!T278</f>
        <v>-</v>
      </c>
      <c r="T278">
        <f>Lcode_mapping!U278</f>
        <v>2</v>
      </c>
      <c r="U278" t="str">
        <f>Lcode_mapping!V278</f>
        <v>second</v>
      </c>
      <c r="V278" t="str">
        <f>Lcode_mapping!W278</f>
        <v>-</v>
      </c>
    </row>
    <row r="279" spans="1:22" ht="15" customHeight="1" x14ac:dyDescent="0.25">
      <c r="A279">
        <f>Lcode_mapping!A279</f>
        <v>488</v>
      </c>
      <c r="B279">
        <f>Lcode_mapping!B279</f>
        <v>2</v>
      </c>
      <c r="C279" t="str">
        <f>Lcode_mapping!D279</f>
        <v>SIT PART</v>
      </c>
      <c r="D279">
        <f>Lcode_mapping!E279</f>
        <v>3</v>
      </c>
      <c r="E279">
        <f>Lcode_mapping!F279</f>
        <v>2</v>
      </c>
      <c r="F279">
        <f>Lcode_mapping!G279</f>
        <v>2</v>
      </c>
      <c r="G279" t="str">
        <f>Lcode_mapping!H279</f>
        <v>R</v>
      </c>
      <c r="H279">
        <f>Lcode_mapping!I279</f>
        <v>5</v>
      </c>
      <c r="I279" t="str">
        <f>Lcode_mapping!J279</f>
        <v>Site partial derivative def.</v>
      </c>
      <c r="J279" t="str">
        <f>Lcode_mapping!K279</f>
        <v>OBs</v>
      </c>
      <c r="K279" t="str">
        <f>Lcode_mapping!L279</f>
        <v>-</v>
      </c>
      <c r="L279" t="str">
        <f>Lcode_mapping!M279</f>
        <v>K</v>
      </c>
      <c r="M279" t="str">
        <f>Lcode_mapping!N279</f>
        <v>Solve</v>
      </c>
      <c r="N279" t="str">
        <f>Lcode_mapping!O279</f>
        <v>ObsPart</v>
      </c>
      <c r="O279" t="str">
        <f>Lcode_mapping!P279</f>
        <v>Part-XYZ</v>
      </c>
      <c r="P279" t="str">
        <f>Lcode_mapping!Q279</f>
        <v>Y</v>
      </c>
      <c r="Q279" t="str">
        <f>Lcode_mapping!R279</f>
        <v>Part-XYZ</v>
      </c>
      <c r="R279" t="str">
        <f>Lcode_mapping!S279</f>
        <v>X Y Z</v>
      </c>
      <c r="S279" t="str">
        <f>Lcode_mapping!T279</f>
        <v>Site partials: dtau/dr_1=-dtau/dr_2</v>
      </c>
      <c r="T279">
        <f>Lcode_mapping!U279</f>
        <v>2</v>
      </c>
      <c r="U279" t="str">
        <f>Lcode_mapping!V279</f>
        <v>second</v>
      </c>
      <c r="V279" t="str">
        <f>Lcode_mapping!W279</f>
        <v>1.d-13 1.d-16  Flip</v>
      </c>
    </row>
    <row r="280" spans="1:22" ht="15" customHeight="1" x14ac:dyDescent="0.25">
      <c r="A280">
        <f>Lcode_mapping!A280</f>
        <v>489</v>
      </c>
      <c r="B280">
        <f>Lcode_mapping!B280</f>
        <v>2</v>
      </c>
      <c r="C280" t="str">
        <f>Lcode_mapping!D280</f>
        <v>CONSNDEL</v>
      </c>
      <c r="D280">
        <f>Lcode_mapping!E280</f>
        <v>2</v>
      </c>
      <c r="E280">
        <f>Lcode_mapping!F280</f>
        <v>1</v>
      </c>
      <c r="F280">
        <f>Lcode_mapping!G280</f>
        <v>1</v>
      </c>
      <c r="G280" t="str">
        <f>Lcode_mapping!H280</f>
        <v>R</v>
      </c>
      <c r="H280">
        <f>Lcode_mapping!I280</f>
        <v>5</v>
      </c>
      <c r="I280" t="str">
        <f>Lcode_mapping!J280</f>
        <v>Consensus theo. delay (microsec)</v>
      </c>
      <c r="J280" t="str">
        <f>Lcode_mapping!K280</f>
        <v>Obs</v>
      </c>
      <c r="K280" t="str">
        <f>Lcode_mapping!L280</f>
        <v>-</v>
      </c>
      <c r="L280" t="str">
        <f>Lcode_mapping!M280</f>
        <v>K</v>
      </c>
      <c r="M280" t="str">
        <f>Lcode_mapping!N280</f>
        <v>Solve</v>
      </c>
      <c r="N280" t="str">
        <f>Lcode_mapping!O280</f>
        <v>ObsTheoretical</v>
      </c>
      <c r="O280" t="str">
        <f>Lcode_mapping!P280</f>
        <v>DelayTheoretical</v>
      </c>
      <c r="P280" t="str">
        <f>Lcode_mapping!Q280</f>
        <v>Y</v>
      </c>
      <c r="Q280" t="str">
        <f>Lcode_mapping!R280</f>
        <v>DelayTheoretical</v>
      </c>
      <c r="R280" t="str">
        <f>Lcode_mapping!S280</f>
        <v>-</v>
      </c>
      <c r="S280" t="str">
        <f>Lcode_mapping!T280</f>
        <v>Consensus theoretical delay</v>
      </c>
      <c r="T280" t="str">
        <f>Lcode_mapping!U280</f>
        <v>-</v>
      </c>
      <c r="U280" t="str">
        <f>Lcode_mapping!V280</f>
        <v>microsecond</v>
      </c>
      <c r="V280" t="str">
        <f>Lcode_mapping!W280</f>
        <v>-</v>
      </c>
    </row>
    <row r="281" spans="1:22" ht="15" customHeight="1" x14ac:dyDescent="0.25">
      <c r="A281">
        <f>Lcode_mapping!A281</f>
        <v>490</v>
      </c>
      <c r="B281">
        <f>Lcode_mapping!B281</f>
        <v>2</v>
      </c>
      <c r="C281" t="str">
        <f>Lcode_mapping!D281</f>
        <v>CONSNRAT</v>
      </c>
      <c r="D281">
        <f>Lcode_mapping!E281</f>
        <v>1</v>
      </c>
      <c r="E281">
        <f>Lcode_mapping!F281</f>
        <v>1</v>
      </c>
      <c r="F281">
        <f>Lcode_mapping!G281</f>
        <v>1</v>
      </c>
      <c r="G281" t="str">
        <f>Lcode_mapping!H281</f>
        <v>R</v>
      </c>
      <c r="H281">
        <f>Lcode_mapping!I281</f>
        <v>5</v>
      </c>
      <c r="I281" t="str">
        <f>Lcode_mapping!J281</f>
        <v>Consensus theo. rate (sec/sec)</v>
      </c>
      <c r="J281" t="str">
        <f>Lcode_mapping!K281</f>
        <v>Obs</v>
      </c>
      <c r="K281" t="str">
        <f>Lcode_mapping!L281</f>
        <v>-</v>
      </c>
      <c r="L281" t="str">
        <f>Lcode_mapping!M281</f>
        <v>K</v>
      </c>
      <c r="M281" t="str">
        <f>Lcode_mapping!N281</f>
        <v>Solve</v>
      </c>
      <c r="N281" t="str">
        <f>Lcode_mapping!O281</f>
        <v>ObsTheoretical</v>
      </c>
      <c r="O281" t="str">
        <f>Lcode_mapping!P281</f>
        <v>RateTheoretical</v>
      </c>
      <c r="P281" t="str">
        <f>Lcode_mapping!Q281</f>
        <v>Y</v>
      </c>
      <c r="Q281" t="str">
        <f>Lcode_mapping!R281</f>
        <v>RateTheoretical</v>
      </c>
      <c r="R281" t="str">
        <f>Lcode_mapping!S281</f>
        <v>-</v>
      </c>
      <c r="S281" t="str">
        <f>Lcode_mapping!T281</f>
        <v>Consensus theoretical rate</v>
      </c>
      <c r="T281" t="str">
        <f>Lcode_mapping!U281</f>
        <v>-</v>
      </c>
      <c r="U281" t="str">
        <f>Lcode_mapping!V281</f>
        <v>second/second</v>
      </c>
      <c r="V281" t="str">
        <f>Lcode_mapping!W281</f>
        <v>-</v>
      </c>
    </row>
    <row r="282" spans="1:22" ht="15" customHeight="1" x14ac:dyDescent="0.25">
      <c r="A282">
        <f>Lcode_mapping!A282</f>
        <v>104</v>
      </c>
      <c r="B282">
        <f>Lcode_mapping!B282</f>
        <v>2</v>
      </c>
      <c r="C282" t="str">
        <f>Lcode_mapping!D282</f>
        <v>EARTH CE</v>
      </c>
      <c r="D282">
        <f>Lcode_mapping!E282</f>
        <v>3</v>
      </c>
      <c r="E282">
        <f>Lcode_mapping!F282</f>
        <v>3</v>
      </c>
      <c r="F282">
        <f>Lcode_mapping!G282</f>
        <v>1</v>
      </c>
      <c r="G282" t="str">
        <f>Lcode_mapping!H282</f>
        <v>R</v>
      </c>
      <c r="H282">
        <f>Lcode_mapping!I282</f>
        <v>5</v>
      </c>
      <c r="I282" t="str">
        <f>Lcode_mapping!J282</f>
        <v>Earth barycentric coordinates.</v>
      </c>
      <c r="J282" t="str">
        <f>Lcode_mapping!K282</f>
        <v>Scan</v>
      </c>
      <c r="K282" t="str">
        <f>Lcode_mapping!L282</f>
        <v>-</v>
      </c>
      <c r="L282" t="str">
        <f>Lcode_mapping!M282</f>
        <v>k</v>
      </c>
      <c r="M282" t="str">
        <f>Lcode_mapping!N282</f>
        <v>-</v>
      </c>
      <c r="N282" t="str">
        <f>Lcode_mapping!O282</f>
        <v>Scan</v>
      </c>
      <c r="O282" t="str">
        <f>Lcode_mapping!P282</f>
        <v>Ephemeris_kDE405JPL</v>
      </c>
      <c r="P282" t="str">
        <f>Lcode_mapping!Q282</f>
        <v>-</v>
      </c>
      <c r="Q282" t="str">
        <f>Lcode_mapping!R282</f>
        <v>EarthXYZ</v>
      </c>
      <c r="R282" t="str">
        <f>Lcode_mapping!S282</f>
        <v>-</v>
      </c>
      <c r="S282" t="str">
        <f>Lcode_mapping!T282</f>
        <v>-</v>
      </c>
      <c r="T282">
        <f>Lcode_mapping!U282</f>
        <v>3</v>
      </c>
      <c r="U282" t="str">
        <f>Lcode_mapping!V282</f>
        <v>Meter</v>
      </c>
      <c r="V282" t="str">
        <f>Lcode_mapping!W282</f>
        <v>2.d0 1.d-3  1.d-6</v>
      </c>
    </row>
    <row r="283" spans="1:22" ht="15" customHeight="1" x14ac:dyDescent="0.25">
      <c r="A283">
        <f>Lcode_mapping!A283</f>
        <v>105</v>
      </c>
      <c r="B283">
        <f>Lcode_mapping!B283</f>
        <v>2</v>
      </c>
      <c r="C283" t="str">
        <f>Lcode_mapping!D283</f>
        <v>MOONDATA</v>
      </c>
      <c r="D283">
        <f>Lcode_mapping!E283</f>
        <v>3</v>
      </c>
      <c r="E283">
        <f>Lcode_mapping!F283</f>
        <v>2</v>
      </c>
      <c r="F283">
        <f>Lcode_mapping!G283</f>
        <v>1</v>
      </c>
      <c r="G283" t="str">
        <f>Lcode_mapping!H283</f>
        <v>R</v>
      </c>
      <c r="H283">
        <f>Lcode_mapping!I283</f>
        <v>5</v>
      </c>
      <c r="I283" t="str">
        <f>Lcode_mapping!J283</f>
        <v>Lunar geocentric coordinates.</v>
      </c>
      <c r="J283" t="str">
        <f>Lcode_mapping!K283</f>
        <v>Scan</v>
      </c>
      <c r="K283" t="str">
        <f>Lcode_mapping!L283</f>
        <v>-</v>
      </c>
      <c r="L283" t="str">
        <f>Lcode_mapping!M283</f>
        <v>k</v>
      </c>
      <c r="M283" t="str">
        <f>Lcode_mapping!N283</f>
        <v>-</v>
      </c>
      <c r="N283" t="str">
        <f>Lcode_mapping!O283</f>
        <v>Scan</v>
      </c>
      <c r="O283" t="str">
        <f>Lcode_mapping!P283</f>
        <v>Ephemeris_kDE405JPL</v>
      </c>
      <c r="P283" t="str">
        <f>Lcode_mapping!Q283</f>
        <v>-</v>
      </c>
      <c r="Q283" t="str">
        <f>Lcode_mapping!R283</f>
        <v>MoonXYZ</v>
      </c>
      <c r="R283" t="str">
        <f>Lcode_mapping!S283</f>
        <v>-</v>
      </c>
      <c r="S283" t="str">
        <f>Lcode_mapping!T283</f>
        <v>-</v>
      </c>
      <c r="T283">
        <f>Lcode_mapping!U283</f>
        <v>2</v>
      </c>
      <c r="U283" t="str">
        <f>Lcode_mapping!V283</f>
        <v>Meter</v>
      </c>
      <c r="V283" t="str">
        <f>Lcode_mapping!W283</f>
        <v>2.d0 1.d-3  1.d-6</v>
      </c>
    </row>
    <row r="284" spans="1:22" ht="15" customHeight="1" x14ac:dyDescent="0.25">
      <c r="A284">
        <f>Lcode_mapping!A284</f>
        <v>106</v>
      </c>
      <c r="B284">
        <f>Lcode_mapping!B284</f>
        <v>2</v>
      </c>
      <c r="C284" t="str">
        <f>Lcode_mapping!D284</f>
        <v>SUN DATA</v>
      </c>
      <c r="D284">
        <f>Lcode_mapping!E284</f>
        <v>3</v>
      </c>
      <c r="E284">
        <f>Lcode_mapping!F284</f>
        <v>2</v>
      </c>
      <c r="F284">
        <f>Lcode_mapping!G284</f>
        <v>1</v>
      </c>
      <c r="G284" t="str">
        <f>Lcode_mapping!H284</f>
        <v>R</v>
      </c>
      <c r="H284">
        <f>Lcode_mapping!I284</f>
        <v>5</v>
      </c>
      <c r="I284" t="str">
        <f>Lcode_mapping!J284</f>
        <v>Solar geocentric coordinates.</v>
      </c>
      <c r="J284" t="str">
        <f>Lcode_mapping!K284</f>
        <v>Scan</v>
      </c>
      <c r="K284" t="str">
        <f>Lcode_mapping!L284</f>
        <v>-</v>
      </c>
      <c r="L284" t="str">
        <f>Lcode_mapping!M284</f>
        <v>k</v>
      </c>
      <c r="M284" t="str">
        <f>Lcode_mapping!N284</f>
        <v>-</v>
      </c>
      <c r="N284" t="str">
        <f>Lcode_mapping!O284</f>
        <v>Scan</v>
      </c>
      <c r="O284" t="str">
        <f>Lcode_mapping!P284</f>
        <v>Ephemeris_kDE405JPL</v>
      </c>
      <c r="P284" t="str">
        <f>Lcode_mapping!Q284</f>
        <v>-</v>
      </c>
      <c r="Q284" t="str">
        <f>Lcode_mapping!R284</f>
        <v>SunXYZ</v>
      </c>
      <c r="R284" t="str">
        <f>Lcode_mapping!S284</f>
        <v>-</v>
      </c>
      <c r="S284" t="str">
        <f>Lcode_mapping!T284</f>
        <v>-</v>
      </c>
      <c r="T284">
        <f>Lcode_mapping!U284</f>
        <v>2</v>
      </c>
      <c r="U284" t="str">
        <f>Lcode_mapping!V284</f>
        <v>Meter</v>
      </c>
      <c r="V284" t="str">
        <f>Lcode_mapping!W284</f>
        <v>2.d0 1.d-3  1.d-6</v>
      </c>
    </row>
    <row r="285" spans="1:22" ht="15" customHeight="1" x14ac:dyDescent="0.25">
      <c r="A285">
        <f>Lcode_mapping!A285</f>
        <v>102</v>
      </c>
      <c r="B285">
        <f>Lcode_mapping!B285</f>
        <v>2</v>
      </c>
      <c r="C285" t="str">
        <f>Lcode_mapping!D285</f>
        <v>POLAR XY</v>
      </c>
      <c r="D285">
        <f>Lcode_mapping!E285</f>
        <v>2</v>
      </c>
      <c r="E285">
        <f>Lcode_mapping!F285</f>
        <v>1</v>
      </c>
      <c r="F285">
        <f>Lcode_mapping!G285</f>
        <v>1</v>
      </c>
      <c r="G285" t="str">
        <f>Lcode_mapping!H285</f>
        <v>R</v>
      </c>
      <c r="H285">
        <f>Lcode_mapping!I285</f>
        <v>5</v>
      </c>
      <c r="I285" t="str">
        <f>Lcode_mapping!J285</f>
        <v>Polar motion X &amp; Y for obs (rad)</v>
      </c>
      <c r="J285" t="str">
        <f>Lcode_mapping!K285</f>
        <v>Scan</v>
      </c>
      <c r="K285" t="str">
        <f>Lcode_mapping!L285</f>
        <v>-</v>
      </c>
      <c r="L285" t="str">
        <f>Lcode_mapping!M285</f>
        <v>k</v>
      </c>
      <c r="M285" t="str">
        <f>Lcode_mapping!N285</f>
        <v>-</v>
      </c>
      <c r="N285" t="str">
        <f>Lcode_mapping!O285</f>
        <v>Scan</v>
      </c>
      <c r="O285" t="str">
        <f>Lcode_mapping!P285</f>
        <v>ERPApriori</v>
      </c>
      <c r="P285" t="str">
        <f>Lcode_mapping!Q285</f>
        <v>Y</v>
      </c>
      <c r="Q285" t="str">
        <f>Lcode_mapping!R285</f>
        <v>PolarMotion</v>
      </c>
      <c r="R285" t="str">
        <f>Lcode_mapping!S285</f>
        <v>-</v>
      </c>
      <c r="S285" t="str">
        <f>Lcode_mapping!T285</f>
        <v>-</v>
      </c>
      <c r="T285">
        <f>Lcode_mapping!U285</f>
        <v>1</v>
      </c>
      <c r="U285" t="str">
        <f>Lcode_mapping!V285</f>
        <v>radian</v>
      </c>
      <c r="V285" t="str">
        <f>Lcode_mapping!W285</f>
        <v>1.d-12</v>
      </c>
    </row>
    <row r="286" spans="1:22" ht="15" customHeight="1" x14ac:dyDescent="0.25">
      <c r="A286">
        <f>Lcode_mapping!A286</f>
        <v>103</v>
      </c>
      <c r="B286">
        <f>Lcode_mapping!B286</f>
        <v>2</v>
      </c>
      <c r="C286" t="str">
        <f>Lcode_mapping!D286</f>
        <v>UT1 -TAI</v>
      </c>
      <c r="D286">
        <f>Lcode_mapping!E286</f>
        <v>1</v>
      </c>
      <c r="E286">
        <f>Lcode_mapping!F286</f>
        <v>1</v>
      </c>
      <c r="F286">
        <f>Lcode_mapping!G286</f>
        <v>1</v>
      </c>
      <c r="G286" t="str">
        <f>Lcode_mapping!H286</f>
        <v>R</v>
      </c>
      <c r="H286">
        <f>Lcode_mapping!I286</f>
        <v>5</v>
      </c>
      <c r="I286" t="str">
        <f>Lcode_mapping!J286</f>
        <v>UT1 time of day for this obsvr.</v>
      </c>
      <c r="J286" t="str">
        <f>Lcode_mapping!K286</f>
        <v>Scan</v>
      </c>
      <c r="K286" t="str">
        <f>Lcode_mapping!L286</f>
        <v>-</v>
      </c>
      <c r="L286" t="str">
        <f>Lcode_mapping!M286</f>
        <v>k</v>
      </c>
      <c r="M286" t="str">
        <f>Lcode_mapping!N286</f>
        <v>-</v>
      </c>
      <c r="N286" t="str">
        <f>Lcode_mapping!O286</f>
        <v>Scan</v>
      </c>
      <c r="O286" t="str">
        <f>Lcode_mapping!P286</f>
        <v>ERPApriori</v>
      </c>
      <c r="P286" t="str">
        <f>Lcode_mapping!Q286</f>
        <v>Y</v>
      </c>
      <c r="Q286" t="str">
        <f>Lcode_mapping!R286</f>
        <v>UT1</v>
      </c>
      <c r="R286" t="str">
        <f>Lcode_mapping!S286</f>
        <v>-</v>
      </c>
      <c r="S286" t="str">
        <f>Lcode_mapping!T286</f>
        <v>-</v>
      </c>
      <c r="T286">
        <f>Lcode_mapping!U286</f>
        <v>1</v>
      </c>
      <c r="U286" t="str">
        <f>Lcode_mapping!V286</f>
        <v>second</v>
      </c>
      <c r="V286" t="str">
        <f>Lcode_mapping!W286</f>
        <v>1.d-11</v>
      </c>
    </row>
    <row r="287" spans="1:22" ht="15" customHeight="1" x14ac:dyDescent="0.25">
      <c r="A287">
        <f>Lcode_mapping!A287</f>
        <v>107</v>
      </c>
      <c r="B287">
        <f>Lcode_mapping!B287</f>
        <v>2</v>
      </c>
      <c r="C287" t="str">
        <f>Lcode_mapping!D287</f>
        <v>NUT2006A</v>
      </c>
      <c r="D287">
        <f>Lcode_mapping!E287</f>
        <v>2</v>
      </c>
      <c r="E287">
        <f>Lcode_mapping!F287</f>
        <v>2</v>
      </c>
      <c r="F287">
        <f>Lcode_mapping!G287</f>
        <v>1</v>
      </c>
      <c r="G287" t="str">
        <f>Lcode_mapping!H287</f>
        <v>R</v>
      </c>
      <c r="H287">
        <f>Lcode_mapping!I287</f>
        <v>5</v>
      </c>
      <c r="I287" t="str">
        <f>Lcode_mapping!J287</f>
        <v>IAU2006A Nut. - Dpsi  Deps  Rates</v>
      </c>
      <c r="J287" t="str">
        <f>Lcode_mapping!K287</f>
        <v>Scan</v>
      </c>
      <c r="K287" t="str">
        <f>Lcode_mapping!L287</f>
        <v>-</v>
      </c>
      <c r="L287" t="str">
        <f>Lcode_mapping!M287</f>
        <v>K</v>
      </c>
      <c r="M287" t="str">
        <f>Lcode_mapping!N287</f>
        <v>Solve</v>
      </c>
      <c r="N287" t="str">
        <f>Lcode_mapping!O287</f>
        <v>Scan</v>
      </c>
      <c r="O287" t="str">
        <f>Lcode_mapping!P287</f>
        <v>NutationEQX_kIAU2006</v>
      </c>
      <c r="P287" t="str">
        <f>Lcode_mapping!Q287</f>
        <v>Y</v>
      </c>
      <c r="Q287" t="str">
        <f>Lcode_mapping!R287</f>
        <v>NutationEQX</v>
      </c>
      <c r="R287" t="str">
        <f>Lcode_mapping!S287</f>
        <v>NutationPsi NutationEps</v>
      </c>
      <c r="S287" t="str">
        <f>Lcode_mapping!T287</f>
        <v>IAU2006A Nut. - Dpsi  Deps  Rates</v>
      </c>
      <c r="T287">
        <f>Lcode_mapping!U287</f>
        <v>2</v>
      </c>
      <c r="U287" t="str">
        <f>Lcode_mapping!V287</f>
        <v>-</v>
      </c>
      <c r="V287" t="str">
        <f>Lcode_mapping!W287</f>
        <v>1.d-16 1.d-21</v>
      </c>
    </row>
    <row r="288" spans="1:22" ht="15" customHeight="1" x14ac:dyDescent="0.25">
      <c r="A288">
        <f>Lcode_mapping!A288</f>
        <v>107</v>
      </c>
      <c r="B288">
        <f>Lcode_mapping!B288</f>
        <v>2</v>
      </c>
      <c r="C288" t="str">
        <f>Lcode_mapping!D288</f>
        <v>NUT2000A</v>
      </c>
      <c r="D288">
        <f>Lcode_mapping!E288</f>
        <v>2</v>
      </c>
      <c r="E288">
        <f>Lcode_mapping!F288</f>
        <v>2</v>
      </c>
      <c r="F288">
        <f>Lcode_mapping!G288</f>
        <v>1</v>
      </c>
      <c r="G288" t="str">
        <f>Lcode_mapping!H288</f>
        <v>R</v>
      </c>
      <c r="H288">
        <f>Lcode_mapping!I288</f>
        <v>5</v>
      </c>
      <c r="I288" t="str">
        <f>Lcode_mapping!J288</f>
        <v>IAU200A Nut. - Dpsi  Deps  Rates</v>
      </c>
      <c r="J288" t="str">
        <f>Lcode_mapping!K288</f>
        <v>Scan</v>
      </c>
      <c r="K288" t="str">
        <f>Lcode_mapping!L288</f>
        <v>-</v>
      </c>
      <c r="L288" t="str">
        <f>Lcode_mapping!M288</f>
        <v>K</v>
      </c>
      <c r="M288" t="str">
        <f>Lcode_mapping!N288</f>
        <v>Solve</v>
      </c>
      <c r="N288" t="str">
        <f>Lcode_mapping!O288</f>
        <v>Scan</v>
      </c>
      <c r="O288" t="str">
        <f>Lcode_mapping!P288</f>
        <v>NutationEQX_kIAU2000</v>
      </c>
      <c r="P288" t="str">
        <f>Lcode_mapping!Q288</f>
        <v>Y</v>
      </c>
      <c r="Q288" t="str">
        <f>Lcode_mapping!R288</f>
        <v>NutationEQX</v>
      </c>
      <c r="R288" t="str">
        <f>Lcode_mapping!S288</f>
        <v>NutationPsi NutationEps</v>
      </c>
      <c r="S288" t="str">
        <f>Lcode_mapping!T288</f>
        <v>IAU2000A Nut. - Dpsi  Deps  Rates</v>
      </c>
      <c r="T288">
        <f>Lcode_mapping!U288</f>
        <v>2</v>
      </c>
      <c r="U288" t="str">
        <f>Lcode_mapping!V288</f>
        <v>-</v>
      </c>
      <c r="V288" t="str">
        <f>Lcode_mapping!W288</f>
        <v>1.d-16 1.d-21</v>
      </c>
    </row>
    <row r="289" spans="1:22" ht="15" customHeight="1" x14ac:dyDescent="0.25">
      <c r="A289">
        <f>Lcode_mapping!A289</f>
        <v>109</v>
      </c>
      <c r="B289">
        <f>Lcode_mapping!B289</f>
        <v>2</v>
      </c>
      <c r="C289" t="str">
        <f>Lcode_mapping!D289</f>
        <v>NUT WAHR</v>
      </c>
      <c r="D289">
        <f>Lcode_mapping!E289</f>
        <v>2</v>
      </c>
      <c r="E289">
        <f>Lcode_mapping!F289</f>
        <v>2</v>
      </c>
      <c r="F289">
        <f>Lcode_mapping!G289</f>
        <v>1</v>
      </c>
      <c r="G289" t="str">
        <f>Lcode_mapping!H289</f>
        <v>R</v>
      </c>
      <c r="H289">
        <f>Lcode_mapping!I289</f>
        <v>5</v>
      </c>
      <c r="I289" t="str">
        <f>Lcode_mapping!J289</f>
        <v>Wahr nut vals  - Dpsi Deps&amp;rates</v>
      </c>
      <c r="J289" t="str">
        <f>Lcode_mapping!K289</f>
        <v>Scan</v>
      </c>
      <c r="K289" t="str">
        <f>Lcode_mapping!L289</f>
        <v>-</v>
      </c>
      <c r="L289" t="str">
        <f>Lcode_mapping!M289</f>
        <v>K</v>
      </c>
      <c r="M289" t="str">
        <f>Lcode_mapping!N289</f>
        <v>Solve</v>
      </c>
      <c r="N289" t="str">
        <f>Lcode_mapping!O289</f>
        <v>Scan</v>
      </c>
      <c r="O289" t="str">
        <f>Lcode_mapping!P289</f>
        <v>NutationEQX_kWahr</v>
      </c>
      <c r="P289" t="str">
        <f>Lcode_mapping!Q289</f>
        <v>Y</v>
      </c>
      <c r="Q289" t="str">
        <f>Lcode_mapping!R289</f>
        <v>NutationEQX</v>
      </c>
      <c r="R289" t="str">
        <f>Lcode_mapping!S289</f>
        <v>NutationPsi NutationEps</v>
      </c>
      <c r="S289" t="str">
        <f>Lcode_mapping!T289</f>
        <v>-</v>
      </c>
      <c r="T289">
        <f>Lcode_mapping!U289</f>
        <v>2</v>
      </c>
      <c r="U289" t="str">
        <f>Lcode_mapping!V289</f>
        <v>-</v>
      </c>
      <c r="V289" t="str">
        <f>Lcode_mapping!W289</f>
        <v xml:space="preserve">1.d-16 1.d-20  </v>
      </c>
    </row>
    <row r="290" spans="1:22" ht="15" customHeight="1" x14ac:dyDescent="0.25">
      <c r="A290">
        <f>Lcode_mapping!A290</f>
        <v>108</v>
      </c>
      <c r="B290">
        <f>Lcode_mapping!B290</f>
        <v>2</v>
      </c>
      <c r="C290" t="str">
        <f>Lcode_mapping!D290</f>
        <v>NUT2KXYS</v>
      </c>
      <c r="D290">
        <f>Lcode_mapping!E290</f>
        <v>3</v>
      </c>
      <c r="E290">
        <f>Lcode_mapping!F290</f>
        <v>2</v>
      </c>
      <c r="F290">
        <f>Lcode_mapping!G290</f>
        <v>1</v>
      </c>
      <c r="G290" t="str">
        <f>Lcode_mapping!H290</f>
        <v>R</v>
      </c>
      <c r="H290">
        <f>Lcode_mapping!I290</f>
        <v>5</v>
      </c>
      <c r="I290" t="str">
        <f>Lcode_mapping!J290</f>
        <v>CIP Coordinates X Y S  and Rates</v>
      </c>
      <c r="J290" t="str">
        <f>Lcode_mapping!K290</f>
        <v>Scan</v>
      </c>
      <c r="K290" t="str">
        <f>Lcode_mapping!L290</f>
        <v>-</v>
      </c>
      <c r="L290" t="str">
        <f>Lcode_mapping!M290</f>
        <v>K</v>
      </c>
      <c r="M290" t="str">
        <f>Lcode_mapping!N290</f>
        <v>Solve</v>
      </c>
      <c r="N290" t="str">
        <f>Lcode_mapping!O290</f>
        <v>Scan</v>
      </c>
      <c r="O290" t="str">
        <f>Lcode_mapping!P290</f>
        <v>NutationNRO_kIAU2000</v>
      </c>
      <c r="P290" t="str">
        <f>Lcode_mapping!Q290</f>
        <v>Y</v>
      </c>
      <c r="Q290" t="str">
        <f>Lcode_mapping!R290</f>
        <v>NutationNRO</v>
      </c>
      <c r="R290" t="str">
        <f>Lcode_mapping!S290</f>
        <v>NutationX NutationY NutationS</v>
      </c>
      <c r="S290" t="str">
        <f>Lcode_mapping!T290</f>
        <v>-</v>
      </c>
      <c r="T290">
        <f>Lcode_mapping!U290</f>
        <v>2</v>
      </c>
      <c r="U290" t="str">
        <f>Lcode_mapping!V290</f>
        <v>-</v>
      </c>
      <c r="V290" t="str">
        <f>Lcode_mapping!W290</f>
        <v xml:space="preserve">1.d-16 1.d-20 2.d-24             </v>
      </c>
    </row>
    <row r="291" spans="1:22" ht="15" customHeight="1" x14ac:dyDescent="0.25">
      <c r="A291">
        <f>Lcode_mapping!A291</f>
        <v>107</v>
      </c>
      <c r="B291">
        <f>Lcode_mapping!B291</f>
        <v>2</v>
      </c>
      <c r="C291" t="str">
        <f>Lcode_mapping!D291</f>
        <v>NUT06XYS</v>
      </c>
      <c r="D291">
        <f>Lcode_mapping!E291</f>
        <v>3</v>
      </c>
      <c r="E291">
        <f>Lcode_mapping!F291</f>
        <v>2</v>
      </c>
      <c r="F291">
        <f>Lcode_mapping!G291</f>
        <v>1</v>
      </c>
      <c r="G291" t="str">
        <f>Lcode_mapping!H291</f>
        <v>R</v>
      </c>
      <c r="H291">
        <f>Lcode_mapping!I291</f>
        <v>5</v>
      </c>
      <c r="I291" t="str">
        <f>Lcode_mapping!J291</f>
        <v>2000/2006 Nut/Prec X,Y, S &amp; Rates</v>
      </c>
      <c r="J291" t="str">
        <f>Lcode_mapping!K291</f>
        <v>Scan</v>
      </c>
      <c r="K291" t="str">
        <f>Lcode_mapping!L291</f>
        <v>-</v>
      </c>
      <c r="L291" t="str">
        <f>Lcode_mapping!M291</f>
        <v>K</v>
      </c>
      <c r="M291" t="str">
        <f>Lcode_mapping!N291</f>
        <v>Solve</v>
      </c>
      <c r="N291" t="str">
        <f>Lcode_mapping!O291</f>
        <v>Scan</v>
      </c>
      <c r="O291" t="str">
        <f>Lcode_mapping!P291</f>
        <v>NutationNRO_kIAU2006</v>
      </c>
      <c r="P291" t="str">
        <f>Lcode_mapping!Q291</f>
        <v>Y</v>
      </c>
      <c r="Q291" t="str">
        <f>Lcode_mapping!R291</f>
        <v>NutationNRO</v>
      </c>
      <c r="R291" t="str">
        <f>Lcode_mapping!S291</f>
        <v>NutationX NutationY NutationS</v>
      </c>
      <c r="S291" t="str">
        <f>Lcode_mapping!T291</f>
        <v>-</v>
      </c>
      <c r="T291">
        <f>Lcode_mapping!U291</f>
        <v>2</v>
      </c>
      <c r="U291" t="str">
        <f>Lcode_mapping!V291</f>
        <v>-</v>
      </c>
      <c r="V291" t="str">
        <f>Lcode_mapping!W291</f>
        <v>1.d-16 1.d-21</v>
      </c>
    </row>
    <row r="292" spans="1:22" ht="15" customHeight="1" x14ac:dyDescent="0.25">
      <c r="A292">
        <f>Lcode_mapping!A292</f>
        <v>110</v>
      </c>
      <c r="B292">
        <f>Lcode_mapping!B292</f>
        <v>2</v>
      </c>
      <c r="C292" t="str">
        <f>Lcode_mapping!D292</f>
        <v>CF2J2K</v>
      </c>
      <c r="D292">
        <f>Lcode_mapping!E292</f>
        <v>3</v>
      </c>
      <c r="E292">
        <f>Lcode_mapping!F292</f>
        <v>3</v>
      </c>
      <c r="F292">
        <f>Lcode_mapping!G292</f>
        <v>3</v>
      </c>
      <c r="G292" t="str">
        <f>Lcode_mapping!H292</f>
        <v>R</v>
      </c>
      <c r="H292">
        <f>Lcode_mapping!I292</f>
        <v>5</v>
      </c>
      <c r="I292" t="str">
        <f>Lcode_mapping!J292</f>
        <v>Crust-fixed-to-J2000 Rot. Matrix</v>
      </c>
      <c r="J292" t="str">
        <f>Lcode_mapping!K292</f>
        <v>Scan</v>
      </c>
      <c r="K292" t="str">
        <f>Lcode_mapping!L292</f>
        <v>-</v>
      </c>
      <c r="L292" t="str">
        <f>Lcode_mapping!M292</f>
        <v>K</v>
      </c>
      <c r="M292" t="str">
        <f>Lcode_mapping!N292</f>
        <v>-</v>
      </c>
      <c r="N292" t="str">
        <f>Lcode_mapping!O292</f>
        <v>Scan</v>
      </c>
      <c r="O292" t="str">
        <f>Lcode_mapping!P292</f>
        <v>Rot-CF2J2K</v>
      </c>
      <c r="P292" t="str">
        <f>Lcode_mapping!Q292</f>
        <v>-</v>
      </c>
      <c r="Q292" t="str">
        <f>Lcode_mapping!R292</f>
        <v>Rot-CF2J2K</v>
      </c>
      <c r="R292" t="str">
        <f>Lcode_mapping!S292</f>
        <v>-</v>
      </c>
      <c r="S292" t="str">
        <f>Lcode_mapping!T292</f>
        <v>Crust-fixed to J2000 Rot. Matrix and deriviatives</v>
      </c>
      <c r="T292">
        <f>Lcode_mapping!U292</f>
        <v>3</v>
      </c>
      <c r="U292" t="str">
        <f>Lcode_mapping!V292</f>
        <v>-</v>
      </c>
      <c r="V292" t="str">
        <f>Lcode_mapping!W292</f>
        <v xml:space="preserve">1.d-16 1.d-20 2.d-24             </v>
      </c>
    </row>
    <row r="293" spans="1:22" ht="15" customHeight="1" x14ac:dyDescent="0.25">
      <c r="A293">
        <f>Lcode_mapping!A293</f>
        <v>111</v>
      </c>
      <c r="B293">
        <f>Lcode_mapping!B293</f>
        <v>2</v>
      </c>
      <c r="C293" t="str">
        <f>Lcode_mapping!D293</f>
        <v>SCANNAME</v>
      </c>
      <c r="D293">
        <f>Lcode_mapping!E293</f>
        <v>5</v>
      </c>
      <c r="E293">
        <f>Lcode_mapping!F293</f>
        <v>1</v>
      </c>
      <c r="F293">
        <f>Lcode_mapping!G293</f>
        <v>1</v>
      </c>
      <c r="G293" t="str">
        <f>Lcode_mapping!H293</f>
        <v>A</v>
      </c>
      <c r="H293">
        <f>Lcode_mapping!I293</f>
        <v>1</v>
      </c>
      <c r="I293" t="str">
        <f>Lcode_mapping!J293</f>
        <v>Scan name .</v>
      </c>
      <c r="J293" t="str">
        <f>Lcode_mapping!K293</f>
        <v>Scan</v>
      </c>
      <c r="K293" t="str">
        <f>Lcode_mapping!L293</f>
        <v>-</v>
      </c>
      <c r="L293" t="str">
        <f>Lcode_mapping!M293</f>
        <v>k</v>
      </c>
      <c r="M293" t="str">
        <f>Lcode_mapping!N293</f>
        <v>Solve</v>
      </c>
      <c r="N293" t="str">
        <f>Lcode_mapping!O293</f>
        <v>Scan</v>
      </c>
      <c r="O293" t="str">
        <f>Lcode_mapping!P293</f>
        <v>ScanName</v>
      </c>
      <c r="P293" t="str">
        <f>Lcode_mapping!Q293</f>
        <v>-</v>
      </c>
      <c r="Q293" t="str">
        <f>Lcode_mapping!R293</f>
        <v>ScanName</v>
      </c>
      <c r="R293" t="str">
        <f>Lcode_mapping!S293</f>
        <v>-</v>
      </c>
      <c r="S293" t="str">
        <f>Lcode_mapping!T293</f>
        <v>Scanname in database</v>
      </c>
      <c r="T293" t="str">
        <f>Lcode_mapping!U293</f>
        <v>-</v>
      </c>
      <c r="U293" t="str">
        <f>Lcode_mapping!V293</f>
        <v>-</v>
      </c>
      <c r="V293" t="str">
        <f>Lcode_mapping!W293</f>
        <v>-</v>
      </c>
    </row>
    <row r="294" spans="1:22" ht="15" customHeight="1" x14ac:dyDescent="0.25">
      <c r="A294">
        <f>Lcode_mapping!A294</f>
        <v>112</v>
      </c>
      <c r="B294" t="str">
        <f>Lcode_mapping!B294</f>
        <v>N</v>
      </c>
      <c r="C294" t="str">
        <f>Lcode_mapping!D294</f>
        <v>ScanNameFull</v>
      </c>
      <c r="D294">
        <f>Lcode_mapping!E294</f>
        <v>15</v>
      </c>
      <c r="E294">
        <f>Lcode_mapping!F294</f>
        <v>1</v>
      </c>
      <c r="F294">
        <f>Lcode_mapping!G294</f>
        <v>1</v>
      </c>
      <c r="G294" t="str">
        <f>Lcode_mapping!H294</f>
        <v>A</v>
      </c>
      <c r="H294" t="str">
        <f>Lcode_mapping!I294</f>
        <v>N</v>
      </c>
      <c r="I294" t="str">
        <f>Lcode_mapping!J294</f>
        <v>-</v>
      </c>
      <c r="J294" t="str">
        <f>Lcode_mapping!K294</f>
        <v>Scan</v>
      </c>
      <c r="K294" t="str">
        <f>Lcode_mapping!L294</f>
        <v xml:space="preserve">New Lcode  </v>
      </c>
      <c r="L294" t="str">
        <f>Lcode_mapping!M294</f>
        <v>N</v>
      </c>
      <c r="M294" t="str">
        <f>Lcode_mapping!N294</f>
        <v>Solve</v>
      </c>
      <c r="N294" t="str">
        <f>Lcode_mapping!O294</f>
        <v>Scan</v>
      </c>
      <c r="O294" t="str">
        <f>Lcode_mapping!P294</f>
        <v>ScanName</v>
      </c>
      <c r="P294" t="str">
        <f>Lcode_mapping!Q294</f>
        <v>-</v>
      </c>
      <c r="Q294" t="str">
        <f>Lcode_mapping!R294</f>
        <v>-</v>
      </c>
      <c r="R294" t="str">
        <f>Lcode_mapping!S294</f>
        <v>-</v>
      </c>
      <c r="S294" t="str">
        <f>Lcode_mapping!T294</f>
        <v>ScanName=UTC TimeTag + SourceName</v>
      </c>
      <c r="T294">
        <f>Lcode_mapping!U294</f>
        <v>0</v>
      </c>
      <c r="U294">
        <f>Lcode_mapping!V294</f>
        <v>0</v>
      </c>
      <c r="V294">
        <f>Lcode_mapping!W294</f>
        <v>0</v>
      </c>
    </row>
    <row r="295" spans="1:22" ht="15" customHeight="1" x14ac:dyDescent="0.25">
      <c r="A295">
        <f>Lcode_mapping!A295</f>
        <v>113</v>
      </c>
      <c r="B295" t="str">
        <f>Lcode_mapping!B295</f>
        <v>N</v>
      </c>
      <c r="C295" t="str">
        <f>Lcode_mapping!D295</f>
        <v>ScanTimeSecond</v>
      </c>
      <c r="D295">
        <f>Lcode_mapping!E295</f>
        <v>1</v>
      </c>
      <c r="E295">
        <f>Lcode_mapping!F295</f>
        <v>1</v>
      </c>
      <c r="F295">
        <f>Lcode_mapping!G295</f>
        <v>1</v>
      </c>
      <c r="G295" t="str">
        <f>Lcode_mapping!H295</f>
        <v>R</v>
      </c>
      <c r="H295" t="str">
        <f>Lcode_mapping!I295</f>
        <v>N</v>
      </c>
      <c r="I295" t="str">
        <f>Lcode_mapping!J295</f>
        <v>-</v>
      </c>
      <c r="J295" t="str">
        <f>Lcode_mapping!K295</f>
        <v>Scan</v>
      </c>
      <c r="K295" t="str">
        <f>Lcode_mapping!L295</f>
        <v xml:space="preserve">New Lcode  </v>
      </c>
      <c r="L295" t="str">
        <f>Lcode_mapping!M295</f>
        <v>N</v>
      </c>
      <c r="M295" t="str">
        <f>Lcode_mapping!N295</f>
        <v>Solve</v>
      </c>
      <c r="N295" t="str">
        <f>Lcode_mapping!O295</f>
        <v>Scan</v>
      </c>
      <c r="O295" t="str">
        <f>Lcode_mapping!P295</f>
        <v>TimeUTC</v>
      </c>
      <c r="P295" t="str">
        <f>Lcode_mapping!Q295</f>
        <v>-</v>
      </c>
      <c r="Q295" t="str">
        <f>Lcode_mapping!R295</f>
        <v>Second</v>
      </c>
      <c r="R295" t="str">
        <f>Lcode_mapping!S295</f>
        <v>-</v>
      </c>
      <c r="S295" t="str">
        <f>Lcode_mapping!T295</f>
        <v>Seconds part of time tag for scan</v>
      </c>
      <c r="T295" t="str">
        <f>Lcode_mapping!U295</f>
        <v>-</v>
      </c>
      <c r="U295" t="str">
        <f>Lcode_mapping!V295</f>
        <v>S</v>
      </c>
      <c r="V295" t="str">
        <f>Lcode_mapping!W295</f>
        <v>-</v>
      </c>
    </row>
    <row r="296" spans="1:22" ht="15" customHeight="1" x14ac:dyDescent="0.25">
      <c r="A296">
        <f>Lcode_mapping!A296</f>
        <v>114</v>
      </c>
      <c r="B296" t="str">
        <f>Lcode_mapping!B296</f>
        <v>N</v>
      </c>
      <c r="C296" t="str">
        <f>Lcode_mapping!D296</f>
        <v>ScanTimeYMDHM</v>
      </c>
      <c r="D296">
        <f>Lcode_mapping!E296</f>
        <v>5</v>
      </c>
      <c r="E296">
        <f>Lcode_mapping!F296</f>
        <v>1</v>
      </c>
      <c r="F296">
        <f>Lcode_mapping!G296</f>
        <v>1</v>
      </c>
      <c r="G296" t="str">
        <f>Lcode_mapping!H296</f>
        <v>I</v>
      </c>
      <c r="H296" t="str">
        <f>Lcode_mapping!I296</f>
        <v>N</v>
      </c>
      <c r="I296" t="str">
        <f>Lcode_mapping!J296</f>
        <v>-</v>
      </c>
      <c r="J296" t="str">
        <f>Lcode_mapping!K296</f>
        <v>Scan</v>
      </c>
      <c r="K296" t="str">
        <f>Lcode_mapping!L296</f>
        <v xml:space="preserve">New Lcode  </v>
      </c>
      <c r="L296" t="str">
        <f>Lcode_mapping!M296</f>
        <v>N</v>
      </c>
      <c r="M296" t="str">
        <f>Lcode_mapping!N296</f>
        <v>Solve</v>
      </c>
      <c r="N296" t="str">
        <f>Lcode_mapping!O296</f>
        <v>Scan</v>
      </c>
      <c r="O296" t="str">
        <f>Lcode_mapping!P296</f>
        <v>TimeUTC</v>
      </c>
      <c r="P296" t="str">
        <f>Lcode_mapping!Q296</f>
        <v>-</v>
      </c>
      <c r="Q296" t="str">
        <f>Lcode_mapping!R296</f>
        <v>YMDHM</v>
      </c>
      <c r="R296" t="str">
        <f>Lcode_mapping!S296</f>
        <v>-</v>
      </c>
      <c r="S296" t="str">
        <f>Lcode_mapping!T296</f>
        <v>YMDHM time tag of scan</v>
      </c>
      <c r="T296" t="str">
        <f>Lcode_mapping!U296</f>
        <v>-</v>
      </c>
      <c r="U296" t="str">
        <f>Lcode_mapping!V296</f>
        <v>YMDHM</v>
      </c>
      <c r="V296" t="str">
        <f>Lcode_mapping!W296</f>
        <v>-</v>
      </c>
    </row>
    <row r="297" spans="1:22" ht="15" customHeight="1" x14ac:dyDescent="0.25">
      <c r="A297">
        <f>Lcode_mapping!A297</f>
        <v>215</v>
      </c>
      <c r="B297">
        <f>Lcode_mapping!B297</f>
        <v>1</v>
      </c>
      <c r="C297" t="str">
        <f>Lcode_mapping!D297</f>
        <v>BRK_NUMB</v>
      </c>
      <c r="D297">
        <f>Lcode_mapping!E297</f>
        <v>1</v>
      </c>
      <c r="E297">
        <f>Lcode_mapping!F297</f>
        <v>1</v>
      </c>
      <c r="F297">
        <f>Lcode_mapping!G297</f>
        <v>1</v>
      </c>
      <c r="G297" t="str">
        <f>Lcode_mapping!H297</f>
        <v>I</v>
      </c>
      <c r="H297">
        <f>Lcode_mapping!I297</f>
        <v>4</v>
      </c>
      <c r="I297" t="str">
        <f>Lcode_mapping!J297</f>
        <v>Number of batchmode clock breaks</v>
      </c>
      <c r="J297" t="str">
        <f>Lcode_mapping!K297</f>
        <v>Session</v>
      </c>
      <c r="K297" t="str">
        <f>Lcode_mapping!L297</f>
        <v>Part of (CLKBREAK, BRK_STAT,BRK_EPOC, BRK_NUMB).</v>
      </c>
      <c r="L297" t="str">
        <f>Lcode_mapping!M297</f>
        <v>K</v>
      </c>
      <c r="M297" t="str">
        <f>Lcode_mapping!N297</f>
        <v>NGS</v>
      </c>
      <c r="N297" t="str">
        <f>Lcode_mapping!O297</f>
        <v>Session</v>
      </c>
      <c r="O297" t="str">
        <f>Lcode_mapping!P297</f>
        <v>ClockBreak</v>
      </c>
      <c r="P297" t="str">
        <f>Lcode_mapping!Q297</f>
        <v>-</v>
      </c>
      <c r="Q297" t="str">
        <f>Lcode_mapping!R297</f>
        <v>-</v>
      </c>
      <c r="R297" t="str">
        <f>Lcode_mapping!S297</f>
        <v>-</v>
      </c>
      <c r="S297" t="str">
        <f>Lcode_mapping!T297</f>
        <v>-</v>
      </c>
      <c r="T297" t="str">
        <f>Lcode_mapping!U297</f>
        <v>-</v>
      </c>
      <c r="U297" t="str">
        <f>Lcode_mapping!V297</f>
        <v>-</v>
      </c>
      <c r="V297" t="str">
        <f>Lcode_mapping!W297</f>
        <v>-</v>
      </c>
    </row>
    <row r="298" spans="1:22" ht="15" customHeight="1" x14ac:dyDescent="0.25">
      <c r="A298">
        <f>Lcode_mapping!A298</f>
        <v>219</v>
      </c>
      <c r="B298">
        <f>Lcode_mapping!B298</f>
        <v>1</v>
      </c>
      <c r="C298" t="str">
        <f>Lcode_mapping!D298</f>
        <v>CLKBREAK</v>
      </c>
      <c r="D298">
        <f>Lcode_mapping!E298</f>
        <v>1</v>
      </c>
      <c r="E298">
        <f>Lcode_mapping!F298</f>
        <v>1</v>
      </c>
      <c r="F298">
        <f>Lcode_mapping!G298</f>
        <v>1</v>
      </c>
      <c r="G298" t="str">
        <f>Lcode_mapping!H298</f>
        <v>A</v>
      </c>
      <c r="H298">
        <f>Lcode_mapping!I298</f>
        <v>4</v>
      </c>
      <c r="I298" t="str">
        <f>Lcode_mapping!J298</f>
        <v>Status of clock break existence</v>
      </c>
      <c r="J298" t="str">
        <f>Lcode_mapping!K298</f>
        <v>Session</v>
      </c>
      <c r="K298" t="str">
        <f>Lcode_mapping!L298</f>
        <v>Part of (CLKBREAK, BRK_STAT,BRK_EPOC, BRK_NUMB).</v>
      </c>
      <c r="L298" t="str">
        <f>Lcode_mapping!M298</f>
        <v>K</v>
      </c>
      <c r="M298" t="str">
        <f>Lcode_mapping!N298</f>
        <v>Solve</v>
      </c>
      <c r="N298" t="str">
        <f>Lcode_mapping!O298</f>
        <v>Session</v>
      </c>
      <c r="O298" t="str">
        <f>Lcode_mapping!P298</f>
        <v>ClockBreak</v>
      </c>
      <c r="P298" t="str">
        <f>Lcode_mapping!Q298</f>
        <v>-</v>
      </c>
      <c r="Q298" t="str">
        <f>Lcode_mapping!R298</f>
        <v>-</v>
      </c>
      <c r="R298" t="str">
        <f>Lcode_mapping!S298</f>
        <v>-</v>
      </c>
      <c r="S298" t="str">
        <f>Lcode_mapping!T298</f>
        <v>-</v>
      </c>
      <c r="T298" t="str">
        <f>Lcode_mapping!U298</f>
        <v>-</v>
      </c>
      <c r="U298" t="str">
        <f>Lcode_mapping!V298</f>
        <v>-</v>
      </c>
      <c r="V298" t="str">
        <f>Lcode_mapping!W298</f>
        <v>-</v>
      </c>
    </row>
    <row r="299" spans="1:22" ht="15" customHeight="1" x14ac:dyDescent="0.25">
      <c r="A299">
        <f>Lcode_mapping!A299</f>
        <v>213</v>
      </c>
      <c r="B299">
        <f>Lcode_mapping!B299</f>
        <v>1</v>
      </c>
      <c r="C299" t="str">
        <f>Lcode_mapping!D299</f>
        <v>BRK_EPOC</v>
      </c>
      <c r="D299">
        <f>Lcode_mapping!E299</f>
        <v>1</v>
      </c>
      <c r="E299">
        <f>Lcode_mapping!F299</f>
        <v>1</v>
      </c>
      <c r="F299">
        <f>Lcode_mapping!G299</f>
        <v>1</v>
      </c>
      <c r="G299" t="str">
        <f>Lcode_mapping!H299</f>
        <v>R</v>
      </c>
      <c r="H299">
        <f>Lcode_mapping!I299</f>
        <v>4</v>
      </c>
      <c r="I299" t="str">
        <f>Lcode_mapping!J299</f>
        <v>Batchmode clock break epochs</v>
      </c>
      <c r="J299" t="str">
        <f>Lcode_mapping!K299</f>
        <v>Session</v>
      </c>
      <c r="K299" t="str">
        <f>Lcode_mapping!L299</f>
        <v>Part of (CLKBREAK, BRK_STAT,BRK_EPOC, BRK_NUMB).</v>
      </c>
      <c r="L299" t="str">
        <f>Lcode_mapping!M299</f>
        <v>K</v>
      </c>
      <c r="M299" t="str">
        <f>Lcode_mapping!N299</f>
        <v>NGS</v>
      </c>
      <c r="N299" t="str">
        <f>Lcode_mapping!O299</f>
        <v>Session</v>
      </c>
      <c r="O299" t="str">
        <f>Lcode_mapping!P299</f>
        <v>ClockBreak</v>
      </c>
      <c r="P299" t="str">
        <f>Lcode_mapping!Q299</f>
        <v>-</v>
      </c>
      <c r="Q299" t="str">
        <f>Lcode_mapping!R299</f>
        <v>ClockBreakEpoch</v>
      </c>
      <c r="R299" t="str">
        <f>Lcode_mapping!S299</f>
        <v>-</v>
      </c>
      <c r="S299" t="str">
        <f>Lcode_mapping!T299</f>
        <v>-</v>
      </c>
      <c r="T299" t="str">
        <f>Lcode_mapping!U299</f>
        <v>-</v>
      </c>
      <c r="U299" t="str">
        <f>Lcode_mapping!V299</f>
        <v>-</v>
      </c>
      <c r="V299" t="str">
        <f>Lcode_mapping!W299</f>
        <v>-</v>
      </c>
    </row>
    <row r="300" spans="1:22" ht="15" customHeight="1" x14ac:dyDescent="0.25">
      <c r="A300">
        <f>Lcode_mapping!A300</f>
        <v>214</v>
      </c>
      <c r="B300">
        <f>Lcode_mapping!B300</f>
        <v>1</v>
      </c>
      <c r="C300" t="str">
        <f>Lcode_mapping!D300</f>
        <v>BRK_FLAG</v>
      </c>
      <c r="D300">
        <f>Lcode_mapping!E300</f>
        <v>1</v>
      </c>
      <c r="E300">
        <f>Lcode_mapping!F300</f>
        <v>1</v>
      </c>
      <c r="F300">
        <f>Lcode_mapping!G300</f>
        <v>1</v>
      </c>
      <c r="G300" t="str">
        <f>Lcode_mapping!H300</f>
        <v>I</v>
      </c>
      <c r="H300">
        <f>Lcode_mapping!I300</f>
        <v>4</v>
      </c>
      <c r="I300" t="str">
        <f>Lcode_mapping!J300</f>
        <v>Batchmode clock break flags</v>
      </c>
      <c r="J300" t="str">
        <f>Lcode_mapping!K300</f>
        <v>Session</v>
      </c>
      <c r="K300" t="str">
        <f>Lcode_mapping!L300</f>
        <v>Part of (CLKBREAK, BRK_STAT,BRK_EPOC, BRK_NUMB).</v>
      </c>
      <c r="L300" t="str">
        <f>Lcode_mapping!M300</f>
        <v>K</v>
      </c>
      <c r="M300" t="str">
        <f>Lcode_mapping!N300</f>
        <v>NGS</v>
      </c>
      <c r="N300" t="str">
        <f>Lcode_mapping!O300</f>
        <v>Session</v>
      </c>
      <c r="O300" t="str">
        <f>Lcode_mapping!P300</f>
        <v>ClockBreak</v>
      </c>
      <c r="P300" t="str">
        <f>Lcode_mapping!Q300</f>
        <v>-</v>
      </c>
      <c r="Q300" t="str">
        <f>Lcode_mapping!R300</f>
        <v>ClockBreakFlag</v>
      </c>
      <c r="R300" t="str">
        <f>Lcode_mapping!S300</f>
        <v>-</v>
      </c>
      <c r="S300" t="str">
        <f>Lcode_mapping!T300</f>
        <v>-</v>
      </c>
      <c r="T300" t="str">
        <f>Lcode_mapping!U300</f>
        <v>-</v>
      </c>
      <c r="U300" t="str">
        <f>Lcode_mapping!V300</f>
        <v>-</v>
      </c>
      <c r="V300" t="str">
        <f>Lcode_mapping!W300</f>
        <v>-</v>
      </c>
    </row>
    <row r="301" spans="1:22" ht="15" customHeight="1" x14ac:dyDescent="0.25">
      <c r="A301">
        <f>Lcode_mapping!A301</f>
        <v>218</v>
      </c>
      <c r="B301">
        <f>Lcode_mapping!B301</f>
        <v>1</v>
      </c>
      <c r="C301" t="str">
        <f>Lcode_mapping!D301</f>
        <v>BRK_STAT</v>
      </c>
      <c r="D301">
        <f>Lcode_mapping!E301</f>
        <v>6</v>
      </c>
      <c r="E301">
        <f>Lcode_mapping!F301</f>
        <v>1</v>
      </c>
      <c r="F301">
        <f>Lcode_mapping!G301</f>
        <v>1</v>
      </c>
      <c r="G301" t="str">
        <f>Lcode_mapping!H301</f>
        <v>I</v>
      </c>
      <c r="H301">
        <f>Lcode_mapping!I301</f>
        <v>2</v>
      </c>
      <c r="I301" t="str">
        <f>Lcode_mapping!J301</f>
        <v>Batchmode clock break stations</v>
      </c>
      <c r="J301" t="str">
        <f>Lcode_mapping!K301</f>
        <v>Session</v>
      </c>
      <c r="K301" t="str">
        <f>Lcode_mapping!L301</f>
        <v>-</v>
      </c>
      <c r="L301" t="str">
        <f>Lcode_mapping!M301</f>
        <v>K</v>
      </c>
      <c r="M301" t="str">
        <f>Lcode_mapping!N301</f>
        <v>NGS</v>
      </c>
      <c r="N301" t="str">
        <f>Lcode_mapping!O301</f>
        <v>Session</v>
      </c>
      <c r="O301" t="str">
        <f>Lcode_mapping!P301</f>
        <v>ClockBreak</v>
      </c>
      <c r="P301" t="str">
        <f>Lcode_mapping!Q301</f>
        <v>-</v>
      </c>
      <c r="Q301" t="str">
        <f>Lcode_mapping!R301</f>
        <v>ClockBreakStationList</v>
      </c>
      <c r="R301" t="str">
        <f>Lcode_mapping!S301</f>
        <v>-</v>
      </c>
      <c r="S301" t="str">
        <f>Lcode_mapping!T301</f>
        <v>-</v>
      </c>
      <c r="T301" t="str">
        <f>Lcode_mapping!U301</f>
        <v>-</v>
      </c>
      <c r="U301" t="str">
        <f>Lcode_mapping!V301</f>
        <v>-</v>
      </c>
      <c r="V301" t="str">
        <f>Lcode_mapping!W301</f>
        <v>-</v>
      </c>
    </row>
    <row r="302" spans="1:22" ht="15" customHeight="1" x14ac:dyDescent="0.25">
      <c r="A302">
        <f>Lcode_mapping!A302</f>
        <v>217</v>
      </c>
      <c r="B302">
        <f>Lcode_mapping!B302</f>
        <v>1</v>
      </c>
      <c r="C302" t="str">
        <f>Lcode_mapping!D302</f>
        <v>BRK_SNAM</v>
      </c>
      <c r="D302">
        <f>Lcode_mapping!E302</f>
        <v>4</v>
      </c>
      <c r="E302">
        <f>Lcode_mapping!F302</f>
        <v>1</v>
      </c>
      <c r="F302">
        <f>Lcode_mapping!G302</f>
        <v>1</v>
      </c>
      <c r="G302" t="str">
        <f>Lcode_mapping!H302</f>
        <v>A</v>
      </c>
      <c r="H302">
        <f>Lcode_mapping!I302</f>
        <v>4</v>
      </c>
      <c r="I302" t="str">
        <f>Lcode_mapping!J302</f>
        <v>Batchmode clock break stations</v>
      </c>
      <c r="J302" t="str">
        <f>Lcode_mapping!K302</f>
        <v>Session</v>
      </c>
      <c r="K302" t="str">
        <f>Lcode_mapping!L302</f>
        <v>-</v>
      </c>
      <c r="L302" t="str">
        <f>Lcode_mapping!M302</f>
        <v>K</v>
      </c>
      <c r="M302" t="str">
        <f>Lcode_mapping!N302</f>
        <v>NGS</v>
      </c>
      <c r="N302" t="str">
        <f>Lcode_mapping!O302</f>
        <v>Session</v>
      </c>
      <c r="O302" t="str">
        <f>Lcode_mapping!P302</f>
        <v>ClockBreak</v>
      </c>
      <c r="P302" t="str">
        <f>Lcode_mapping!Q302</f>
        <v>-</v>
      </c>
      <c r="Q302" t="str">
        <f>Lcode_mapping!R302</f>
        <v>ClockBreakStationList</v>
      </c>
      <c r="R302" t="str">
        <f>Lcode_mapping!S302</f>
        <v>-</v>
      </c>
      <c r="S302" t="str">
        <f>Lcode_mapping!T302</f>
        <v>-</v>
      </c>
      <c r="T302" t="str">
        <f>Lcode_mapping!U302</f>
        <v>-</v>
      </c>
      <c r="U302" t="str">
        <f>Lcode_mapping!V302</f>
        <v>-</v>
      </c>
      <c r="V302" t="str">
        <f>Lcode_mapping!W302</f>
        <v>-</v>
      </c>
    </row>
    <row r="303" spans="1:22" ht="15" customHeight="1" x14ac:dyDescent="0.25">
      <c r="A303">
        <f>Lcode_mapping!A303</f>
        <v>216</v>
      </c>
      <c r="B303">
        <f>Lcode_mapping!B303</f>
        <v>1</v>
      </c>
      <c r="C303" t="str">
        <f>Lcode_mapping!D303</f>
        <v>BRK_SITE</v>
      </c>
      <c r="D303">
        <f>Lcode_mapping!E303</f>
        <v>4</v>
      </c>
      <c r="E303">
        <f>Lcode_mapping!F303</f>
        <v>2</v>
      </c>
      <c r="F303">
        <f>Lcode_mapping!G303</f>
        <v>1</v>
      </c>
      <c r="G303" t="str">
        <f>Lcode_mapping!H303</f>
        <v>A</v>
      </c>
      <c r="H303">
        <f>Lcode_mapping!I303</f>
        <v>3</v>
      </c>
      <c r="I303" t="str">
        <f>Lcode_mapping!J303</f>
        <v>Sites with real clock breaks</v>
      </c>
      <c r="J303" t="str">
        <f>Lcode_mapping!K303</f>
        <v>Session</v>
      </c>
      <c r="K303" t="str">
        <f>Lcode_mapping!L303</f>
        <v>Part of (CLKBREAK, BRK_STAT,BRK_EPOC, BRK_NUMB).</v>
      </c>
      <c r="L303" t="str">
        <f>Lcode_mapping!M303</f>
        <v>K</v>
      </c>
      <c r="M303" t="str">
        <f>Lcode_mapping!N303</f>
        <v>NGS</v>
      </c>
      <c r="N303" t="str">
        <f>Lcode_mapping!O303</f>
        <v>Session</v>
      </c>
      <c r="O303" t="str">
        <f>Lcode_mapping!P303</f>
        <v>ClockBreak</v>
      </c>
      <c r="P303" t="str">
        <f>Lcode_mapping!Q303</f>
        <v>-</v>
      </c>
      <c r="Q303" t="str">
        <f>Lcode_mapping!R303</f>
        <v>ClockBreakStationList</v>
      </c>
      <c r="R303" t="str">
        <f>Lcode_mapping!S303</f>
        <v>-</v>
      </c>
      <c r="S303" t="str">
        <f>Lcode_mapping!T303</f>
        <v>-</v>
      </c>
      <c r="T303" t="str">
        <f>Lcode_mapping!U303</f>
        <v>-</v>
      </c>
      <c r="U303" t="str">
        <f>Lcode_mapping!V303</f>
        <v>-</v>
      </c>
      <c r="V303" t="str">
        <f>Lcode_mapping!W303</f>
        <v>-</v>
      </c>
    </row>
    <row r="304" spans="1:22" ht="15" customHeight="1" x14ac:dyDescent="0.25">
      <c r="A304">
        <f>Lcode_mapping!A304</f>
        <v>211</v>
      </c>
      <c r="B304">
        <f>Lcode_mapping!B304</f>
        <v>1</v>
      </c>
      <c r="C304" t="str">
        <f>Lcode_mapping!D304</f>
        <v>ERROR BL</v>
      </c>
      <c r="D304">
        <f>Lcode_mapping!E304</f>
        <v>4</v>
      </c>
      <c r="E304">
        <f>Lcode_mapping!F304</f>
        <v>2</v>
      </c>
      <c r="F304">
        <f>Lcode_mapping!G304</f>
        <v>55</v>
      </c>
      <c r="G304" t="str">
        <f>Lcode_mapping!H304</f>
        <v>A</v>
      </c>
      <c r="H304">
        <f>Lcode_mapping!I304</f>
        <v>4</v>
      </c>
      <c r="I304" t="str">
        <f>Lcode_mapping!J304</f>
        <v>B.L.names for formal errors</v>
      </c>
      <c r="J304" t="str">
        <f>Lcode_mapping!K304</f>
        <v>Session</v>
      </c>
      <c r="K304" t="str">
        <f>Lcode_mapping!L304</f>
        <v>-</v>
      </c>
      <c r="L304" t="str">
        <f>Lcode_mapping!M304</f>
        <v>K</v>
      </c>
      <c r="M304" t="str">
        <f>Lcode_mapping!N304</f>
        <v>Solve</v>
      </c>
      <c r="N304" t="str">
        <f>Lcode_mapping!O304</f>
        <v>Session</v>
      </c>
      <c r="O304" t="str">
        <f>Lcode_mapping!P304</f>
        <v>GroupBLWeights</v>
      </c>
      <c r="P304" t="str">
        <f>Lcode_mapping!Q304</f>
        <v>-</v>
      </c>
      <c r="Q304" t="str">
        <f>Lcode_mapping!R304</f>
        <v>GroupBLWeightStationList</v>
      </c>
      <c r="R304" t="str">
        <f>Lcode_mapping!S304</f>
        <v>-</v>
      </c>
      <c r="S304" t="str">
        <f>Lcode_mapping!T304</f>
        <v>-</v>
      </c>
      <c r="T304" t="str">
        <f>Lcode_mapping!U304</f>
        <v>-</v>
      </c>
      <c r="U304" t="str">
        <f>Lcode_mapping!V304</f>
        <v>-</v>
      </c>
      <c r="V304" t="str">
        <f>Lcode_mapping!W304</f>
        <v>-</v>
      </c>
    </row>
    <row r="305" spans="1:22" ht="15" customHeight="1" x14ac:dyDescent="0.25">
      <c r="A305">
        <f>Lcode_mapping!A305</f>
        <v>212</v>
      </c>
      <c r="B305">
        <f>Lcode_mapping!B305</f>
        <v>1</v>
      </c>
      <c r="C305" t="str">
        <f>Lcode_mapping!D305</f>
        <v>ERROR K</v>
      </c>
      <c r="D305">
        <f>Lcode_mapping!E305</f>
        <v>2</v>
      </c>
      <c r="E305">
        <f>Lcode_mapping!F305</f>
        <v>55</v>
      </c>
      <c r="F305">
        <f>Lcode_mapping!G305</f>
        <v>1</v>
      </c>
      <c r="G305" t="str">
        <f>Lcode_mapping!H305</f>
        <v>R</v>
      </c>
      <c r="H305">
        <f>Lcode_mapping!I305</f>
        <v>4</v>
      </c>
      <c r="I305" t="str">
        <f>Lcode_mapping!J305</f>
        <v>-</v>
      </c>
      <c r="J305" t="str">
        <f>Lcode_mapping!K305</f>
        <v>Session</v>
      </c>
      <c r="K305" t="str">
        <f>Lcode_mapping!L305</f>
        <v>-</v>
      </c>
      <c r="L305" t="str">
        <f>Lcode_mapping!M305</f>
        <v>K</v>
      </c>
      <c r="M305" t="str">
        <f>Lcode_mapping!N305</f>
        <v>Solve</v>
      </c>
      <c r="N305" t="str">
        <f>Lcode_mapping!O305</f>
        <v>Session</v>
      </c>
      <c r="O305" t="str">
        <f>Lcode_mapping!P305</f>
        <v>GroupBLWeights</v>
      </c>
      <c r="P305" t="str">
        <f>Lcode_mapping!Q305</f>
        <v>-</v>
      </c>
      <c r="Q305" t="str">
        <f>Lcode_mapping!R305</f>
        <v>GroupBLWeights</v>
      </c>
      <c r="R305" t="str">
        <f>Lcode_mapping!S305</f>
        <v>-</v>
      </c>
      <c r="S305" t="str">
        <f>Lcode_mapping!T305</f>
        <v>Group delay and rate re-weighting constants.</v>
      </c>
      <c r="T305">
        <f>Lcode_mapping!U305</f>
        <v>2</v>
      </c>
      <c r="U305" t="str">
        <f>Lcode_mapping!V305</f>
        <v>second</v>
      </c>
      <c r="V305" t="str">
        <f>Lcode_mapping!W305</f>
        <v>-</v>
      </c>
    </row>
    <row r="306" spans="1:22" ht="15" customHeight="1" x14ac:dyDescent="0.25">
      <c r="A306">
        <f>Lcode_mapping!A306</f>
        <v>491</v>
      </c>
      <c r="B306">
        <f>Lcode_mapping!B306</f>
        <v>2</v>
      </c>
      <c r="C306" t="str">
        <f>Lcode_mapping!D306</f>
        <v>CT SITE1</v>
      </c>
      <c r="D306">
        <f>Lcode_mapping!E306</f>
        <v>1</v>
      </c>
      <c r="E306">
        <f>Lcode_mapping!F306</f>
        <v>1</v>
      </c>
      <c r="F306">
        <f>Lcode_mapping!G306</f>
        <v>1</v>
      </c>
      <c r="G306" t="str">
        <f>Lcode_mapping!H306</f>
        <v>R</v>
      </c>
      <c r="H306">
        <f>Lcode_mapping!I306</f>
        <v>5</v>
      </c>
      <c r="I306" t="str">
        <f>Lcode_mapping!J306</f>
        <v>CT fraction at obs site 1</v>
      </c>
      <c r="J306" t="str">
        <f>Lcode_mapping!K306</f>
        <v>Obs</v>
      </c>
      <c r="K306" t="str">
        <f>Lcode_mapping!L306</f>
        <v>-</v>
      </c>
      <c r="L306" t="str">
        <f>Lcode_mapping!M306</f>
        <v>K</v>
      </c>
      <c r="M306" t="str">
        <f>Lcode_mapping!N306</f>
        <v>Solve</v>
      </c>
      <c r="N306" t="str">
        <f>Lcode_mapping!O306</f>
        <v>Solve</v>
      </c>
      <c r="O306" t="str">
        <f>Lcode_mapping!P306</f>
        <v>FractC</v>
      </c>
      <c r="P306" t="str">
        <f>Lcode_mapping!Q306</f>
        <v>-</v>
      </c>
      <c r="Q306" t="str">
        <f>Lcode_mapping!R306</f>
        <v>FractC</v>
      </c>
      <c r="R306" t="str">
        <f>Lcode_mapping!S306</f>
        <v>-</v>
      </c>
      <c r="S306" t="str">
        <f>Lcode_mapping!T306</f>
        <v>Coordinate time at site 1</v>
      </c>
      <c r="T306" t="str">
        <f>Lcode_mapping!U306</f>
        <v>-</v>
      </c>
      <c r="U306" t="str">
        <f>Lcode_mapping!V306</f>
        <v>Day</v>
      </c>
      <c r="V306" t="str">
        <f>Lcode_mapping!W306</f>
        <v>-</v>
      </c>
    </row>
    <row r="307" spans="1:22" ht="15" customHeight="1" x14ac:dyDescent="0.25">
      <c r="A307">
        <f>Lcode_mapping!A307</f>
        <v>496</v>
      </c>
      <c r="B307">
        <f>Lcode_mapping!B307</f>
        <v>2</v>
      </c>
      <c r="C307" t="str">
        <f>Lcode_mapping!D307</f>
        <v>ION CODE</v>
      </c>
      <c r="D307">
        <f>Lcode_mapping!E307</f>
        <v>1</v>
      </c>
      <c r="E307">
        <f>Lcode_mapping!F307</f>
        <v>1</v>
      </c>
      <c r="F307">
        <f>Lcode_mapping!G307</f>
        <v>1</v>
      </c>
      <c r="G307" t="str">
        <f>Lcode_mapping!H307</f>
        <v>I</v>
      </c>
      <c r="H307">
        <f>Lcode_mapping!I307</f>
        <v>4</v>
      </c>
      <c r="I307" t="str">
        <f>Lcode_mapping!J307</f>
        <v>Ion corr code. -1=no good  0=OK</v>
      </c>
      <c r="J307" t="str">
        <f>Lcode_mapping!K307</f>
        <v>Obs</v>
      </c>
      <c r="K307" t="str">
        <f>Lcode_mapping!L307</f>
        <v>Obsolete. Replaced by IonDataFlag</v>
      </c>
      <c r="L307" t="str">
        <f>Lcode_mapping!M307</f>
        <v>I</v>
      </c>
      <c r="M307" t="str">
        <f>Lcode_mapping!N307</f>
        <v>Solve</v>
      </c>
      <c r="N307" t="str">
        <f>Lcode_mapping!O307</f>
        <v>Solve</v>
      </c>
      <c r="O307" t="str">
        <f>Lcode_mapping!P307</f>
        <v>Ion_bX</v>
      </c>
      <c r="P307" t="str">
        <f>Lcode_mapping!Q307</f>
        <v>-</v>
      </c>
      <c r="Q307" t="str">
        <f>Lcode_mapping!R307</f>
        <v>IonCode</v>
      </c>
      <c r="R307" t="str">
        <f>Lcode_mapping!S307</f>
        <v>-</v>
      </c>
      <c r="S307" t="str">
        <f>Lcode_mapping!T307</f>
        <v>-</v>
      </c>
      <c r="T307" t="str">
        <f>Lcode_mapping!U307</f>
        <v>-</v>
      </c>
      <c r="U307" t="str">
        <f>Lcode_mapping!V307</f>
        <v>-</v>
      </c>
      <c r="V307" t="str">
        <f>Lcode_mapping!W307</f>
        <v>-</v>
      </c>
    </row>
    <row r="308" spans="1:22" ht="15" customHeight="1" x14ac:dyDescent="0.25">
      <c r="A308">
        <f>Lcode_mapping!A308</f>
        <v>497</v>
      </c>
      <c r="B308">
        <f>Lcode_mapping!B308</f>
        <v>2</v>
      </c>
      <c r="C308" t="str">
        <f>Lcode_mapping!D308</f>
        <v>ION_BITS</v>
      </c>
      <c r="D308">
        <f>Lcode_mapping!E308</f>
        <v>1</v>
      </c>
      <c r="E308">
        <f>Lcode_mapping!F308</f>
        <v>1</v>
      </c>
      <c r="F308">
        <f>Lcode_mapping!G308</f>
        <v>1</v>
      </c>
      <c r="G308" t="str">
        <f>Lcode_mapping!H308</f>
        <v>I</v>
      </c>
      <c r="H308">
        <f>Lcode_mapping!I308</f>
        <v>4</v>
      </c>
      <c r="I308" t="str">
        <f>Lcode_mapping!J308</f>
        <v>ICORR for full ion tracking.</v>
      </c>
      <c r="J308" t="str">
        <f>Lcode_mapping!K308</f>
        <v>Obs</v>
      </c>
      <c r="K308" t="str">
        <f>Lcode_mapping!L308</f>
        <v>-</v>
      </c>
      <c r="L308" t="str">
        <f>Lcode_mapping!M308</f>
        <v>K</v>
      </c>
      <c r="M308" t="str">
        <f>Lcode_mapping!N308</f>
        <v>Solve</v>
      </c>
      <c r="N308" t="str">
        <f>Lcode_mapping!O308</f>
        <v>Solve</v>
      </c>
      <c r="O308" t="str">
        <f>Lcode_mapping!P308</f>
        <v>IonoBits</v>
      </c>
      <c r="P308" t="str">
        <f>Lcode_mapping!Q308</f>
        <v>-</v>
      </c>
      <c r="Q308" t="str">
        <f>Lcode_mapping!R308</f>
        <v>IonoBits</v>
      </c>
      <c r="R308" t="str">
        <f>Lcode_mapping!S308</f>
        <v>-</v>
      </c>
      <c r="S308" t="str">
        <f>Lcode_mapping!T308</f>
        <v>-</v>
      </c>
      <c r="T308" t="str">
        <f>Lcode_mapping!U308</f>
        <v>-</v>
      </c>
      <c r="U308" t="str">
        <f>Lcode_mapping!V308</f>
        <v>-</v>
      </c>
      <c r="V308" t="str">
        <f>Lcode_mapping!W308</f>
        <v>-</v>
      </c>
    </row>
    <row r="309" spans="1:22" ht="15" customHeight="1" x14ac:dyDescent="0.25">
      <c r="A309">
        <f>Lcode_mapping!A309</f>
        <v>493</v>
      </c>
      <c r="B309">
        <f>Lcode_mapping!B309</f>
        <v>2</v>
      </c>
      <c r="C309" t="str">
        <f>Lcode_mapping!D309</f>
        <v>UNPHAFLG</v>
      </c>
      <c r="D309">
        <f>Lcode_mapping!E309</f>
        <v>2</v>
      </c>
      <c r="E309">
        <f>Lcode_mapping!F309</f>
        <v>2</v>
      </c>
      <c r="F309">
        <f>Lcode_mapping!G309</f>
        <v>1</v>
      </c>
      <c r="G309" t="str">
        <f>Lcode_mapping!H309</f>
        <v>I</v>
      </c>
      <c r="H309">
        <f>Lcode_mapping!I309</f>
        <v>3</v>
      </c>
      <c r="I309" t="str">
        <f>Lcode_mapping!J309</f>
        <v>UnPhaseCal flag</v>
      </c>
      <c r="J309" t="str">
        <f>Lcode_mapping!K309</f>
        <v>Obs</v>
      </c>
      <c r="K309" t="str">
        <f>Lcode_mapping!L309</f>
        <v>-</v>
      </c>
      <c r="L309" t="str">
        <f>Lcode_mapping!M309</f>
        <v>S</v>
      </c>
      <c r="M309" t="str">
        <f>Lcode_mapping!N309</f>
        <v>-</v>
      </c>
      <c r="N309" t="str">
        <f>Lcode_mapping!O309</f>
        <v>Solve</v>
      </c>
      <c r="O309" t="str">
        <f>Lcode_mapping!P309</f>
        <v>UnPhaseCalFlag</v>
      </c>
      <c r="P309" t="str">
        <f>Lcode_mapping!Q309</f>
        <v>-</v>
      </c>
      <c r="Q309" t="str">
        <f>Lcode_mapping!R309</f>
        <v>-</v>
      </c>
      <c r="R309" t="str">
        <f>Lcode_mapping!S309</f>
        <v>-</v>
      </c>
      <c r="S309" t="str">
        <f>Lcode_mapping!T309</f>
        <v>-</v>
      </c>
      <c r="T309" t="str">
        <f>Lcode_mapping!U309</f>
        <v>-</v>
      </c>
      <c r="U309" t="str">
        <f>Lcode_mapping!V309</f>
        <v>-</v>
      </c>
      <c r="V309" t="str">
        <f>Lcode_mapping!W309</f>
        <v>-</v>
      </c>
    </row>
    <row r="310" spans="1:22" ht="15" customHeight="1" x14ac:dyDescent="0.25">
      <c r="A310">
        <f>Lcode_mapping!A310</f>
        <v>495</v>
      </c>
      <c r="B310">
        <f>Lcode_mapping!B310</f>
        <v>2</v>
      </c>
      <c r="C310" t="str">
        <f>Lcode_mapping!D310</f>
        <v>UVF/ASEC</v>
      </c>
      <c r="D310">
        <f>Lcode_mapping!E310</f>
        <v>2</v>
      </c>
      <c r="E310">
        <f>Lcode_mapping!F310</f>
        <v>1</v>
      </c>
      <c r="F310">
        <f>Lcode_mapping!G310</f>
        <v>1</v>
      </c>
      <c r="G310" t="str">
        <f>Lcode_mapping!H310</f>
        <v>R</v>
      </c>
      <c r="H310">
        <f>Lcode_mapping!I310</f>
        <v>5</v>
      </c>
      <c r="I310" t="str">
        <f>Lcode_mapping!J310</f>
        <v>U V in FR per arcsec  from CALC</v>
      </c>
      <c r="J310" t="str">
        <f>Lcode_mapping!K310</f>
        <v>Obs</v>
      </c>
      <c r="K310" t="str">
        <f>Lcode_mapping!L310</f>
        <v>-</v>
      </c>
      <c r="L310" t="str">
        <f>Lcode_mapping!M310</f>
        <v>K</v>
      </c>
      <c r="M310" t="str">
        <f>Lcode_mapping!N310</f>
        <v>-</v>
      </c>
      <c r="N310" t="str">
        <f>Lcode_mapping!O310</f>
        <v>Solve</v>
      </c>
      <c r="O310" t="str">
        <f>Lcode_mapping!P310</f>
        <v>UVFperAsec</v>
      </c>
      <c r="P310" t="str">
        <f>Lcode_mapping!Q310</f>
        <v>-</v>
      </c>
      <c r="Q310" t="str">
        <f>Lcode_mapping!R310</f>
        <v>UVFperAsec</v>
      </c>
      <c r="R310" t="str">
        <f>Lcode_mapping!S310</f>
        <v>-</v>
      </c>
      <c r="S310" t="str">
        <f>Lcode_mapping!T310</f>
        <v>-</v>
      </c>
      <c r="T310" t="str">
        <f>Lcode_mapping!U310</f>
        <v>-</v>
      </c>
      <c r="U310" t="str">
        <f>Lcode_mapping!V310</f>
        <v>-</v>
      </c>
      <c r="V310" t="str">
        <f>Lcode_mapping!W310</f>
        <v>-</v>
      </c>
    </row>
    <row r="311" spans="1:22" ht="15" customHeight="1" x14ac:dyDescent="0.25">
      <c r="A311">
        <f>Lcode_mapping!A311</f>
        <v>115</v>
      </c>
      <c r="B311" t="str">
        <f>Lcode_mapping!B311</f>
        <v>N</v>
      </c>
      <c r="C311" t="str">
        <f>Lcode_mapping!D311</f>
        <v>ScanTimeDayFrac</v>
      </c>
      <c r="D311">
        <f>Lcode_mapping!E311</f>
        <v>1</v>
      </c>
      <c r="E311">
        <f>Lcode_mapping!F311</f>
        <v>1</v>
      </c>
      <c r="F311">
        <f>Lcode_mapping!G311</f>
        <v>1</v>
      </c>
      <c r="G311" t="str">
        <f>Lcode_mapping!H311</f>
        <v>R</v>
      </c>
      <c r="H311" t="str">
        <f>Lcode_mapping!I311</f>
        <v>N</v>
      </c>
      <c r="I311" t="str">
        <f>Lcode_mapping!J311</f>
        <v>-</v>
      </c>
      <c r="J311" t="str">
        <f>Lcode_mapping!K311</f>
        <v>Scan</v>
      </c>
      <c r="K311" t="str">
        <f>Lcode_mapping!L311</f>
        <v xml:space="preserve">New Lcode  </v>
      </c>
      <c r="L311" t="str">
        <f>Lcode_mapping!M311</f>
        <v>N</v>
      </c>
      <c r="M311" t="str">
        <f>Lcode_mapping!N311</f>
        <v>Solve</v>
      </c>
      <c r="N311" t="str">
        <f>Lcode_mapping!O311</f>
        <v>Solve</v>
      </c>
      <c r="O311" t="str">
        <f>Lcode_mapping!P311</f>
        <v>ScanTimeMJD</v>
      </c>
      <c r="P311" t="str">
        <f>Lcode_mapping!Q311</f>
        <v>-</v>
      </c>
      <c r="Q311" t="str">
        <f>Lcode_mapping!R311</f>
        <v>DayFrac</v>
      </c>
      <c r="R311" t="str">
        <f>Lcode_mapping!S311</f>
        <v>-</v>
      </c>
      <c r="S311" t="str">
        <f>Lcode_mapping!T311</f>
        <v>Fractional day time tag of scan</v>
      </c>
      <c r="T311">
        <f>Lcode_mapping!U311</f>
        <v>0</v>
      </c>
      <c r="U311" t="str">
        <f>Lcode_mapping!V311</f>
        <v>D</v>
      </c>
      <c r="V311">
        <f>Lcode_mapping!W311</f>
        <v>0</v>
      </c>
    </row>
    <row r="312" spans="1:22" ht="15" customHeight="1" x14ac:dyDescent="0.25">
      <c r="A312">
        <f>Lcode_mapping!A312</f>
        <v>116</v>
      </c>
      <c r="B312" t="str">
        <f>Lcode_mapping!B312</f>
        <v>N</v>
      </c>
      <c r="C312" t="str">
        <f>Lcode_mapping!D312</f>
        <v>ScanTimeMJD</v>
      </c>
      <c r="D312">
        <f>Lcode_mapping!E312</f>
        <v>1</v>
      </c>
      <c r="E312">
        <f>Lcode_mapping!F312</f>
        <v>1</v>
      </c>
      <c r="F312">
        <f>Lcode_mapping!G312</f>
        <v>1</v>
      </c>
      <c r="G312" t="str">
        <f>Lcode_mapping!H312</f>
        <v>J</v>
      </c>
      <c r="H312" t="str">
        <f>Lcode_mapping!I312</f>
        <v>N</v>
      </c>
      <c r="I312" t="str">
        <f>Lcode_mapping!J312</f>
        <v>-</v>
      </c>
      <c r="J312" t="str">
        <f>Lcode_mapping!K312</f>
        <v>Scan</v>
      </c>
      <c r="K312" t="str">
        <f>Lcode_mapping!L312</f>
        <v xml:space="preserve">New Lcode  </v>
      </c>
      <c r="L312" t="str">
        <f>Lcode_mapping!M312</f>
        <v>N</v>
      </c>
      <c r="M312" t="str">
        <f>Lcode_mapping!N312</f>
        <v>Solve</v>
      </c>
      <c r="N312" t="str">
        <f>Lcode_mapping!O312</f>
        <v>Solve</v>
      </c>
      <c r="O312" t="str">
        <f>Lcode_mapping!P312</f>
        <v>ScanTimeMJD</v>
      </c>
      <c r="P312" t="str">
        <f>Lcode_mapping!Q312</f>
        <v>-</v>
      </c>
      <c r="Q312" t="str">
        <f>Lcode_mapping!R312</f>
        <v>MJD</v>
      </c>
      <c r="R312" t="str">
        <f>Lcode_mapping!S312</f>
        <v>-</v>
      </c>
      <c r="S312" t="str">
        <f>Lcode_mapping!T312</f>
        <v>MJD time tag of scan</v>
      </c>
      <c r="T312">
        <f>Lcode_mapping!U312</f>
        <v>0</v>
      </c>
      <c r="U312" t="str">
        <f>Lcode_mapping!V312</f>
        <v>D</v>
      </c>
      <c r="V312">
        <f>Lcode_mapping!W312</f>
        <v>0</v>
      </c>
    </row>
    <row r="313" spans="1:22" ht="15" customHeight="1" x14ac:dyDescent="0.25">
      <c r="A313">
        <f>Lcode_mapping!A313</f>
        <v>222</v>
      </c>
      <c r="B313">
        <f>Lcode_mapping!B313</f>
        <v>1</v>
      </c>
      <c r="C313" t="str">
        <f>Lcode_mapping!D313</f>
        <v>ATM_INTV</v>
      </c>
      <c r="D313">
        <f>Lcode_mapping!E313</f>
        <v>1</v>
      </c>
      <c r="E313">
        <f>Lcode_mapping!F313</f>
        <v>1</v>
      </c>
      <c r="F313">
        <f>Lcode_mapping!G313</f>
        <v>1</v>
      </c>
      <c r="G313" t="str">
        <f>Lcode_mapping!H313</f>
        <v>R</v>
      </c>
      <c r="H313">
        <f>Lcode_mapping!I313</f>
        <v>4</v>
      </c>
      <c r="I313" t="str">
        <f>Lcode_mapping!J313</f>
        <v>Batchmode atmos interval - hours</v>
      </c>
      <c r="J313" t="str">
        <f>Lcode_mapping!K313</f>
        <v>Session</v>
      </c>
      <c r="K313" t="str">
        <f>Lcode_mapping!L313</f>
        <v>-</v>
      </c>
      <c r="L313" t="str">
        <f>Lcode_mapping!M313</f>
        <v>K</v>
      </c>
      <c r="M313" t="str">
        <f>Lcode_mapping!N313</f>
        <v>Solve</v>
      </c>
      <c r="N313" t="str">
        <f>Lcode_mapping!O313</f>
        <v>Solve</v>
      </c>
      <c r="O313" t="str">
        <f>Lcode_mapping!P313</f>
        <v>AtmSetup</v>
      </c>
      <c r="P313" t="str">
        <f>Lcode_mapping!Q313</f>
        <v>-</v>
      </c>
      <c r="Q313" t="str">
        <f>Lcode_mapping!R313</f>
        <v>AtmInterval</v>
      </c>
      <c r="R313" t="str">
        <f>Lcode_mapping!S313</f>
        <v>-</v>
      </c>
      <c r="S313" t="str">
        <f>Lcode_mapping!T313</f>
        <v>-</v>
      </c>
      <c r="T313" t="str">
        <f>Lcode_mapping!U313</f>
        <v>-</v>
      </c>
      <c r="U313" t="str">
        <f>Lcode_mapping!V313</f>
        <v>-</v>
      </c>
      <c r="V313" t="str">
        <f>Lcode_mapping!W313</f>
        <v>-</v>
      </c>
    </row>
    <row r="314" spans="1:22" ht="15" customHeight="1" x14ac:dyDescent="0.25">
      <c r="A314">
        <f>Lcode_mapping!A314</f>
        <v>221</v>
      </c>
      <c r="B314">
        <f>Lcode_mapping!B314</f>
        <v>1</v>
      </c>
      <c r="C314" t="str">
        <f>Lcode_mapping!D314</f>
        <v>ATM_CNST</v>
      </c>
      <c r="D314">
        <f>Lcode_mapping!E314</f>
        <v>1</v>
      </c>
      <c r="E314">
        <f>Lcode_mapping!F314</f>
        <v>1</v>
      </c>
      <c r="F314">
        <f>Lcode_mapping!G314</f>
        <v>1</v>
      </c>
      <c r="G314" t="str">
        <f>Lcode_mapping!H314</f>
        <v>R</v>
      </c>
      <c r="H314">
        <f>Lcode_mapping!I314</f>
        <v>4</v>
      </c>
      <c r="I314" t="str">
        <f>Lcode_mapping!J314</f>
        <v>Atmosphere constraint. ps/hr</v>
      </c>
      <c r="J314" t="str">
        <f>Lcode_mapping!K314</f>
        <v>Session</v>
      </c>
      <c r="K314" t="str">
        <f>Lcode_mapping!L314</f>
        <v>Part of (ATM_CFLG, AC_SITES, ATM_CNST) Set</v>
      </c>
      <c r="L314" t="str">
        <f>Lcode_mapping!M314</f>
        <v>K</v>
      </c>
      <c r="M314" t="str">
        <f>Lcode_mapping!N314</f>
        <v>Solve</v>
      </c>
      <c r="N314" t="str">
        <f>Lcode_mapping!O314</f>
        <v>Solve</v>
      </c>
      <c r="O314" t="str">
        <f>Lcode_mapping!P314</f>
        <v>AtmSetup</v>
      </c>
      <c r="P314" t="str">
        <f>Lcode_mapping!Q314</f>
        <v>-</v>
      </c>
      <c r="Q314" t="str">
        <f>Lcode_mapping!R314</f>
        <v>AtmRateConstraint</v>
      </c>
      <c r="R314" t="str">
        <f>Lcode_mapping!S314</f>
        <v>-</v>
      </c>
      <c r="S314" t="str">
        <f>Lcode_mapping!T314</f>
        <v>-</v>
      </c>
      <c r="T314" t="str">
        <f>Lcode_mapping!U314</f>
        <v>-</v>
      </c>
      <c r="U314" t="str">
        <f>Lcode_mapping!V314</f>
        <v>-</v>
      </c>
      <c r="V314" t="str">
        <f>Lcode_mapping!W314</f>
        <v>-</v>
      </c>
    </row>
    <row r="315" spans="1:22" ht="15" customHeight="1" x14ac:dyDescent="0.25">
      <c r="A315">
        <f>Lcode_mapping!A315</f>
        <v>220</v>
      </c>
      <c r="B315">
        <f>Lcode_mapping!B315</f>
        <v>1</v>
      </c>
      <c r="C315" t="str">
        <f>Lcode_mapping!D315</f>
        <v>AC_SITES</v>
      </c>
      <c r="D315">
        <f>Lcode_mapping!E315</f>
        <v>4</v>
      </c>
      <c r="E315">
        <f>Lcode_mapping!F315</f>
        <v>5</v>
      </c>
      <c r="F315">
        <f>Lcode_mapping!G315</f>
        <v>1</v>
      </c>
      <c r="G315" t="str">
        <f>Lcode_mapping!H315</f>
        <v>A</v>
      </c>
      <c r="H315">
        <f>Lcode_mapping!I315</f>
        <v>3</v>
      </c>
      <c r="I315" t="str">
        <f>Lcode_mapping!J315</f>
        <v>Site list for clocks constraints</v>
      </c>
      <c r="J315" t="str">
        <f>Lcode_mapping!K315</f>
        <v>Session</v>
      </c>
      <c r="K315" t="str">
        <f>Lcode_mapping!L315</f>
        <v>Part of (ATM_CFLG, AC_SITES, ATM_CNST) Set</v>
      </c>
      <c r="L315" t="str">
        <f>Lcode_mapping!M315</f>
        <v>K</v>
      </c>
      <c r="M315" t="str">
        <f>Lcode_mapping!N315</f>
        <v>Solve</v>
      </c>
      <c r="N315" t="str">
        <f>Lcode_mapping!O315</f>
        <v>Solve</v>
      </c>
      <c r="O315" t="str">
        <f>Lcode_mapping!P315</f>
        <v>AtmSetup</v>
      </c>
      <c r="P315" t="str">
        <f>Lcode_mapping!Q315</f>
        <v>-</v>
      </c>
      <c r="Q315" t="str">
        <f>Lcode_mapping!R315</f>
        <v>AtmRateStationList</v>
      </c>
      <c r="R315" t="str">
        <f>Lcode_mapping!S315</f>
        <v>-</v>
      </c>
      <c r="S315" t="str">
        <f>Lcode_mapping!T315</f>
        <v>-</v>
      </c>
      <c r="T315" t="str">
        <f>Lcode_mapping!U315</f>
        <v>-</v>
      </c>
      <c r="U315" t="str">
        <f>Lcode_mapping!V315</f>
        <v>-</v>
      </c>
      <c r="V315" t="str">
        <f>Lcode_mapping!W315</f>
        <v>-</v>
      </c>
    </row>
    <row r="316" spans="1:22" ht="15" customHeight="1" x14ac:dyDescent="0.25">
      <c r="A316">
        <f>Lcode_mapping!A316</f>
        <v>223</v>
      </c>
      <c r="B316" t="str">
        <f>Lcode_mapping!B316</f>
        <v>N</v>
      </c>
      <c r="C316" t="str">
        <f>Lcode_mapping!D316</f>
        <v>GradOffsetConstraint</v>
      </c>
      <c r="D316">
        <f>Lcode_mapping!E316</f>
        <v>1</v>
      </c>
      <c r="E316">
        <f>Lcode_mapping!F316</f>
        <v>1</v>
      </c>
      <c r="F316">
        <f>Lcode_mapping!G316</f>
        <v>1</v>
      </c>
      <c r="G316" t="str">
        <f>Lcode_mapping!H316</f>
        <v>R</v>
      </c>
      <c r="H316" t="str">
        <f>Lcode_mapping!I316</f>
        <v>N</v>
      </c>
      <c r="I316" t="str">
        <f>Lcode_mapping!J316</f>
        <v>Gradient Offset Constraint</v>
      </c>
      <c r="J316" t="str">
        <f>Lcode_mapping!K316</f>
        <v>Session</v>
      </c>
      <c r="K316" t="str">
        <f>Lcode_mapping!L316</f>
        <v>-</v>
      </c>
      <c r="L316" t="str">
        <f>Lcode_mapping!M316</f>
        <v>K</v>
      </c>
      <c r="M316" t="str">
        <f>Lcode_mapping!N316</f>
        <v>Solve</v>
      </c>
      <c r="N316" t="str">
        <f>Lcode_mapping!O316</f>
        <v>Solve</v>
      </c>
      <c r="O316" t="str">
        <f>Lcode_mapping!P316</f>
        <v>AtmSetup</v>
      </c>
      <c r="P316" t="str">
        <f>Lcode_mapping!Q316</f>
        <v>-</v>
      </c>
      <c r="Q316" t="str">
        <f>Lcode_mapping!R316</f>
        <v>-</v>
      </c>
      <c r="R316" t="str">
        <f>Lcode_mapping!S316</f>
        <v>-</v>
      </c>
      <c r="S316" t="str">
        <f>Lcode_mapping!T316</f>
        <v>-</v>
      </c>
      <c r="T316" t="str">
        <f>Lcode_mapping!U316</f>
        <v>-</v>
      </c>
      <c r="U316" t="str">
        <f>Lcode_mapping!V316</f>
        <v>-</v>
      </c>
      <c r="V316" t="str">
        <f>Lcode_mapping!W316</f>
        <v>-</v>
      </c>
    </row>
    <row r="317" spans="1:22" ht="15" customHeight="1" x14ac:dyDescent="0.25">
      <c r="A317">
        <f>Lcode_mapping!A317</f>
        <v>224</v>
      </c>
      <c r="B317" t="str">
        <f>Lcode_mapping!B317</f>
        <v>N</v>
      </c>
      <c r="C317" t="str">
        <f>Lcode_mapping!D317</f>
        <v>GradRateConstraint</v>
      </c>
      <c r="D317">
        <f>Lcode_mapping!E317</f>
        <v>1</v>
      </c>
      <c r="E317">
        <f>Lcode_mapping!F317</f>
        <v>1</v>
      </c>
      <c r="F317">
        <f>Lcode_mapping!G317</f>
        <v>1</v>
      </c>
      <c r="G317" t="str">
        <f>Lcode_mapping!H317</f>
        <v>R</v>
      </c>
      <c r="H317" t="str">
        <f>Lcode_mapping!I317</f>
        <v>N</v>
      </c>
      <c r="I317" t="str">
        <f>Lcode_mapping!J317</f>
        <v>Gradient Rate Constraint</v>
      </c>
      <c r="J317" t="str">
        <f>Lcode_mapping!K317</f>
        <v>Session</v>
      </c>
      <c r="K317" t="str">
        <f>Lcode_mapping!L317</f>
        <v>-</v>
      </c>
      <c r="L317" t="str">
        <f>Lcode_mapping!M317</f>
        <v>K</v>
      </c>
      <c r="M317" t="str">
        <f>Lcode_mapping!N317</f>
        <v>Solve</v>
      </c>
      <c r="N317" t="str">
        <f>Lcode_mapping!O317</f>
        <v>Solve</v>
      </c>
      <c r="O317" t="str">
        <f>Lcode_mapping!P317</f>
        <v>AtmSetup</v>
      </c>
      <c r="P317" t="str">
        <f>Lcode_mapping!Q317</f>
        <v>-</v>
      </c>
      <c r="Q317" t="str">
        <f>Lcode_mapping!R317</f>
        <v>-</v>
      </c>
      <c r="R317" t="str">
        <f>Lcode_mapping!S317</f>
        <v>-</v>
      </c>
      <c r="S317" t="str">
        <f>Lcode_mapping!T317</f>
        <v>-</v>
      </c>
      <c r="T317" t="str">
        <f>Lcode_mapping!U317</f>
        <v>-</v>
      </c>
      <c r="U317" t="str">
        <f>Lcode_mapping!V317</f>
        <v>-</v>
      </c>
      <c r="V317" t="str">
        <f>Lcode_mapping!W317</f>
        <v>-</v>
      </c>
    </row>
    <row r="318" spans="1:22" ht="15" customHeight="1" x14ac:dyDescent="0.25">
      <c r="A318">
        <f>Lcode_mapping!A318</f>
        <v>226</v>
      </c>
      <c r="B318">
        <f>Lcode_mapping!B318</f>
        <v>1</v>
      </c>
      <c r="C318" t="str">
        <f>Lcode_mapping!D318</f>
        <v>BLDEPCKS</v>
      </c>
      <c r="D318">
        <f>Lcode_mapping!E318</f>
        <v>8</v>
      </c>
      <c r="E318">
        <f>Lcode_mapping!F318</f>
        <v>39</v>
      </c>
      <c r="F318">
        <f>Lcode_mapping!G318</f>
        <v>1</v>
      </c>
      <c r="G318" t="str">
        <f>Lcode_mapping!H318</f>
        <v>A</v>
      </c>
      <c r="H318">
        <f>Lcode_mapping!I318</f>
        <v>4</v>
      </c>
      <c r="I318" t="str">
        <f>Lcode_mapping!J318</f>
        <v>Bl-dependent clock list</v>
      </c>
      <c r="J318" t="str">
        <f>Lcode_mapping!K318</f>
        <v>Session</v>
      </c>
      <c r="K318" t="str">
        <f>Lcode_mapping!L318</f>
        <v>calc/solve</v>
      </c>
      <c r="L318" t="str">
        <f>Lcode_mapping!M318</f>
        <v>K</v>
      </c>
      <c r="M318" t="str">
        <f>Lcode_mapping!N318</f>
        <v>Solve</v>
      </c>
      <c r="N318" t="str">
        <f>Lcode_mapping!O318</f>
        <v>Solve</v>
      </c>
      <c r="O318" t="str">
        <f>Lcode_mapping!P318</f>
        <v>BaselineClockSetup</v>
      </c>
      <c r="P318" t="str">
        <f>Lcode_mapping!Q318</f>
        <v>-</v>
      </c>
      <c r="Q318" t="str">
        <f>Lcode_mapping!R318</f>
        <v>BaselineClockList</v>
      </c>
      <c r="R318" t="str">
        <f>Lcode_mapping!S318</f>
        <v>-</v>
      </c>
      <c r="S318" t="str">
        <f>Lcode_mapping!T318</f>
        <v>-</v>
      </c>
      <c r="T318" t="str">
        <f>Lcode_mapping!U318</f>
        <v>-</v>
      </c>
      <c r="U318" t="str">
        <f>Lcode_mapping!V318</f>
        <v>-</v>
      </c>
      <c r="V318" t="str">
        <f>Lcode_mapping!W318</f>
        <v>-</v>
      </c>
    </row>
    <row r="319" spans="1:22" ht="15" customHeight="1" x14ac:dyDescent="0.25">
      <c r="A319">
        <f>Lcode_mapping!A319</f>
        <v>225</v>
      </c>
      <c r="B319">
        <f>Lcode_mapping!B319</f>
        <v>1</v>
      </c>
      <c r="C319" t="str">
        <f>Lcode_mapping!D319</f>
        <v>BASCLCKS</v>
      </c>
      <c r="D319">
        <f>Lcode_mapping!E319</f>
        <v>1</v>
      </c>
      <c r="E319">
        <f>Lcode_mapping!F319</f>
        <v>16</v>
      </c>
      <c r="F319">
        <f>Lcode_mapping!G319</f>
        <v>1</v>
      </c>
      <c r="G319" t="str">
        <f>Lcode_mapping!H319</f>
        <v>I</v>
      </c>
      <c r="H319">
        <f>Lcode_mapping!I319</f>
        <v>2</v>
      </c>
      <c r="I319" t="str">
        <f>Lcode_mapping!J319</f>
        <v>Baseline-dependent-clock flags</v>
      </c>
      <c r="J319" t="str">
        <f>Lcode_mapping!K319</f>
        <v>Session</v>
      </c>
      <c r="K319" t="str">
        <f>Lcode_mapping!L319</f>
        <v>-</v>
      </c>
      <c r="L319" t="str">
        <f>Lcode_mapping!M319</f>
        <v>S</v>
      </c>
      <c r="M319" t="str">
        <f>Lcode_mapping!N319</f>
        <v>Solve</v>
      </c>
      <c r="N319" t="str">
        <f>Lcode_mapping!O319</f>
        <v>Solve</v>
      </c>
      <c r="O319" t="str">
        <f>Lcode_mapping!P319</f>
        <v>BaselineClockSetup</v>
      </c>
      <c r="P319" t="str">
        <f>Lcode_mapping!Q319</f>
        <v>-</v>
      </c>
      <c r="Q319" t="str">
        <f>Lcode_mapping!R319</f>
        <v>BaselineClockList</v>
      </c>
      <c r="R319" t="str">
        <f>Lcode_mapping!S319</f>
        <v>-</v>
      </c>
      <c r="S319" t="str">
        <f>Lcode_mapping!T319</f>
        <v>List of baseline dependent clocks</v>
      </c>
      <c r="T319" t="str">
        <f>Lcode_mapping!U319</f>
        <v>-</v>
      </c>
      <c r="U319" t="str">
        <f>Lcode_mapping!V319</f>
        <v>-</v>
      </c>
      <c r="V319" t="str">
        <f>Lcode_mapping!W319</f>
        <v>-</v>
      </c>
    </row>
    <row r="320" spans="1:22" ht="15" customHeight="1" x14ac:dyDescent="0.25">
      <c r="A320">
        <f>Lcode_mapping!A320</f>
        <v>233</v>
      </c>
      <c r="B320">
        <f>Lcode_mapping!B320</f>
        <v>1</v>
      </c>
      <c r="C320" t="str">
        <f>Lcode_mapping!D320</f>
        <v>UT1 MESS</v>
      </c>
      <c r="D320">
        <f>Lcode_mapping!E320</f>
        <v>40</v>
      </c>
      <c r="E320">
        <f>Lcode_mapping!F320</f>
        <v>1</v>
      </c>
      <c r="F320">
        <f>Lcode_mapping!G320</f>
        <v>1</v>
      </c>
      <c r="G320" t="str">
        <f>Lcode_mapping!H320</f>
        <v>A</v>
      </c>
      <c r="H320">
        <f>Lcode_mapping!I320</f>
        <v>5</v>
      </c>
      <c r="I320" t="str">
        <f>Lcode_mapping!J320</f>
        <v>UT1 Module message definition</v>
      </c>
      <c r="J320" t="str">
        <f>Lcode_mapping!K320</f>
        <v>Session</v>
      </c>
      <c r="K320" t="str">
        <f>Lcode_mapping!L320</f>
        <v>-</v>
      </c>
      <c r="L320" t="str">
        <f>Lcode_mapping!M320</f>
        <v>K</v>
      </c>
      <c r="M320" t="str">
        <f>Lcode_mapping!N320</f>
        <v>Solve</v>
      </c>
      <c r="N320" t="str">
        <f>Lcode_mapping!O320</f>
        <v>Solve</v>
      </c>
      <c r="O320" t="str">
        <f>Lcode_mapping!P320</f>
        <v>CalcERP</v>
      </c>
      <c r="P320" t="str">
        <f>Lcode_mapping!Q320</f>
        <v>-</v>
      </c>
      <c r="Q320" t="str">
        <f>Lcode_mapping!R320</f>
        <v>CalcUt1Module</v>
      </c>
      <c r="R320" t="str">
        <f>Lcode_mapping!S320</f>
        <v>-</v>
      </c>
      <c r="S320" t="str">
        <f>Lcode_mapping!T320</f>
        <v>-</v>
      </c>
      <c r="T320" t="str">
        <f>Lcode_mapping!U320</f>
        <v>-</v>
      </c>
      <c r="U320" t="str">
        <f>Lcode_mapping!V320</f>
        <v>-</v>
      </c>
      <c r="V320" t="str">
        <f>Lcode_mapping!W320</f>
        <v>-</v>
      </c>
    </row>
    <row r="321" spans="1:22" ht="15" customHeight="1" x14ac:dyDescent="0.25">
      <c r="A321">
        <f>Lcode_mapping!A321</f>
        <v>235</v>
      </c>
      <c r="B321">
        <f>Lcode_mapping!B321</f>
        <v>1</v>
      </c>
      <c r="C321" t="str">
        <f>Lcode_mapping!D321</f>
        <v>WOB MESS</v>
      </c>
      <c r="D321">
        <f>Lcode_mapping!E321</f>
        <v>40</v>
      </c>
      <c r="E321">
        <f>Lcode_mapping!F321</f>
        <v>1</v>
      </c>
      <c r="F321">
        <f>Lcode_mapping!G321</f>
        <v>1</v>
      </c>
      <c r="G321" t="str">
        <f>Lcode_mapping!H321</f>
        <v>A</v>
      </c>
      <c r="H321">
        <f>Lcode_mapping!I321</f>
        <v>5</v>
      </c>
      <c r="I321" t="str">
        <f>Lcode_mapping!J321</f>
        <v>Wobble message definition.</v>
      </c>
      <c r="J321" t="str">
        <f>Lcode_mapping!K321</f>
        <v>Session</v>
      </c>
      <c r="K321" t="str">
        <f>Lcode_mapping!L321</f>
        <v>-</v>
      </c>
      <c r="L321" t="str">
        <f>Lcode_mapping!M321</f>
        <v>K</v>
      </c>
      <c r="M321" t="str">
        <f>Lcode_mapping!N321</f>
        <v>Solve</v>
      </c>
      <c r="N321" t="str">
        <f>Lcode_mapping!O321</f>
        <v>Solve</v>
      </c>
      <c r="O321" t="str">
        <f>Lcode_mapping!P321</f>
        <v>CalcERP</v>
      </c>
      <c r="P321" t="str">
        <f>Lcode_mapping!Q321</f>
        <v>-</v>
      </c>
      <c r="Q321" t="str">
        <f>Lcode_mapping!R321</f>
        <v>CalcWobModule</v>
      </c>
      <c r="R321" t="str">
        <f>Lcode_mapping!S321</f>
        <v>-</v>
      </c>
      <c r="S321" t="str">
        <f>Lcode_mapping!T321</f>
        <v>-</v>
      </c>
      <c r="T321" t="str">
        <f>Lcode_mapping!U321</f>
        <v>-</v>
      </c>
      <c r="U321" t="str">
        <f>Lcode_mapping!V321</f>
        <v>-</v>
      </c>
      <c r="V321" t="str">
        <f>Lcode_mapping!W321</f>
        <v>-</v>
      </c>
    </row>
    <row r="322" spans="1:22" ht="15" customHeight="1" x14ac:dyDescent="0.25">
      <c r="A322">
        <f>Lcode_mapping!A322</f>
        <v>227</v>
      </c>
      <c r="B322">
        <f>Lcode_mapping!B322</f>
        <v>1</v>
      </c>
      <c r="C322" t="str">
        <f>Lcode_mapping!D322</f>
        <v>FUT1 INF</v>
      </c>
      <c r="D322">
        <f>Lcode_mapping!E322</f>
        <v>4</v>
      </c>
      <c r="E322">
        <f>Lcode_mapping!F322</f>
        <v>1</v>
      </c>
      <c r="F322">
        <f>Lcode_mapping!G322</f>
        <v>1</v>
      </c>
      <c r="G322" t="str">
        <f>Lcode_mapping!H322</f>
        <v>R</v>
      </c>
      <c r="H322">
        <f>Lcode_mapping!I322</f>
        <v>5</v>
      </c>
      <c r="I322" t="str">
        <f>Lcode_mapping!J322</f>
        <v>Final Value TAI-UT1 array descrp</v>
      </c>
      <c r="J322" t="str">
        <f>Lcode_mapping!K322</f>
        <v>Session</v>
      </c>
      <c r="K322" t="str">
        <f>Lcode_mapping!L322</f>
        <v>-</v>
      </c>
      <c r="L322" t="str">
        <f>Lcode_mapping!M322</f>
        <v>K</v>
      </c>
      <c r="M322" t="str">
        <f>Lcode_mapping!N322</f>
        <v>Solve</v>
      </c>
      <c r="N322" t="str">
        <f>Lcode_mapping!O322</f>
        <v>Solve</v>
      </c>
      <c r="O322" t="str">
        <f>Lcode_mapping!P322</f>
        <v>CalcERP</v>
      </c>
      <c r="P322" t="str">
        <f>Lcode_mapping!Q322</f>
        <v>-</v>
      </c>
      <c r="Q322" t="str">
        <f>Lcode_mapping!R322</f>
        <v>UT1ArrayInfo</v>
      </c>
      <c r="R322" t="str">
        <f>Lcode_mapping!S322</f>
        <v>-</v>
      </c>
      <c r="S322" t="str">
        <f>Lcode_mapping!T322</f>
        <v>Array: (FJD of start, spacing in days, number points, Scaling (should be 1))</v>
      </c>
      <c r="T322" t="str">
        <f>Lcode_mapping!U322</f>
        <v>-</v>
      </c>
      <c r="U322" t="str">
        <f>Lcode_mapping!V322</f>
        <v>-</v>
      </c>
      <c r="V322" t="str">
        <f>Lcode_mapping!W322</f>
        <v>-</v>
      </c>
    </row>
    <row r="323" spans="1:22" ht="15" customHeight="1" x14ac:dyDescent="0.25">
      <c r="A323">
        <f>Lcode_mapping!A323</f>
        <v>234</v>
      </c>
      <c r="B323">
        <f>Lcode_mapping!B323</f>
        <v>1</v>
      </c>
      <c r="C323" t="str">
        <f>Lcode_mapping!D323</f>
        <v>UT1INTRP</v>
      </c>
      <c r="D323">
        <f>Lcode_mapping!E323</f>
        <v>30</v>
      </c>
      <c r="E323">
        <f>Lcode_mapping!F323</f>
        <v>1</v>
      </c>
      <c r="F323">
        <f>Lcode_mapping!G323</f>
        <v>1</v>
      </c>
      <c r="G323" t="str">
        <f>Lcode_mapping!H323</f>
        <v>A</v>
      </c>
      <c r="H323">
        <f>Lcode_mapping!I323</f>
        <v>5</v>
      </c>
      <c r="I323" t="str">
        <f>Lcode_mapping!J323</f>
        <v>Message for UT1 interp. scheme</v>
      </c>
      <c r="J323" t="str">
        <f>Lcode_mapping!K323</f>
        <v>Session</v>
      </c>
      <c r="K323" t="str">
        <f>Lcode_mapping!L323</f>
        <v>-</v>
      </c>
      <c r="L323" t="str">
        <f>Lcode_mapping!M323</f>
        <v>K</v>
      </c>
      <c r="M323" t="str">
        <f>Lcode_mapping!N323</f>
        <v>Solve</v>
      </c>
      <c r="N323" t="str">
        <f>Lcode_mapping!O323</f>
        <v>Solve</v>
      </c>
      <c r="O323" t="str">
        <f>Lcode_mapping!P323</f>
        <v>CalcERP</v>
      </c>
      <c r="P323" t="str">
        <f>Lcode_mapping!Q323</f>
        <v>-</v>
      </c>
      <c r="Q323" t="str">
        <f>Lcode_mapping!R323</f>
        <v>UT1IntrpMode</v>
      </c>
      <c r="R323" t="str">
        <f>Lcode_mapping!S323</f>
        <v>-</v>
      </c>
      <c r="S323" t="str">
        <f>Lcode_mapping!T323</f>
        <v>-</v>
      </c>
      <c r="T323" t="str">
        <f>Lcode_mapping!U323</f>
        <v>-</v>
      </c>
      <c r="U323" t="str">
        <f>Lcode_mapping!V323</f>
        <v>-</v>
      </c>
      <c r="V323" t="str">
        <f>Lcode_mapping!W323</f>
        <v>-</v>
      </c>
    </row>
    <row r="324" spans="1:22" ht="15" customHeight="1" x14ac:dyDescent="0.25">
      <c r="A324">
        <f>Lcode_mapping!A324</f>
        <v>229</v>
      </c>
      <c r="B324">
        <f>Lcode_mapping!B324</f>
        <v>1</v>
      </c>
      <c r="C324" t="str">
        <f>Lcode_mapping!D324</f>
        <v>FUT1TEXT</v>
      </c>
      <c r="D324">
        <f>Lcode_mapping!E324</f>
        <v>40</v>
      </c>
      <c r="E324">
        <f>Lcode_mapping!F324</f>
        <v>1</v>
      </c>
      <c r="F324">
        <f>Lcode_mapping!G324</f>
        <v>1</v>
      </c>
      <c r="G324" t="str">
        <f>Lcode_mapping!H324</f>
        <v>A</v>
      </c>
      <c r="H324">
        <f>Lcode_mapping!I324</f>
        <v>5</v>
      </c>
      <c r="I324" t="str">
        <f>Lcode_mapping!J324</f>
        <v>Final Value TAI-UT1 origin text.</v>
      </c>
      <c r="J324" t="str">
        <f>Lcode_mapping!K324</f>
        <v>Session</v>
      </c>
      <c r="K324" t="str">
        <f>Lcode_mapping!L324</f>
        <v>-</v>
      </c>
      <c r="L324" t="str">
        <f>Lcode_mapping!M324</f>
        <v>K</v>
      </c>
      <c r="M324" t="str">
        <f>Lcode_mapping!N324</f>
        <v>Solve</v>
      </c>
      <c r="N324" t="str">
        <f>Lcode_mapping!O324</f>
        <v>Solve</v>
      </c>
      <c r="O324" t="str">
        <f>Lcode_mapping!P324</f>
        <v>CalcERP</v>
      </c>
      <c r="P324" t="str">
        <f>Lcode_mapping!Q324</f>
        <v>-</v>
      </c>
      <c r="Q324" t="str">
        <f>Lcode_mapping!R324</f>
        <v>UT1Origin</v>
      </c>
      <c r="R324" t="str">
        <f>Lcode_mapping!S324</f>
        <v>-</v>
      </c>
      <c r="S324" t="str">
        <f>Lcode_mapping!T324</f>
        <v>-</v>
      </c>
      <c r="T324" t="str">
        <f>Lcode_mapping!U324</f>
        <v>-</v>
      </c>
      <c r="U324" t="str">
        <f>Lcode_mapping!V324</f>
        <v>-</v>
      </c>
      <c r="V324" t="str">
        <f>Lcode_mapping!W324</f>
        <v>-</v>
      </c>
    </row>
    <row r="325" spans="1:22" ht="15" customHeight="1" x14ac:dyDescent="0.25">
      <c r="A325">
        <f>Lcode_mapping!A325</f>
        <v>228</v>
      </c>
      <c r="B325">
        <f>Lcode_mapping!B325</f>
        <v>1</v>
      </c>
      <c r="C325" t="str">
        <f>Lcode_mapping!D325</f>
        <v>FUT1 PTS</v>
      </c>
      <c r="D325">
        <f>Lcode_mapping!E325</f>
        <v>15</v>
      </c>
      <c r="E325">
        <f>Lcode_mapping!F325</f>
        <v>1</v>
      </c>
      <c r="F325">
        <f>Lcode_mapping!G325</f>
        <v>1</v>
      </c>
      <c r="G325" t="str">
        <f>Lcode_mapping!H325</f>
        <v>R</v>
      </c>
      <c r="H325">
        <f>Lcode_mapping!I325</f>
        <v>5</v>
      </c>
      <c r="I325" t="str">
        <f>Lcode_mapping!J325</f>
        <v>Final Value TAI-UT1 data points.</v>
      </c>
      <c r="J325" t="str">
        <f>Lcode_mapping!K325</f>
        <v>Session</v>
      </c>
      <c r="K325" t="str">
        <f>Lcode_mapping!L325</f>
        <v>-</v>
      </c>
      <c r="L325" t="str">
        <f>Lcode_mapping!M325</f>
        <v>K</v>
      </c>
      <c r="M325" t="str">
        <f>Lcode_mapping!N325</f>
        <v>Solve</v>
      </c>
      <c r="N325" t="str">
        <f>Lcode_mapping!O325</f>
        <v>Solve</v>
      </c>
      <c r="O325" t="str">
        <f>Lcode_mapping!P325</f>
        <v>CalcERP</v>
      </c>
      <c r="P325" t="str">
        <f>Lcode_mapping!Q325</f>
        <v>-</v>
      </c>
      <c r="Q325" t="str">
        <f>Lcode_mapping!R325</f>
        <v>UT1Values</v>
      </c>
      <c r="R325" t="str">
        <f>Lcode_mapping!S325</f>
        <v>-</v>
      </c>
      <c r="S325" t="str">
        <f>Lcode_mapping!T325</f>
        <v>-</v>
      </c>
      <c r="T325" t="str">
        <f>Lcode_mapping!U325</f>
        <v>-</v>
      </c>
      <c r="U325" t="str">
        <f>Lcode_mapping!V325</f>
        <v>-</v>
      </c>
      <c r="V325" t="str">
        <f>Lcode_mapping!W325</f>
        <v>-</v>
      </c>
    </row>
    <row r="326" spans="1:22" ht="15" customHeight="1" x14ac:dyDescent="0.25">
      <c r="A326">
        <f>Lcode_mapping!A326</f>
        <v>230</v>
      </c>
      <c r="B326">
        <f>Lcode_mapping!B326</f>
        <v>1</v>
      </c>
      <c r="C326" t="str">
        <f>Lcode_mapping!D326</f>
        <v>FWOB INF</v>
      </c>
      <c r="D326">
        <f>Lcode_mapping!E326</f>
        <v>3</v>
      </c>
      <c r="E326">
        <f>Lcode_mapping!F326</f>
        <v>1</v>
      </c>
      <c r="F326">
        <f>Lcode_mapping!G326</f>
        <v>1</v>
      </c>
      <c r="G326" t="str">
        <f>Lcode_mapping!H326</f>
        <v>R</v>
      </c>
      <c r="H326">
        <f>Lcode_mapping!I326</f>
        <v>5</v>
      </c>
      <c r="I326" t="str">
        <f>Lcode_mapping!J326</f>
        <v>Final Value wobble array descr.</v>
      </c>
      <c r="J326" t="str">
        <f>Lcode_mapping!K326</f>
        <v>Session</v>
      </c>
      <c r="K326" t="str">
        <f>Lcode_mapping!L326</f>
        <v>-</v>
      </c>
      <c r="L326" t="str">
        <f>Lcode_mapping!M326</f>
        <v>K</v>
      </c>
      <c r="M326" t="str">
        <f>Lcode_mapping!N326</f>
        <v>Solve</v>
      </c>
      <c r="N326" t="str">
        <f>Lcode_mapping!O326</f>
        <v>Solve</v>
      </c>
      <c r="O326" t="str">
        <f>Lcode_mapping!P326</f>
        <v>CalcERP</v>
      </c>
      <c r="P326" t="str">
        <f>Lcode_mapping!Q326</f>
        <v>-</v>
      </c>
      <c r="Q326" t="str">
        <f>Lcode_mapping!R326</f>
        <v>WobArrayInfo</v>
      </c>
      <c r="R326" t="str">
        <f>Lcode_mapping!S326</f>
        <v>-</v>
      </c>
      <c r="S326" t="str">
        <f>Lcode_mapping!T326</f>
        <v xml:space="preserve">Array: (FJD of start, spacing in days, number points) </v>
      </c>
      <c r="T326" t="str">
        <f>Lcode_mapping!U326</f>
        <v>-</v>
      </c>
      <c r="U326" t="str">
        <f>Lcode_mapping!V326</f>
        <v>-</v>
      </c>
      <c r="V326" t="str">
        <f>Lcode_mapping!W326</f>
        <v>-</v>
      </c>
    </row>
    <row r="327" spans="1:22" ht="15" customHeight="1" x14ac:dyDescent="0.25">
      <c r="A327">
        <f>Lcode_mapping!A327</f>
        <v>231</v>
      </c>
      <c r="B327">
        <f>Lcode_mapping!B327</f>
        <v>1</v>
      </c>
      <c r="C327" t="str">
        <f>Lcode_mapping!D327</f>
        <v>FWOBTEXT</v>
      </c>
      <c r="D327">
        <f>Lcode_mapping!E327</f>
        <v>40</v>
      </c>
      <c r="E327">
        <f>Lcode_mapping!F327</f>
        <v>1</v>
      </c>
      <c r="F327">
        <f>Lcode_mapping!G327</f>
        <v>1</v>
      </c>
      <c r="G327" t="str">
        <f>Lcode_mapping!H327</f>
        <v>A</v>
      </c>
      <c r="H327">
        <f>Lcode_mapping!I327</f>
        <v>5</v>
      </c>
      <c r="I327" t="str">
        <f>Lcode_mapping!J327</f>
        <v>Final Value wobble origin text.</v>
      </c>
      <c r="J327" t="str">
        <f>Lcode_mapping!K327</f>
        <v>Session</v>
      </c>
      <c r="K327" t="str">
        <f>Lcode_mapping!L327</f>
        <v>-</v>
      </c>
      <c r="L327" t="str">
        <f>Lcode_mapping!M327</f>
        <v>K</v>
      </c>
      <c r="M327" t="str">
        <f>Lcode_mapping!N327</f>
        <v>Solve</v>
      </c>
      <c r="N327" t="str">
        <f>Lcode_mapping!O327</f>
        <v>Solve</v>
      </c>
      <c r="O327" t="str">
        <f>Lcode_mapping!P327</f>
        <v>CalcERP</v>
      </c>
      <c r="P327" t="str">
        <f>Lcode_mapping!Q327</f>
        <v>-</v>
      </c>
      <c r="Q327" t="str">
        <f>Lcode_mapping!R327</f>
        <v>WobbleOrigin</v>
      </c>
      <c r="R327" t="str">
        <f>Lcode_mapping!S327</f>
        <v>-</v>
      </c>
      <c r="S327" t="str">
        <f>Lcode_mapping!T327</f>
        <v>-</v>
      </c>
      <c r="T327" t="str">
        <f>Lcode_mapping!U327</f>
        <v>-</v>
      </c>
      <c r="U327" t="str">
        <f>Lcode_mapping!V327</f>
        <v>-</v>
      </c>
      <c r="V327" t="str">
        <f>Lcode_mapping!W327</f>
        <v>-</v>
      </c>
    </row>
    <row r="328" spans="1:22" ht="15" customHeight="1" x14ac:dyDescent="0.25">
      <c r="A328">
        <f>Lcode_mapping!A328</f>
        <v>236</v>
      </c>
      <c r="B328">
        <f>Lcode_mapping!B328</f>
        <v>1</v>
      </c>
      <c r="C328" t="str">
        <f>Lcode_mapping!D328</f>
        <v>WOBINTRP</v>
      </c>
      <c r="D328">
        <f>Lcode_mapping!E328</f>
        <v>30</v>
      </c>
      <c r="E328">
        <f>Lcode_mapping!F328</f>
        <v>1</v>
      </c>
      <c r="F328">
        <f>Lcode_mapping!G328</f>
        <v>1</v>
      </c>
      <c r="G328" t="str">
        <f>Lcode_mapping!H328</f>
        <v>A</v>
      </c>
      <c r="H328">
        <f>Lcode_mapping!I328</f>
        <v>5</v>
      </c>
      <c r="I328" t="str">
        <f>Lcode_mapping!J328</f>
        <v>Interp. scheme for polar motion.</v>
      </c>
      <c r="J328" t="str">
        <f>Lcode_mapping!K328</f>
        <v>Session</v>
      </c>
      <c r="K328" t="str">
        <f>Lcode_mapping!L328</f>
        <v>-</v>
      </c>
      <c r="L328" t="str">
        <f>Lcode_mapping!M328</f>
        <v>K</v>
      </c>
      <c r="M328" t="str">
        <f>Lcode_mapping!N328</f>
        <v>Solve</v>
      </c>
      <c r="N328" t="str">
        <f>Lcode_mapping!O328</f>
        <v>Solve</v>
      </c>
      <c r="O328" t="str">
        <f>Lcode_mapping!P328</f>
        <v>CalcERP</v>
      </c>
      <c r="P328" t="str">
        <f>Lcode_mapping!Q328</f>
        <v>-</v>
      </c>
      <c r="Q328" t="str">
        <f>Lcode_mapping!R328</f>
        <v>WobIntrpMode</v>
      </c>
      <c r="R328" t="str">
        <f>Lcode_mapping!S328</f>
        <v>-</v>
      </c>
      <c r="S328" t="str">
        <f>Lcode_mapping!T328</f>
        <v>-</v>
      </c>
      <c r="T328" t="str">
        <f>Lcode_mapping!U328</f>
        <v>-</v>
      </c>
      <c r="U328" t="str">
        <f>Lcode_mapping!V328</f>
        <v>-</v>
      </c>
      <c r="V328" t="str">
        <f>Lcode_mapping!W328</f>
        <v>-</v>
      </c>
    </row>
    <row r="329" spans="1:22" ht="15" customHeight="1" x14ac:dyDescent="0.25">
      <c r="A329">
        <f>Lcode_mapping!A329</f>
        <v>232</v>
      </c>
      <c r="B329">
        <f>Lcode_mapping!B329</f>
        <v>1</v>
      </c>
      <c r="C329" t="str">
        <f>Lcode_mapping!D329</f>
        <v>FWOBX&amp;YT</v>
      </c>
      <c r="D329">
        <f>Lcode_mapping!E329</f>
        <v>2</v>
      </c>
      <c r="E329">
        <f>Lcode_mapping!F329</f>
        <v>15</v>
      </c>
      <c r="F329">
        <f>Lcode_mapping!G329</f>
        <v>1</v>
      </c>
      <c r="G329" t="str">
        <f>Lcode_mapping!H329</f>
        <v>R</v>
      </c>
      <c r="H329">
        <f>Lcode_mapping!I329</f>
        <v>5</v>
      </c>
      <c r="I329" t="str">
        <f>Lcode_mapping!J329</f>
        <v>Final wobble X Y component value</v>
      </c>
      <c r="J329" t="str">
        <f>Lcode_mapping!K329</f>
        <v>Session</v>
      </c>
      <c r="K329" t="str">
        <f>Lcode_mapping!L329</f>
        <v>-</v>
      </c>
      <c r="L329" t="str">
        <f>Lcode_mapping!M329</f>
        <v>K</v>
      </c>
      <c r="M329" t="str">
        <f>Lcode_mapping!N329</f>
        <v>Solve</v>
      </c>
      <c r="N329" t="str">
        <f>Lcode_mapping!O329</f>
        <v>Solve</v>
      </c>
      <c r="O329" t="str">
        <f>Lcode_mapping!P329</f>
        <v>CalcERP</v>
      </c>
      <c r="P329" t="str">
        <f>Lcode_mapping!Q329</f>
        <v>-</v>
      </c>
      <c r="Q329" t="str">
        <f>Lcode_mapping!R329</f>
        <v>WobValues</v>
      </c>
      <c r="R329" t="str">
        <f>Lcode_mapping!S329</f>
        <v>-</v>
      </c>
      <c r="S329" t="str">
        <f>Lcode_mapping!T329</f>
        <v>-</v>
      </c>
      <c r="T329" t="str">
        <f>Lcode_mapping!U329</f>
        <v>-</v>
      </c>
      <c r="U329" t="str">
        <f>Lcode_mapping!V329</f>
        <v>-</v>
      </c>
      <c r="V329" t="str">
        <f>Lcode_mapping!W329</f>
        <v>-</v>
      </c>
    </row>
    <row r="330" spans="1:22" ht="15" customHeight="1" x14ac:dyDescent="0.25">
      <c r="A330">
        <f>Lcode_mapping!A330</f>
        <v>160</v>
      </c>
      <c r="B330">
        <f>Lcode_mapping!B330</f>
        <v>1</v>
      </c>
      <c r="C330" t="str">
        <f>Lcode_mapping!D330</f>
        <v>ATI CFLG</v>
      </c>
      <c r="D330">
        <f>Lcode_mapping!E330</f>
        <v>40</v>
      </c>
      <c r="E330">
        <f>Lcode_mapping!F330</f>
        <v>1</v>
      </c>
      <c r="F330">
        <f>Lcode_mapping!G330</f>
        <v>1</v>
      </c>
      <c r="G330" t="str">
        <f>Lcode_mapping!H330</f>
        <v>A</v>
      </c>
      <c r="H330">
        <f>Lcode_mapping!I330</f>
        <v>5</v>
      </c>
      <c r="I330" t="str">
        <f>Lcode_mapping!J330</f>
        <v>ATIME Flow Control Message Def.</v>
      </c>
      <c r="J330" t="str">
        <f>Lcode_mapping!K330</f>
        <v>Session</v>
      </c>
      <c r="K330" t="str">
        <f>Lcode_mapping!L330</f>
        <v>-</v>
      </c>
      <c r="L330" t="str">
        <f>Lcode_mapping!M330</f>
        <v>K</v>
      </c>
      <c r="M330" t="str">
        <f>Lcode_mapping!N330</f>
        <v>Solve</v>
      </c>
      <c r="N330" t="str">
        <f>Lcode_mapping!O330</f>
        <v>Solve</v>
      </c>
      <c r="O330" t="str">
        <f>Lcode_mapping!P330</f>
        <v>CalcInfo</v>
      </c>
      <c r="P330" t="str">
        <f>Lcode_mapping!Q330</f>
        <v>Y</v>
      </c>
      <c r="Q330" t="str">
        <f>Lcode_mapping!R330</f>
        <v>ATIControl</v>
      </c>
      <c r="R330" t="str">
        <f>Lcode_mapping!S330</f>
        <v>-</v>
      </c>
      <c r="S330" t="str">
        <f>Lcode_mapping!T330</f>
        <v>-</v>
      </c>
      <c r="T330" t="str">
        <f>Lcode_mapping!U330</f>
        <v>-</v>
      </c>
      <c r="U330" t="str">
        <f>Lcode_mapping!V330</f>
        <v>-</v>
      </c>
      <c r="V330" t="str">
        <f>Lcode_mapping!W330</f>
        <v>-</v>
      </c>
    </row>
    <row r="331" spans="1:22" ht="15" customHeight="1" x14ac:dyDescent="0.25">
      <c r="A331">
        <f>Lcode_mapping!A331</f>
        <v>161</v>
      </c>
      <c r="B331">
        <f>Lcode_mapping!B331</f>
        <v>1</v>
      </c>
      <c r="C331" t="str">
        <f>Lcode_mapping!D331</f>
        <v>ATI MESS</v>
      </c>
      <c r="D331">
        <f>Lcode_mapping!E331</f>
        <v>40</v>
      </c>
      <c r="E331">
        <f>Lcode_mapping!F331</f>
        <v>1</v>
      </c>
      <c r="F331">
        <f>Lcode_mapping!G331</f>
        <v>1</v>
      </c>
      <c r="G331" t="str">
        <f>Lcode_mapping!H331</f>
        <v>A</v>
      </c>
      <c r="H331">
        <f>Lcode_mapping!I331</f>
        <v>5</v>
      </c>
      <c r="I331" t="str">
        <f>Lcode_mapping!J331</f>
        <v>ATIME Message Definition</v>
      </c>
      <c r="J331" t="str">
        <f>Lcode_mapping!K331</f>
        <v>Session</v>
      </c>
      <c r="K331" t="str">
        <f>Lcode_mapping!L331</f>
        <v>-</v>
      </c>
      <c r="L331" t="str">
        <f>Lcode_mapping!M331</f>
        <v>K</v>
      </c>
      <c r="M331" t="str">
        <f>Lcode_mapping!N331</f>
        <v>Solve</v>
      </c>
      <c r="N331" t="str">
        <f>Lcode_mapping!O331</f>
        <v>Solve</v>
      </c>
      <c r="O331" t="str">
        <f>Lcode_mapping!P331</f>
        <v>CalcInfo</v>
      </c>
      <c r="P331" t="str">
        <f>Lcode_mapping!Q331</f>
        <v>Y</v>
      </c>
      <c r="Q331" t="str">
        <f>Lcode_mapping!R331</f>
        <v>ATIMessage</v>
      </c>
      <c r="R331" t="str">
        <f>Lcode_mapping!S331</f>
        <v>-</v>
      </c>
      <c r="S331" t="str">
        <f>Lcode_mapping!T331</f>
        <v>-</v>
      </c>
      <c r="T331" t="str">
        <f>Lcode_mapping!U331</f>
        <v>-</v>
      </c>
      <c r="U331" t="str">
        <f>Lcode_mapping!V331</f>
        <v>-</v>
      </c>
      <c r="V331" t="str">
        <f>Lcode_mapping!W331</f>
        <v>-</v>
      </c>
    </row>
    <row r="332" spans="1:22" ht="15" customHeight="1" x14ac:dyDescent="0.25">
      <c r="A332">
        <f>Lcode_mapping!A332</f>
        <v>162</v>
      </c>
      <c r="B332">
        <f>Lcode_mapping!B332</f>
        <v>1</v>
      </c>
      <c r="C332" t="str">
        <f>Lcode_mapping!D332</f>
        <v>ATM CFLG</v>
      </c>
      <c r="D332">
        <f>Lcode_mapping!E332</f>
        <v>40</v>
      </c>
      <c r="E332">
        <f>Lcode_mapping!F332</f>
        <v>1</v>
      </c>
      <c r="F332">
        <f>Lcode_mapping!G332</f>
        <v>1</v>
      </c>
      <c r="G332" t="str">
        <f>Lcode_mapping!H332</f>
        <v>A</v>
      </c>
      <c r="H332">
        <f>Lcode_mapping!I332</f>
        <v>5</v>
      </c>
      <c r="I332" t="str">
        <f>Lcode_mapping!J332</f>
        <v>Atmosphere control flag mess def</v>
      </c>
      <c r="J332" t="str">
        <f>Lcode_mapping!K332</f>
        <v>Session</v>
      </c>
      <c r="K332" t="str">
        <f>Lcode_mapping!L332</f>
        <v>-</v>
      </c>
      <c r="L332" t="str">
        <f>Lcode_mapping!M332</f>
        <v>K</v>
      </c>
      <c r="M332" t="str">
        <f>Lcode_mapping!N332</f>
        <v>Solve</v>
      </c>
      <c r="N332" t="str">
        <f>Lcode_mapping!O332</f>
        <v>Solve</v>
      </c>
      <c r="O332" t="str">
        <f>Lcode_mapping!P332</f>
        <v>CalcInfo</v>
      </c>
      <c r="P332" t="str">
        <f>Lcode_mapping!Q332</f>
        <v>Y</v>
      </c>
      <c r="Q332" t="str">
        <f>Lcode_mapping!R332</f>
        <v>ATMControl</v>
      </c>
      <c r="R332" t="str">
        <f>Lcode_mapping!S332</f>
        <v>-</v>
      </c>
      <c r="S332" t="str">
        <f>Lcode_mapping!T332</f>
        <v>-</v>
      </c>
      <c r="T332" t="str">
        <f>Lcode_mapping!U332</f>
        <v>-</v>
      </c>
      <c r="U332" t="str">
        <f>Lcode_mapping!V332</f>
        <v>-</v>
      </c>
      <c r="V332" t="str">
        <f>Lcode_mapping!W332</f>
        <v>-</v>
      </c>
    </row>
    <row r="333" spans="1:22" ht="15" customHeight="1" x14ac:dyDescent="0.25">
      <c r="A333">
        <f>Lcode_mapping!A333</f>
        <v>163</v>
      </c>
      <c r="B333">
        <f>Lcode_mapping!B333</f>
        <v>1</v>
      </c>
      <c r="C333" t="str">
        <f>Lcode_mapping!D333</f>
        <v>ATM MESS</v>
      </c>
      <c r="D333">
        <f>Lcode_mapping!E333</f>
        <v>40</v>
      </c>
      <c r="E333">
        <f>Lcode_mapping!F333</f>
        <v>1</v>
      </c>
      <c r="F333">
        <f>Lcode_mapping!G333</f>
        <v>1</v>
      </c>
      <c r="G333" t="str">
        <f>Lcode_mapping!H333</f>
        <v>A</v>
      </c>
      <c r="H333">
        <f>Lcode_mapping!I333</f>
        <v>5</v>
      </c>
      <c r="I333" t="str">
        <f>Lcode_mapping!J333</f>
        <v>Atmosphere message definition</v>
      </c>
      <c r="J333" t="str">
        <f>Lcode_mapping!K333</f>
        <v>Session</v>
      </c>
      <c r="K333" t="str">
        <f>Lcode_mapping!L333</f>
        <v>-</v>
      </c>
      <c r="L333" t="str">
        <f>Lcode_mapping!M333</f>
        <v>K</v>
      </c>
      <c r="M333" t="str">
        <f>Lcode_mapping!N333</f>
        <v>Solve</v>
      </c>
      <c r="N333" t="str">
        <f>Lcode_mapping!O333</f>
        <v>Solve</v>
      </c>
      <c r="O333" t="str">
        <f>Lcode_mapping!P333</f>
        <v>CalcInfo</v>
      </c>
      <c r="P333" t="str">
        <f>Lcode_mapping!Q333</f>
        <v>Y</v>
      </c>
      <c r="Q333" t="str">
        <f>Lcode_mapping!R333</f>
        <v>ATMMessage</v>
      </c>
      <c r="R333" t="str">
        <f>Lcode_mapping!S333</f>
        <v>-</v>
      </c>
      <c r="S333" t="str">
        <f>Lcode_mapping!T333</f>
        <v>-</v>
      </c>
      <c r="T333" t="str">
        <f>Lcode_mapping!U333</f>
        <v>-</v>
      </c>
      <c r="U333" t="str">
        <f>Lcode_mapping!V333</f>
        <v>-</v>
      </c>
      <c r="V333" t="str">
        <f>Lcode_mapping!W333</f>
        <v>-</v>
      </c>
    </row>
    <row r="334" spans="1:22" ht="15" customHeight="1" x14ac:dyDescent="0.25">
      <c r="A334">
        <f>Lcode_mapping!A334</f>
        <v>164</v>
      </c>
      <c r="B334">
        <f>Lcode_mapping!B334</f>
        <v>1</v>
      </c>
      <c r="C334" t="str">
        <f>Lcode_mapping!D334</f>
        <v>AXO CFLG</v>
      </c>
      <c r="D334">
        <f>Lcode_mapping!E334</f>
        <v>40</v>
      </c>
      <c r="E334">
        <f>Lcode_mapping!F334</f>
        <v>1</v>
      </c>
      <c r="F334">
        <f>Lcode_mapping!G334</f>
        <v>1</v>
      </c>
      <c r="G334" t="str">
        <f>Lcode_mapping!H334</f>
        <v>A</v>
      </c>
      <c r="H334">
        <f>Lcode_mapping!I334</f>
        <v>5</v>
      </c>
      <c r="I334" t="str">
        <f>Lcode_mapping!J334</f>
        <v>Axis Offset Control flag mes def</v>
      </c>
      <c r="J334" t="str">
        <f>Lcode_mapping!K334</f>
        <v>Session</v>
      </c>
      <c r="K334" t="str">
        <f>Lcode_mapping!L334</f>
        <v>-</v>
      </c>
      <c r="L334" t="str">
        <f>Lcode_mapping!M334</f>
        <v>K</v>
      </c>
      <c r="M334" t="str">
        <f>Lcode_mapping!N334</f>
        <v>Solve</v>
      </c>
      <c r="N334" t="str">
        <f>Lcode_mapping!O334</f>
        <v>Solve</v>
      </c>
      <c r="O334" t="str">
        <f>Lcode_mapping!P334</f>
        <v>CalcInfo</v>
      </c>
      <c r="P334" t="str">
        <f>Lcode_mapping!Q334</f>
        <v>Y</v>
      </c>
      <c r="Q334" t="str">
        <f>Lcode_mapping!R334</f>
        <v>AxisOffsetControl</v>
      </c>
      <c r="R334" t="str">
        <f>Lcode_mapping!S334</f>
        <v>-</v>
      </c>
      <c r="S334" t="str">
        <f>Lcode_mapping!T334</f>
        <v>-</v>
      </c>
      <c r="T334" t="str">
        <f>Lcode_mapping!U334</f>
        <v>-</v>
      </c>
      <c r="U334" t="str">
        <f>Lcode_mapping!V334</f>
        <v>-</v>
      </c>
      <c r="V334" t="str">
        <f>Lcode_mapping!W334</f>
        <v>-</v>
      </c>
    </row>
    <row r="335" spans="1:22" ht="15" customHeight="1" x14ac:dyDescent="0.25">
      <c r="A335">
        <f>Lcode_mapping!A335</f>
        <v>165</v>
      </c>
      <c r="B335">
        <f>Lcode_mapping!B335</f>
        <v>1</v>
      </c>
      <c r="C335" t="str">
        <f>Lcode_mapping!D335</f>
        <v>AXO MESS</v>
      </c>
      <c r="D335">
        <f>Lcode_mapping!E335</f>
        <v>40</v>
      </c>
      <c r="E335">
        <f>Lcode_mapping!F335</f>
        <v>1</v>
      </c>
      <c r="F335">
        <f>Lcode_mapping!G335</f>
        <v>1</v>
      </c>
      <c r="G335" t="str">
        <f>Lcode_mapping!H335</f>
        <v>A</v>
      </c>
      <c r="H335">
        <f>Lcode_mapping!I335</f>
        <v>5</v>
      </c>
      <c r="I335" t="str">
        <f>Lcode_mapping!J335</f>
        <v>Axis Offset Message Definition</v>
      </c>
      <c r="J335" t="str">
        <f>Lcode_mapping!K335</f>
        <v>Session</v>
      </c>
      <c r="K335" t="str">
        <f>Lcode_mapping!L335</f>
        <v>-</v>
      </c>
      <c r="L335" t="str">
        <f>Lcode_mapping!M335</f>
        <v>K</v>
      </c>
      <c r="M335" t="str">
        <f>Lcode_mapping!N335</f>
        <v>Solve</v>
      </c>
      <c r="N335" t="str">
        <f>Lcode_mapping!O335</f>
        <v>Solve</v>
      </c>
      <c r="O335" t="str">
        <f>Lcode_mapping!P335</f>
        <v>CalcInfo</v>
      </c>
      <c r="P335" t="str">
        <f>Lcode_mapping!Q335</f>
        <v>Y</v>
      </c>
      <c r="Q335" t="str">
        <f>Lcode_mapping!R335</f>
        <v>AxisOffsetMessage</v>
      </c>
      <c r="R335" t="str">
        <f>Lcode_mapping!S335</f>
        <v>-</v>
      </c>
      <c r="S335" t="str">
        <f>Lcode_mapping!T335</f>
        <v>-</v>
      </c>
      <c r="T335" t="str">
        <f>Lcode_mapping!U335</f>
        <v>-</v>
      </c>
      <c r="U335" t="str">
        <f>Lcode_mapping!V335</f>
        <v>-</v>
      </c>
      <c r="V335" t="str">
        <f>Lcode_mapping!W335</f>
        <v>-</v>
      </c>
    </row>
    <row r="336" spans="1:22" ht="15" customHeight="1" x14ac:dyDescent="0.25">
      <c r="A336">
        <f>Lcode_mapping!A336</f>
        <v>167</v>
      </c>
      <c r="B336">
        <f>Lcode_mapping!B336</f>
        <v>1</v>
      </c>
      <c r="C336" t="str">
        <f>Lcode_mapping!D336</f>
        <v>CALCFLGN</v>
      </c>
      <c r="D336">
        <f>Lcode_mapping!E336</f>
        <v>2</v>
      </c>
      <c r="E336">
        <f>Lcode_mapping!F336</f>
        <v>31</v>
      </c>
      <c r="F336">
        <f>Lcode_mapping!G336</f>
        <v>1</v>
      </c>
      <c r="G336" t="str">
        <f>Lcode_mapping!H336</f>
        <v>A</v>
      </c>
      <c r="H336">
        <f>Lcode_mapping!I336</f>
        <v>5</v>
      </c>
      <c r="I336" t="str">
        <f>Lcode_mapping!J336</f>
        <v>CALC flow control flags name def</v>
      </c>
      <c r="J336" t="str">
        <f>Lcode_mapping!K336</f>
        <v>Session</v>
      </c>
      <c r="K336" t="str">
        <f>Lcode_mapping!L336</f>
        <v>-</v>
      </c>
      <c r="L336" t="str">
        <f>Lcode_mapping!M336</f>
        <v>K</v>
      </c>
      <c r="M336" t="str">
        <f>Lcode_mapping!N336</f>
        <v>Solve</v>
      </c>
      <c r="N336" t="str">
        <f>Lcode_mapping!O336</f>
        <v>Solve</v>
      </c>
      <c r="O336" t="str">
        <f>Lcode_mapping!P336</f>
        <v>CalcInfo</v>
      </c>
      <c r="P336" t="str">
        <f>Lcode_mapping!Q336</f>
        <v>Y</v>
      </c>
      <c r="Q336" t="str">
        <f>Lcode_mapping!R336</f>
        <v>CalcControlNames</v>
      </c>
      <c r="R336" t="str">
        <f>Lcode_mapping!S336</f>
        <v>-</v>
      </c>
      <c r="S336" t="str">
        <f>Lcode_mapping!T336</f>
        <v>-</v>
      </c>
      <c r="T336" t="str">
        <f>Lcode_mapping!U336</f>
        <v>-</v>
      </c>
      <c r="U336" t="str">
        <f>Lcode_mapping!V336</f>
        <v>-</v>
      </c>
      <c r="V336" t="str">
        <f>Lcode_mapping!W336</f>
        <v>-</v>
      </c>
    </row>
    <row r="337" spans="1:22" ht="15" customHeight="1" x14ac:dyDescent="0.25">
      <c r="A337">
        <f>Lcode_mapping!A337</f>
        <v>168</v>
      </c>
      <c r="B337">
        <f>Lcode_mapping!B337</f>
        <v>1</v>
      </c>
      <c r="C337" t="str">
        <f>Lcode_mapping!D337</f>
        <v>CALCFLGV</v>
      </c>
      <c r="D337">
        <f>Lcode_mapping!E337</f>
        <v>31</v>
      </c>
      <c r="E337">
        <f>Lcode_mapping!F337</f>
        <v>1</v>
      </c>
      <c r="F337">
        <f>Lcode_mapping!G337</f>
        <v>1</v>
      </c>
      <c r="G337" t="str">
        <f>Lcode_mapping!H337</f>
        <v>I</v>
      </c>
      <c r="H337">
        <f>Lcode_mapping!I337</f>
        <v>5</v>
      </c>
      <c r="I337" t="str">
        <f>Lcode_mapping!J337</f>
        <v>CALC flow control flags valu def</v>
      </c>
      <c r="J337" t="str">
        <f>Lcode_mapping!K337</f>
        <v>Session</v>
      </c>
      <c r="K337" t="str">
        <f>Lcode_mapping!L337</f>
        <v>-</v>
      </c>
      <c r="L337" t="str">
        <f>Lcode_mapping!M337</f>
        <v>K</v>
      </c>
      <c r="M337" t="str">
        <f>Lcode_mapping!N337</f>
        <v>Solve</v>
      </c>
      <c r="N337" t="str">
        <f>Lcode_mapping!O337</f>
        <v>Solve</v>
      </c>
      <c r="O337" t="str">
        <f>Lcode_mapping!P337</f>
        <v>CalcInfo</v>
      </c>
      <c r="P337" t="str">
        <f>Lcode_mapping!Q337</f>
        <v>Y</v>
      </c>
      <c r="Q337" t="str">
        <f>Lcode_mapping!R337</f>
        <v>CalcControlValues</v>
      </c>
      <c r="R337" t="str">
        <f>Lcode_mapping!S337</f>
        <v>-</v>
      </c>
      <c r="S337" t="str">
        <f>Lcode_mapping!T337</f>
        <v>-</v>
      </c>
      <c r="T337" t="str">
        <f>Lcode_mapping!U337</f>
        <v>-</v>
      </c>
      <c r="U337" t="str">
        <f>Lcode_mapping!V337</f>
        <v>-</v>
      </c>
      <c r="V337" t="str">
        <f>Lcode_mapping!W337</f>
        <v>-</v>
      </c>
    </row>
    <row r="338" spans="1:22" ht="15" customHeight="1" x14ac:dyDescent="0.25">
      <c r="A338">
        <f>Lcode_mapping!A338</f>
        <v>166</v>
      </c>
      <c r="B338">
        <f>Lcode_mapping!B338</f>
        <v>1</v>
      </c>
      <c r="C338" t="str">
        <f>Lcode_mapping!D338</f>
        <v>CALC VER</v>
      </c>
      <c r="D338">
        <f>Lcode_mapping!E338</f>
        <v>1</v>
      </c>
      <c r="E338">
        <f>Lcode_mapping!F338</f>
        <v>1</v>
      </c>
      <c r="F338">
        <f>Lcode_mapping!G338</f>
        <v>1</v>
      </c>
      <c r="G338" t="str">
        <f>Lcode_mapping!H338</f>
        <v>R</v>
      </c>
      <c r="H338">
        <f>Lcode_mapping!I338</f>
        <v>5</v>
      </c>
      <c r="I338" t="str">
        <f>Lcode_mapping!J338</f>
        <v>CALC version number</v>
      </c>
      <c r="J338" t="str">
        <f>Lcode_mapping!K338</f>
        <v>Session</v>
      </c>
      <c r="K338" t="str">
        <f>Lcode_mapping!L338</f>
        <v>-</v>
      </c>
      <c r="L338" t="str">
        <f>Lcode_mapping!M338</f>
        <v>K</v>
      </c>
      <c r="M338" t="str">
        <f>Lcode_mapping!N338</f>
        <v>Solve</v>
      </c>
      <c r="N338" t="str">
        <f>Lcode_mapping!O338</f>
        <v>Solve</v>
      </c>
      <c r="O338" t="str">
        <f>Lcode_mapping!P338</f>
        <v>CalcInfo</v>
      </c>
      <c r="P338" t="str">
        <f>Lcode_mapping!Q338</f>
        <v>Y</v>
      </c>
      <c r="Q338" t="str">
        <f>Lcode_mapping!R338</f>
        <v>CalcVersion</v>
      </c>
      <c r="R338" t="str">
        <f>Lcode_mapping!S338</f>
        <v>-</v>
      </c>
      <c r="S338" t="str">
        <f>Lcode_mapping!T338</f>
        <v>-</v>
      </c>
      <c r="T338" t="str">
        <f>Lcode_mapping!U338</f>
        <v>-</v>
      </c>
      <c r="U338" t="str">
        <f>Lcode_mapping!V338</f>
        <v>-</v>
      </c>
      <c r="V338" t="str">
        <f>Lcode_mapping!W338</f>
        <v>-</v>
      </c>
    </row>
    <row r="339" spans="1:22" ht="15" customHeight="1" x14ac:dyDescent="0.25">
      <c r="A339">
        <f>Lcode_mapping!A339</f>
        <v>169</v>
      </c>
      <c r="B339">
        <f>Lcode_mapping!B339</f>
        <v>1</v>
      </c>
      <c r="C339" t="str">
        <f>Lcode_mapping!D339</f>
        <v>COR DATA</v>
      </c>
      <c r="D339">
        <f>Lcode_mapping!E339</f>
        <v>2</v>
      </c>
      <c r="E339">
        <f>Lcode_mapping!F339</f>
        <v>1</v>
      </c>
      <c r="F339">
        <f>Lcode_mapping!G339</f>
        <v>1</v>
      </c>
      <c r="G339" t="str">
        <f>Lcode_mapping!H339</f>
        <v>R</v>
      </c>
      <c r="H339">
        <f>Lcode_mapping!I339</f>
        <v>1</v>
      </c>
      <c r="I339" t="str">
        <f>Lcode_mapping!J339</f>
        <v>Corona model parameters.</v>
      </c>
      <c r="J339" t="str">
        <f>Lcode_mapping!K339</f>
        <v>Session</v>
      </c>
      <c r="K339" t="str">
        <f>Lcode_mapping!L339</f>
        <v>-</v>
      </c>
      <c r="L339" t="str">
        <f>Lcode_mapping!M339</f>
        <v>K</v>
      </c>
      <c r="M339" t="str">
        <f>Lcode_mapping!N339</f>
        <v>Solve</v>
      </c>
      <c r="N339" t="str">
        <f>Lcode_mapping!O339</f>
        <v>Solve</v>
      </c>
      <c r="O339" t="str">
        <f>Lcode_mapping!P339</f>
        <v>CalcInfo</v>
      </c>
      <c r="P339" t="str">
        <f>Lcode_mapping!Q339</f>
        <v>Y</v>
      </c>
      <c r="Q339" t="str">
        <f>Lcode_mapping!R339</f>
        <v>CoronaData</v>
      </c>
      <c r="R339" t="str">
        <f>Lcode_mapping!S339</f>
        <v>-</v>
      </c>
      <c r="S339" t="str">
        <f>Lcode_mapping!T339</f>
        <v>-</v>
      </c>
      <c r="T339" t="str">
        <f>Lcode_mapping!U339</f>
        <v>-</v>
      </c>
      <c r="U339" t="str">
        <f>Lcode_mapping!V339</f>
        <v>-</v>
      </c>
      <c r="V339" t="str">
        <f>Lcode_mapping!W339</f>
        <v>-</v>
      </c>
    </row>
    <row r="340" spans="1:22" ht="15" customHeight="1" x14ac:dyDescent="0.25">
      <c r="A340">
        <f>Lcode_mapping!A340</f>
        <v>170</v>
      </c>
      <c r="B340">
        <f>Lcode_mapping!B340</f>
        <v>1</v>
      </c>
      <c r="C340" t="str">
        <f>Lcode_mapping!D340</f>
        <v>CTI CFLG</v>
      </c>
      <c r="D340">
        <f>Lcode_mapping!E340</f>
        <v>40</v>
      </c>
      <c r="E340">
        <f>Lcode_mapping!F340</f>
        <v>1</v>
      </c>
      <c r="F340">
        <f>Lcode_mapping!G340</f>
        <v>1</v>
      </c>
      <c r="G340" t="str">
        <f>Lcode_mapping!H340</f>
        <v>A</v>
      </c>
      <c r="H340">
        <f>Lcode_mapping!I340</f>
        <v>5</v>
      </c>
      <c r="I340" t="str">
        <f>Lcode_mapping!J340</f>
        <v>CTIMG Flow Control Message Der</v>
      </c>
      <c r="J340" t="str">
        <f>Lcode_mapping!K340</f>
        <v>Session</v>
      </c>
      <c r="K340" t="str">
        <f>Lcode_mapping!L340</f>
        <v>-</v>
      </c>
      <c r="L340" t="str">
        <f>Lcode_mapping!M340</f>
        <v>K</v>
      </c>
      <c r="M340" t="str">
        <f>Lcode_mapping!N340</f>
        <v>Solve</v>
      </c>
      <c r="N340" t="str">
        <f>Lcode_mapping!O340</f>
        <v>Solve</v>
      </c>
      <c r="O340" t="str">
        <f>Lcode_mapping!P340</f>
        <v>CalcInfo</v>
      </c>
      <c r="P340" t="str">
        <f>Lcode_mapping!Q340</f>
        <v>Y</v>
      </c>
      <c r="Q340" t="str">
        <f>Lcode_mapping!R340</f>
        <v>CTIControl</v>
      </c>
      <c r="R340" t="str">
        <f>Lcode_mapping!S340</f>
        <v>-</v>
      </c>
      <c r="S340" t="str">
        <f>Lcode_mapping!T340</f>
        <v>-</v>
      </c>
      <c r="T340" t="str">
        <f>Lcode_mapping!U340</f>
        <v>-</v>
      </c>
      <c r="U340" t="str">
        <f>Lcode_mapping!V340</f>
        <v>-</v>
      </c>
      <c r="V340" t="str">
        <f>Lcode_mapping!W340</f>
        <v>-</v>
      </c>
    </row>
    <row r="341" spans="1:22" ht="15" customHeight="1" x14ac:dyDescent="0.25">
      <c r="A341">
        <f>Lcode_mapping!A341</f>
        <v>171</v>
      </c>
      <c r="B341">
        <f>Lcode_mapping!B341</f>
        <v>1</v>
      </c>
      <c r="C341" t="str">
        <f>Lcode_mapping!D341</f>
        <v>CTI MESS</v>
      </c>
      <c r="D341">
        <f>Lcode_mapping!E341</f>
        <v>40</v>
      </c>
      <c r="E341">
        <f>Lcode_mapping!F341</f>
        <v>1</v>
      </c>
      <c r="F341">
        <f>Lcode_mapping!G341</f>
        <v>1</v>
      </c>
      <c r="G341" t="str">
        <f>Lcode_mapping!H341</f>
        <v>A</v>
      </c>
      <c r="H341">
        <f>Lcode_mapping!I341</f>
        <v>5</v>
      </c>
      <c r="I341" t="str">
        <f>Lcode_mapping!J341</f>
        <v>CTIMG Message Definition</v>
      </c>
      <c r="J341" t="str">
        <f>Lcode_mapping!K341</f>
        <v>Session</v>
      </c>
      <c r="K341" t="str">
        <f>Lcode_mapping!L341</f>
        <v>-</v>
      </c>
      <c r="L341" t="str">
        <f>Lcode_mapping!M341</f>
        <v>K</v>
      </c>
      <c r="M341" t="str">
        <f>Lcode_mapping!N341</f>
        <v>Solve</v>
      </c>
      <c r="N341" t="str">
        <f>Lcode_mapping!O341</f>
        <v>Solve</v>
      </c>
      <c r="O341" t="str">
        <f>Lcode_mapping!P341</f>
        <v>CalcInfo</v>
      </c>
      <c r="P341" t="str">
        <f>Lcode_mapping!Q341</f>
        <v>Y</v>
      </c>
      <c r="Q341" t="str">
        <f>Lcode_mapping!R341</f>
        <v>CTIMessage</v>
      </c>
      <c r="R341" t="str">
        <f>Lcode_mapping!S341</f>
        <v>-</v>
      </c>
      <c r="S341" t="str">
        <f>Lcode_mapping!T341</f>
        <v>-</v>
      </c>
      <c r="T341" t="str">
        <f>Lcode_mapping!U341</f>
        <v>-</v>
      </c>
      <c r="U341" t="str">
        <f>Lcode_mapping!V341</f>
        <v>-</v>
      </c>
      <c r="V341" t="str">
        <f>Lcode_mapping!W341</f>
        <v>-</v>
      </c>
    </row>
    <row r="342" spans="1:22" ht="15" customHeight="1" x14ac:dyDescent="0.25">
      <c r="A342">
        <f>Lcode_mapping!A342</f>
        <v>173</v>
      </c>
      <c r="B342">
        <f>Lcode_mapping!B342</f>
        <v>1</v>
      </c>
      <c r="C342" t="str">
        <f>Lcode_mapping!D342</f>
        <v>ETD DATA</v>
      </c>
      <c r="D342">
        <f>Lcode_mapping!E342</f>
        <v>3</v>
      </c>
      <c r="E342">
        <f>Lcode_mapping!F342</f>
        <v>1</v>
      </c>
      <c r="F342">
        <f>Lcode_mapping!G342</f>
        <v>1</v>
      </c>
      <c r="G342" t="str">
        <f>Lcode_mapping!H342</f>
        <v>R</v>
      </c>
      <c r="H342">
        <f>Lcode_mapping!I342</f>
        <v>1</v>
      </c>
      <c r="I342" t="str">
        <f>Lcode_mapping!J342</f>
        <v>Earth tide module data (la. h l)</v>
      </c>
      <c r="J342" t="str">
        <f>Lcode_mapping!K342</f>
        <v>Session</v>
      </c>
      <c r="K342" t="str">
        <f>Lcode_mapping!L342</f>
        <v>-</v>
      </c>
      <c r="L342" t="str">
        <f>Lcode_mapping!M342</f>
        <v>K</v>
      </c>
      <c r="M342" t="str">
        <f>Lcode_mapping!N342</f>
        <v>Solve</v>
      </c>
      <c r="N342" t="str">
        <f>Lcode_mapping!O342</f>
        <v>Solve</v>
      </c>
      <c r="O342" t="str">
        <f>Lcode_mapping!P342</f>
        <v>CalcInfo</v>
      </c>
      <c r="P342" t="str">
        <f>Lcode_mapping!Q342</f>
        <v>Y</v>
      </c>
      <c r="Q342" t="str">
        <f>Lcode_mapping!R342</f>
        <v>EarthTideData</v>
      </c>
      <c r="R342" t="str">
        <f>Lcode_mapping!S342</f>
        <v>-</v>
      </c>
      <c r="S342" t="str">
        <f>Lcode_mapping!T342</f>
        <v>-</v>
      </c>
      <c r="T342" t="str">
        <f>Lcode_mapping!U342</f>
        <v>-</v>
      </c>
      <c r="U342" t="str">
        <f>Lcode_mapping!V342</f>
        <v>-</v>
      </c>
      <c r="V342" t="str">
        <f>Lcode_mapping!W342</f>
        <v>-</v>
      </c>
    </row>
    <row r="343" spans="1:22" ht="15" customHeight="1" x14ac:dyDescent="0.25">
      <c r="A343">
        <f>Lcode_mapping!A343</f>
        <v>172</v>
      </c>
      <c r="B343">
        <f>Lcode_mapping!B343</f>
        <v>1</v>
      </c>
      <c r="C343" t="str">
        <f>Lcode_mapping!D343</f>
        <v>ETD CFLG</v>
      </c>
      <c r="D343">
        <f>Lcode_mapping!E343</f>
        <v>40</v>
      </c>
      <c r="E343">
        <f>Lcode_mapping!F343</f>
        <v>1</v>
      </c>
      <c r="F343">
        <f>Lcode_mapping!G343</f>
        <v>1</v>
      </c>
      <c r="G343" t="str">
        <f>Lcode_mapping!H343</f>
        <v>A</v>
      </c>
      <c r="H343">
        <f>Lcode_mapping!I343</f>
        <v>5</v>
      </c>
      <c r="I343" t="str">
        <f>Lcode_mapping!J343</f>
        <v>Earth Tide flow control mess def</v>
      </c>
      <c r="J343" t="str">
        <f>Lcode_mapping!K343</f>
        <v>Session</v>
      </c>
      <c r="K343" t="str">
        <f>Lcode_mapping!L343</f>
        <v>-</v>
      </c>
      <c r="L343" t="str">
        <f>Lcode_mapping!M343</f>
        <v>K</v>
      </c>
      <c r="M343" t="str">
        <f>Lcode_mapping!N343</f>
        <v>Solve</v>
      </c>
      <c r="N343" t="str">
        <f>Lcode_mapping!O343</f>
        <v>Solve</v>
      </c>
      <c r="O343" t="str">
        <f>Lcode_mapping!P343</f>
        <v>CalcInfo</v>
      </c>
      <c r="P343" t="str">
        <f>Lcode_mapping!Q343</f>
        <v>Y</v>
      </c>
      <c r="Q343" t="str">
        <f>Lcode_mapping!R343</f>
        <v>EarthTideControl</v>
      </c>
      <c r="R343" t="str">
        <f>Lcode_mapping!S343</f>
        <v>-</v>
      </c>
      <c r="S343" t="str">
        <f>Lcode_mapping!T343</f>
        <v>-</v>
      </c>
      <c r="T343" t="str">
        <f>Lcode_mapping!U343</f>
        <v>-</v>
      </c>
      <c r="U343" t="str">
        <f>Lcode_mapping!V343</f>
        <v>-</v>
      </c>
      <c r="V343" t="str">
        <f>Lcode_mapping!W343</f>
        <v>-</v>
      </c>
    </row>
    <row r="344" spans="1:22" ht="15" customHeight="1" x14ac:dyDescent="0.25">
      <c r="A344">
        <f>Lcode_mapping!A344</f>
        <v>174</v>
      </c>
      <c r="B344">
        <f>Lcode_mapping!B344</f>
        <v>1</v>
      </c>
      <c r="C344" t="str">
        <f>Lcode_mapping!D344</f>
        <v>ETD MESS</v>
      </c>
      <c r="D344">
        <f>Lcode_mapping!E344</f>
        <v>40</v>
      </c>
      <c r="E344">
        <f>Lcode_mapping!F344</f>
        <v>1</v>
      </c>
      <c r="F344">
        <f>Lcode_mapping!G344</f>
        <v>1</v>
      </c>
      <c r="G344" t="str">
        <f>Lcode_mapping!H344</f>
        <v>A</v>
      </c>
      <c r="H344">
        <f>Lcode_mapping!I344</f>
        <v>5</v>
      </c>
      <c r="I344" t="str">
        <f>Lcode_mapping!J344</f>
        <v>Earth Tide message definition</v>
      </c>
      <c r="J344" t="str">
        <f>Lcode_mapping!K344</f>
        <v>Session</v>
      </c>
      <c r="K344" t="str">
        <f>Lcode_mapping!L344</f>
        <v>-</v>
      </c>
      <c r="L344" t="str">
        <f>Lcode_mapping!M344</f>
        <v>K</v>
      </c>
      <c r="M344" t="str">
        <f>Lcode_mapping!N344</f>
        <v>Solve</v>
      </c>
      <c r="N344" t="str">
        <f>Lcode_mapping!O344</f>
        <v>Solve</v>
      </c>
      <c r="O344" t="str">
        <f>Lcode_mapping!P344</f>
        <v>CalcInfo</v>
      </c>
      <c r="P344" t="str">
        <f>Lcode_mapping!Q344</f>
        <v>Y</v>
      </c>
      <c r="Q344" t="str">
        <f>Lcode_mapping!R344</f>
        <v>EarthTideMessage</v>
      </c>
      <c r="R344" t="str">
        <f>Lcode_mapping!S344</f>
        <v>-</v>
      </c>
      <c r="S344" t="str">
        <f>Lcode_mapping!T344</f>
        <v>-</v>
      </c>
      <c r="T344" t="str">
        <f>Lcode_mapping!U344</f>
        <v>-</v>
      </c>
      <c r="U344" t="str">
        <f>Lcode_mapping!V344</f>
        <v>-</v>
      </c>
      <c r="V344" t="str">
        <f>Lcode_mapping!W344</f>
        <v>-</v>
      </c>
    </row>
    <row r="345" spans="1:22" ht="15" customHeight="1" x14ac:dyDescent="0.25">
      <c r="A345">
        <f>Lcode_mapping!A345</f>
        <v>186</v>
      </c>
      <c r="B345">
        <f>Lcode_mapping!B345</f>
        <v>1</v>
      </c>
      <c r="C345" t="str">
        <f>Lcode_mapping!D345</f>
        <v>PAN MESS</v>
      </c>
      <c r="D345">
        <f>Lcode_mapping!E345</f>
        <v>40</v>
      </c>
      <c r="E345">
        <f>Lcode_mapping!F345</f>
        <v>1</v>
      </c>
      <c r="F345">
        <f>Lcode_mapping!G345</f>
        <v>1</v>
      </c>
      <c r="G345" t="str">
        <f>Lcode_mapping!H345</f>
        <v>A</v>
      </c>
      <c r="H345">
        <f>Lcode_mapping!I345</f>
        <v>5</v>
      </c>
      <c r="I345" t="str">
        <f>Lcode_mapping!J345</f>
        <v>Feedhorn rot. angle mod. ident.</v>
      </c>
      <c r="J345" t="str">
        <f>Lcode_mapping!K345</f>
        <v>Session</v>
      </c>
      <c r="K345" t="str">
        <f>Lcode_mapping!L345</f>
        <v>-</v>
      </c>
      <c r="L345" t="str">
        <f>Lcode_mapping!M345</f>
        <v>K</v>
      </c>
      <c r="M345" t="str">
        <f>Lcode_mapping!N345</f>
        <v>Solve</v>
      </c>
      <c r="N345" t="str">
        <f>Lcode_mapping!O345</f>
        <v>Solve</v>
      </c>
      <c r="O345" t="str">
        <f>Lcode_mapping!P345</f>
        <v>CalcInfo</v>
      </c>
      <c r="P345" t="str">
        <f>Lcode_mapping!Q345</f>
        <v>Y</v>
      </c>
      <c r="Q345" t="str">
        <f>Lcode_mapping!R345</f>
        <v>FeedhornMessage</v>
      </c>
      <c r="R345" t="str">
        <f>Lcode_mapping!S345</f>
        <v>-</v>
      </c>
      <c r="S345" t="str">
        <f>Lcode_mapping!T345</f>
        <v>-</v>
      </c>
      <c r="T345" t="str">
        <f>Lcode_mapping!U345</f>
        <v>-</v>
      </c>
      <c r="U345" t="str">
        <f>Lcode_mapping!V345</f>
        <v>-</v>
      </c>
      <c r="V345" t="str">
        <f>Lcode_mapping!W345</f>
        <v>-</v>
      </c>
    </row>
    <row r="346" spans="1:22" ht="15" customHeight="1" x14ac:dyDescent="0.25">
      <c r="A346">
        <f>Lcode_mapping!A346</f>
        <v>175</v>
      </c>
      <c r="B346">
        <f>Lcode_mapping!B346</f>
        <v>1</v>
      </c>
      <c r="C346" t="str">
        <f>Lcode_mapping!D346</f>
        <v>NUT CFLG</v>
      </c>
      <c r="D346">
        <f>Lcode_mapping!E346</f>
        <v>40</v>
      </c>
      <c r="E346">
        <f>Lcode_mapping!F346</f>
        <v>1</v>
      </c>
      <c r="F346">
        <f>Lcode_mapping!G346</f>
        <v>1</v>
      </c>
      <c r="G346" t="str">
        <f>Lcode_mapping!H346</f>
        <v>A</v>
      </c>
      <c r="H346">
        <f>Lcode_mapping!I346</f>
        <v>5</v>
      </c>
      <c r="I346" t="str">
        <f>Lcode_mapping!J346</f>
        <v>Nutation flow control mess def.</v>
      </c>
      <c r="J346" t="str">
        <f>Lcode_mapping!K346</f>
        <v>Session</v>
      </c>
      <c r="K346" t="str">
        <f>Lcode_mapping!L346</f>
        <v>-</v>
      </c>
      <c r="L346" t="str">
        <f>Lcode_mapping!M346</f>
        <v>K</v>
      </c>
      <c r="M346" t="str">
        <f>Lcode_mapping!N346</f>
        <v>Solve</v>
      </c>
      <c r="N346" t="str">
        <f>Lcode_mapping!O346</f>
        <v>Solve</v>
      </c>
      <c r="O346" t="str">
        <f>Lcode_mapping!P346</f>
        <v>CalcInfo</v>
      </c>
      <c r="P346" t="str">
        <f>Lcode_mapping!Q346</f>
        <v>Y</v>
      </c>
      <c r="Q346" t="str">
        <f>Lcode_mapping!R346</f>
        <v>NutationControl</v>
      </c>
      <c r="R346" t="str">
        <f>Lcode_mapping!S346</f>
        <v>-</v>
      </c>
      <c r="S346" t="str">
        <f>Lcode_mapping!T346</f>
        <v>-</v>
      </c>
      <c r="T346" t="str">
        <f>Lcode_mapping!U346</f>
        <v>-</v>
      </c>
      <c r="U346" t="str">
        <f>Lcode_mapping!V346</f>
        <v>-</v>
      </c>
      <c r="V346" t="str">
        <f>Lcode_mapping!W346</f>
        <v>-</v>
      </c>
    </row>
    <row r="347" spans="1:22" ht="15" customHeight="1" x14ac:dyDescent="0.25">
      <c r="A347">
        <f>Lcode_mapping!A347</f>
        <v>176</v>
      </c>
      <c r="B347">
        <f>Lcode_mapping!B347</f>
        <v>1</v>
      </c>
      <c r="C347" t="str">
        <f>Lcode_mapping!D347</f>
        <v>NUT MESS</v>
      </c>
      <c r="D347">
        <f>Lcode_mapping!E347</f>
        <v>40</v>
      </c>
      <c r="E347">
        <f>Lcode_mapping!F347</f>
        <v>1</v>
      </c>
      <c r="F347">
        <f>Lcode_mapping!G347</f>
        <v>1</v>
      </c>
      <c r="G347" t="str">
        <f>Lcode_mapping!H347</f>
        <v>A</v>
      </c>
      <c r="H347">
        <f>Lcode_mapping!I347</f>
        <v>5</v>
      </c>
      <c r="I347" t="str">
        <f>Lcode_mapping!J347</f>
        <v>Nutation message definition</v>
      </c>
      <c r="J347" t="str">
        <f>Lcode_mapping!K347</f>
        <v>Session</v>
      </c>
      <c r="K347" t="str">
        <f>Lcode_mapping!L347</f>
        <v>-</v>
      </c>
      <c r="L347" t="str">
        <f>Lcode_mapping!M347</f>
        <v>K</v>
      </c>
      <c r="M347" t="str">
        <f>Lcode_mapping!N347</f>
        <v>Solve</v>
      </c>
      <c r="N347" t="str">
        <f>Lcode_mapping!O347</f>
        <v>Solve</v>
      </c>
      <c r="O347" t="str">
        <f>Lcode_mapping!P347</f>
        <v>CalcInfo</v>
      </c>
      <c r="P347" t="str">
        <f>Lcode_mapping!Q347</f>
        <v>Y</v>
      </c>
      <c r="Q347" t="str">
        <f>Lcode_mapping!R347</f>
        <v>NutationMessage</v>
      </c>
      <c r="R347" t="str">
        <f>Lcode_mapping!S347</f>
        <v>-</v>
      </c>
      <c r="S347" t="str">
        <f>Lcode_mapping!T347</f>
        <v>-</v>
      </c>
      <c r="T347" t="str">
        <f>Lcode_mapping!U347</f>
        <v>-</v>
      </c>
      <c r="U347" t="str">
        <f>Lcode_mapping!V347</f>
        <v>-</v>
      </c>
      <c r="V347" t="str">
        <f>Lcode_mapping!W347</f>
        <v>-</v>
      </c>
    </row>
    <row r="348" spans="1:22" ht="15" customHeight="1" x14ac:dyDescent="0.25">
      <c r="A348">
        <f>Lcode_mapping!A348</f>
        <v>179</v>
      </c>
      <c r="B348">
        <f>Lcode_mapping!B348</f>
        <v>1</v>
      </c>
      <c r="C348" t="str">
        <f>Lcode_mapping!D348</f>
        <v>OCAMP EW</v>
      </c>
      <c r="D348">
        <f>Lcode_mapping!E348</f>
        <v>11</v>
      </c>
      <c r="E348">
        <f>Lcode_mapping!F348</f>
        <v>2</v>
      </c>
      <c r="F348">
        <f>Lcode_mapping!G348</f>
        <v>1</v>
      </c>
      <c r="G348" t="str">
        <f>Lcode_mapping!H348</f>
        <v>R</v>
      </c>
      <c r="H348">
        <f>Lcode_mapping!I348</f>
        <v>1</v>
      </c>
      <c r="I348" t="str">
        <f>Lcode_mapping!J348</f>
        <v>Ocean amp. E-W component(meters)</v>
      </c>
      <c r="J348" t="str">
        <f>Lcode_mapping!K348</f>
        <v>Session</v>
      </c>
      <c r="K348" t="str">
        <f>Lcode_mapping!L348</f>
        <v>-</v>
      </c>
      <c r="L348" t="str">
        <f>Lcode_mapping!M348</f>
        <v>K</v>
      </c>
      <c r="M348" t="str">
        <f>Lcode_mapping!N348</f>
        <v>Solve</v>
      </c>
      <c r="N348" t="str">
        <f>Lcode_mapping!O348</f>
        <v>Solve</v>
      </c>
      <c r="O348" t="str">
        <f>Lcode_mapping!P348</f>
        <v>CalcInfo</v>
      </c>
      <c r="P348" t="str">
        <f>Lcode_mapping!Q348</f>
        <v>Y</v>
      </c>
      <c r="Q348" t="str">
        <f>Lcode_mapping!R348</f>
        <v>OceanAmpEW</v>
      </c>
      <c r="R348" t="str">
        <f>Lcode_mapping!S348</f>
        <v>-</v>
      </c>
      <c r="S348" t="str">
        <f>Lcode_mapping!T348</f>
        <v>-</v>
      </c>
      <c r="T348" t="str">
        <f>Lcode_mapping!U348</f>
        <v>-</v>
      </c>
      <c r="U348" t="str">
        <f>Lcode_mapping!V348</f>
        <v>M</v>
      </c>
      <c r="V348" t="str">
        <f>Lcode_mapping!W348</f>
        <v>-</v>
      </c>
    </row>
    <row r="349" spans="1:22" ht="15" customHeight="1" x14ac:dyDescent="0.25">
      <c r="A349">
        <f>Lcode_mapping!A349</f>
        <v>180</v>
      </c>
      <c r="B349">
        <f>Lcode_mapping!B349</f>
        <v>1</v>
      </c>
      <c r="C349" t="str">
        <f>Lcode_mapping!D349</f>
        <v>OCAMP NS</v>
      </c>
      <c r="D349">
        <f>Lcode_mapping!E349</f>
        <v>11</v>
      </c>
      <c r="E349">
        <f>Lcode_mapping!F349</f>
        <v>2</v>
      </c>
      <c r="F349">
        <f>Lcode_mapping!G349</f>
        <v>1</v>
      </c>
      <c r="G349" t="str">
        <f>Lcode_mapping!H349</f>
        <v>R</v>
      </c>
      <c r="H349">
        <f>Lcode_mapping!I349</f>
        <v>1</v>
      </c>
      <c r="I349" t="str">
        <f>Lcode_mapping!J349</f>
        <v>Ocean amp. N-S component(meters)</v>
      </c>
      <c r="J349" t="str">
        <f>Lcode_mapping!K349</f>
        <v>Session</v>
      </c>
      <c r="K349" t="str">
        <f>Lcode_mapping!L349</f>
        <v>-</v>
      </c>
      <c r="L349" t="str">
        <f>Lcode_mapping!M349</f>
        <v>K</v>
      </c>
      <c r="M349" t="str">
        <f>Lcode_mapping!N349</f>
        <v>Solve</v>
      </c>
      <c r="N349" t="str">
        <f>Lcode_mapping!O349</f>
        <v>Solve</v>
      </c>
      <c r="O349" t="str">
        <f>Lcode_mapping!P349</f>
        <v>CalcInfo</v>
      </c>
      <c r="P349" t="str">
        <f>Lcode_mapping!Q349</f>
        <v>Y</v>
      </c>
      <c r="Q349" t="str">
        <f>Lcode_mapping!R349</f>
        <v>OceanAmpNS</v>
      </c>
      <c r="R349" t="str">
        <f>Lcode_mapping!S349</f>
        <v>-</v>
      </c>
      <c r="S349" t="str">
        <f>Lcode_mapping!T349</f>
        <v>-</v>
      </c>
      <c r="T349" t="str">
        <f>Lcode_mapping!U349</f>
        <v>-</v>
      </c>
      <c r="U349" t="str">
        <f>Lcode_mapping!V349</f>
        <v>M</v>
      </c>
      <c r="V349" t="str">
        <f>Lcode_mapping!W349</f>
        <v>-</v>
      </c>
    </row>
    <row r="350" spans="1:22" ht="15" customHeight="1" x14ac:dyDescent="0.25">
      <c r="A350">
        <f>Lcode_mapping!A350</f>
        <v>181</v>
      </c>
      <c r="B350">
        <f>Lcode_mapping!B350</f>
        <v>1</v>
      </c>
      <c r="C350" t="str">
        <f>Lcode_mapping!D350</f>
        <v>OCAMP RD</v>
      </c>
      <c r="D350">
        <f>Lcode_mapping!E350</f>
        <v>11</v>
      </c>
      <c r="E350">
        <f>Lcode_mapping!F350</f>
        <v>2</v>
      </c>
      <c r="F350">
        <f>Lcode_mapping!G350</f>
        <v>1</v>
      </c>
      <c r="G350" t="str">
        <f>Lcode_mapping!H350</f>
        <v>R</v>
      </c>
      <c r="H350">
        <f>Lcode_mapping!I350</f>
        <v>1</v>
      </c>
      <c r="I350" t="str">
        <f>Lcode_mapping!J350</f>
        <v>Ocean amp. radial comp.-meters.</v>
      </c>
      <c r="J350" t="str">
        <f>Lcode_mapping!K350</f>
        <v>Session</v>
      </c>
      <c r="K350" t="str">
        <f>Lcode_mapping!L350</f>
        <v>-</v>
      </c>
      <c r="L350" t="str">
        <f>Lcode_mapping!M350</f>
        <v>K</v>
      </c>
      <c r="M350" t="str">
        <f>Lcode_mapping!N350</f>
        <v>Solve</v>
      </c>
      <c r="N350" t="str">
        <f>Lcode_mapping!O350</f>
        <v>Solve</v>
      </c>
      <c r="O350" t="str">
        <f>Lcode_mapping!P350</f>
        <v>CalcInfo</v>
      </c>
      <c r="P350" t="str">
        <f>Lcode_mapping!Q350</f>
        <v>Y</v>
      </c>
      <c r="Q350" t="str">
        <f>Lcode_mapping!R350</f>
        <v>OceanAmpUp</v>
      </c>
      <c r="R350" t="str">
        <f>Lcode_mapping!S350</f>
        <v>-</v>
      </c>
      <c r="S350" t="str">
        <f>Lcode_mapping!T350</f>
        <v>-</v>
      </c>
      <c r="T350" t="str">
        <f>Lcode_mapping!U350</f>
        <v>-</v>
      </c>
      <c r="U350" t="str">
        <f>Lcode_mapping!V350</f>
        <v>M</v>
      </c>
      <c r="V350" t="str">
        <f>Lcode_mapping!W350</f>
        <v>-</v>
      </c>
    </row>
    <row r="351" spans="1:22" ht="15" customHeight="1" x14ac:dyDescent="0.25">
      <c r="A351">
        <f>Lcode_mapping!A351</f>
        <v>177</v>
      </c>
      <c r="B351">
        <f>Lcode_mapping!B351</f>
        <v>1</v>
      </c>
      <c r="C351" t="str">
        <f>Lcode_mapping!D351</f>
        <v>OCE CFLG</v>
      </c>
      <c r="D351">
        <f>Lcode_mapping!E351</f>
        <v>40</v>
      </c>
      <c r="E351">
        <f>Lcode_mapping!F351</f>
        <v>1</v>
      </c>
      <c r="F351">
        <f>Lcode_mapping!G351</f>
        <v>1</v>
      </c>
      <c r="G351" t="str">
        <f>Lcode_mapping!H351</f>
        <v>A</v>
      </c>
      <c r="H351">
        <f>Lcode_mapping!I351</f>
        <v>5</v>
      </c>
      <c r="I351" t="str">
        <f>Lcode_mapping!J351</f>
        <v>Ocean load flow control mess def</v>
      </c>
      <c r="J351" t="str">
        <f>Lcode_mapping!K351</f>
        <v>Session</v>
      </c>
      <c r="K351" t="str">
        <f>Lcode_mapping!L351</f>
        <v>-</v>
      </c>
      <c r="L351" t="str">
        <f>Lcode_mapping!M351</f>
        <v>K</v>
      </c>
      <c r="M351" t="str">
        <f>Lcode_mapping!N351</f>
        <v>Solve</v>
      </c>
      <c r="N351" t="str">
        <f>Lcode_mapping!O351</f>
        <v>Solve</v>
      </c>
      <c r="O351" t="str">
        <f>Lcode_mapping!P351</f>
        <v>CalcInfo</v>
      </c>
      <c r="P351" t="str">
        <f>Lcode_mapping!Q351</f>
        <v>Y</v>
      </c>
      <c r="Q351" t="str">
        <f>Lcode_mapping!R351</f>
        <v>OceanControl</v>
      </c>
      <c r="R351" t="str">
        <f>Lcode_mapping!S351</f>
        <v>-</v>
      </c>
      <c r="S351" t="str">
        <f>Lcode_mapping!T351</f>
        <v>-</v>
      </c>
      <c r="T351" t="str">
        <f>Lcode_mapping!U351</f>
        <v>-</v>
      </c>
      <c r="U351" t="str">
        <f>Lcode_mapping!V351</f>
        <v>-</v>
      </c>
      <c r="V351" t="str">
        <f>Lcode_mapping!W351</f>
        <v>-</v>
      </c>
    </row>
    <row r="352" spans="1:22" ht="15" customHeight="1" x14ac:dyDescent="0.25">
      <c r="A352">
        <f>Lcode_mapping!A352</f>
        <v>199</v>
      </c>
      <c r="B352">
        <f>Lcode_mapping!B352</f>
        <v>1</v>
      </c>
      <c r="C352" t="str">
        <f>Lcode_mapping!D352</f>
        <v>SITHOCAM</v>
      </c>
      <c r="D352">
        <f>Lcode_mapping!E352</f>
        <v>11</v>
      </c>
      <c r="E352">
        <f>Lcode_mapping!F352</f>
        <v>2</v>
      </c>
      <c r="F352">
        <f>Lcode_mapping!G352</f>
        <v>11</v>
      </c>
      <c r="G352" t="str">
        <f>Lcode_mapping!H352</f>
        <v>R</v>
      </c>
      <c r="H352">
        <f>Lcode_mapping!I352</f>
        <v>5</v>
      </c>
      <c r="I352" t="str">
        <f>Lcode_mapping!J352</f>
        <v>Horz ocean loading ampltudes (m)</v>
      </c>
      <c r="J352" t="str">
        <f>Lcode_mapping!K352</f>
        <v>Session</v>
      </c>
      <c r="K352" t="str">
        <f>Lcode_mapping!L352</f>
        <v>-</v>
      </c>
      <c r="L352" t="str">
        <f>Lcode_mapping!M352</f>
        <v>K</v>
      </c>
      <c r="M352" t="str">
        <f>Lcode_mapping!N352</f>
        <v>Solve</v>
      </c>
      <c r="N352" t="str">
        <f>Lcode_mapping!O352</f>
        <v>Solve</v>
      </c>
      <c r="O352" t="str">
        <f>Lcode_mapping!P352</f>
        <v>CalcInfo</v>
      </c>
      <c r="P352" t="str">
        <f>Lcode_mapping!Q352</f>
        <v>Y</v>
      </c>
      <c r="Q352" t="str">
        <f>Lcode_mapping!R352</f>
        <v>OceanHorizontalAmp</v>
      </c>
      <c r="R352" t="str">
        <f>Lcode_mapping!S352</f>
        <v>-</v>
      </c>
      <c r="S352" t="str">
        <f>Lcode_mapping!T352</f>
        <v>-</v>
      </c>
      <c r="T352" t="str">
        <f>Lcode_mapping!U352</f>
        <v>-</v>
      </c>
      <c r="U352" t="str">
        <f>Lcode_mapping!V352</f>
        <v>M</v>
      </c>
      <c r="V352" t="str">
        <f>Lcode_mapping!W352</f>
        <v>-</v>
      </c>
    </row>
    <row r="353" spans="1:22" ht="15" customHeight="1" x14ac:dyDescent="0.25">
      <c r="A353">
        <f>Lcode_mapping!A353</f>
        <v>200</v>
      </c>
      <c r="B353">
        <f>Lcode_mapping!B353</f>
        <v>1</v>
      </c>
      <c r="C353" t="str">
        <f>Lcode_mapping!D353</f>
        <v>SITHOCPH</v>
      </c>
      <c r="D353">
        <f>Lcode_mapping!E353</f>
        <v>11</v>
      </c>
      <c r="E353">
        <f>Lcode_mapping!F353</f>
        <v>2</v>
      </c>
      <c r="F353">
        <f>Lcode_mapping!G353</f>
        <v>11</v>
      </c>
      <c r="G353" t="str">
        <f>Lcode_mapping!H353</f>
        <v>R</v>
      </c>
      <c r="H353">
        <f>Lcode_mapping!I353</f>
        <v>5</v>
      </c>
      <c r="I353" t="str">
        <f>Lcode_mapping!J353</f>
        <v>Horz ocean loading phases (rad).</v>
      </c>
      <c r="J353" t="str">
        <f>Lcode_mapping!K353</f>
        <v>Session</v>
      </c>
      <c r="K353" t="str">
        <f>Lcode_mapping!L353</f>
        <v>-</v>
      </c>
      <c r="L353" t="str">
        <f>Lcode_mapping!M353</f>
        <v>K</v>
      </c>
      <c r="M353" t="str">
        <f>Lcode_mapping!N353</f>
        <v>Solve</v>
      </c>
      <c r="N353" t="str">
        <f>Lcode_mapping!O353</f>
        <v>Solve</v>
      </c>
      <c r="O353" t="str">
        <f>Lcode_mapping!P353</f>
        <v>CalcInfo</v>
      </c>
      <c r="P353" t="str">
        <f>Lcode_mapping!Q353</f>
        <v>Y</v>
      </c>
      <c r="Q353" t="str">
        <f>Lcode_mapping!R353</f>
        <v>OceanHorizontalPhase</v>
      </c>
      <c r="R353" t="str">
        <f>Lcode_mapping!S353</f>
        <v>-</v>
      </c>
      <c r="S353" t="str">
        <f>Lcode_mapping!T353</f>
        <v>-</v>
      </c>
      <c r="T353" t="str">
        <f>Lcode_mapping!U353</f>
        <v>-</v>
      </c>
      <c r="U353" t="str">
        <f>Lcode_mapping!V353</f>
        <v>Radian</v>
      </c>
      <c r="V353" t="str">
        <f>Lcode_mapping!W353</f>
        <v>-</v>
      </c>
    </row>
    <row r="354" spans="1:22" ht="15" customHeight="1" x14ac:dyDescent="0.25">
      <c r="A354">
        <f>Lcode_mapping!A354</f>
        <v>182</v>
      </c>
      <c r="B354">
        <f>Lcode_mapping!B354</f>
        <v>1</v>
      </c>
      <c r="C354" t="str">
        <f>Lcode_mapping!D354</f>
        <v>OCE MESS</v>
      </c>
      <c r="D354">
        <f>Lcode_mapping!E354</f>
        <v>40</v>
      </c>
      <c r="E354">
        <f>Lcode_mapping!F354</f>
        <v>1</v>
      </c>
      <c r="F354">
        <f>Lcode_mapping!G354</f>
        <v>1</v>
      </c>
      <c r="G354" t="str">
        <f>Lcode_mapping!H354</f>
        <v>A</v>
      </c>
      <c r="H354">
        <f>Lcode_mapping!I354</f>
        <v>5</v>
      </c>
      <c r="I354" t="str">
        <f>Lcode_mapping!J354</f>
        <v>Ocean loading message definition</v>
      </c>
      <c r="J354" t="str">
        <f>Lcode_mapping!K354</f>
        <v>Session</v>
      </c>
      <c r="K354" t="str">
        <f>Lcode_mapping!L354</f>
        <v>-</v>
      </c>
      <c r="L354" t="str">
        <f>Lcode_mapping!M354</f>
        <v>K</v>
      </c>
      <c r="M354" t="str">
        <f>Lcode_mapping!N354</f>
        <v>Solve</v>
      </c>
      <c r="N354" t="str">
        <f>Lcode_mapping!O354</f>
        <v>Solve</v>
      </c>
      <c r="O354" t="str">
        <f>Lcode_mapping!P354</f>
        <v>CalcInfo</v>
      </c>
      <c r="P354" t="str">
        <f>Lcode_mapping!Q354</f>
        <v>Y</v>
      </c>
      <c r="Q354" t="str">
        <f>Lcode_mapping!R354</f>
        <v>OceanMessage</v>
      </c>
      <c r="R354" t="str">
        <f>Lcode_mapping!S354</f>
        <v>-</v>
      </c>
      <c r="S354" t="str">
        <f>Lcode_mapping!T354</f>
        <v>-</v>
      </c>
      <c r="T354" t="str">
        <f>Lcode_mapping!U354</f>
        <v>-</v>
      </c>
      <c r="U354" t="str">
        <f>Lcode_mapping!V354</f>
        <v>-</v>
      </c>
      <c r="V354" t="str">
        <f>Lcode_mapping!W354</f>
        <v>-</v>
      </c>
    </row>
    <row r="355" spans="1:22" ht="15" customHeight="1" x14ac:dyDescent="0.25">
      <c r="A355">
        <f>Lcode_mapping!A355</f>
        <v>183</v>
      </c>
      <c r="B355">
        <f>Lcode_mapping!B355</f>
        <v>1</v>
      </c>
      <c r="C355" t="str">
        <f>Lcode_mapping!D355</f>
        <v>OCPHS EW</v>
      </c>
      <c r="D355">
        <f>Lcode_mapping!E355</f>
        <v>11</v>
      </c>
      <c r="E355">
        <f>Lcode_mapping!F355</f>
        <v>2</v>
      </c>
      <c r="F355">
        <f>Lcode_mapping!G355</f>
        <v>1</v>
      </c>
      <c r="G355" t="str">
        <f>Lcode_mapping!H355</f>
        <v>R</v>
      </c>
      <c r="H355">
        <f>Lcode_mapping!I355</f>
        <v>1</v>
      </c>
      <c r="I355" t="str">
        <f>Lcode_mapping!J355</f>
        <v>Ocean phase E-W component (rad)</v>
      </c>
      <c r="J355" t="str">
        <f>Lcode_mapping!K355</f>
        <v>Session</v>
      </c>
      <c r="K355" t="str">
        <f>Lcode_mapping!L355</f>
        <v>-</v>
      </c>
      <c r="L355" t="str">
        <f>Lcode_mapping!M355</f>
        <v>K</v>
      </c>
      <c r="M355" t="str">
        <f>Lcode_mapping!N355</f>
        <v>Solve</v>
      </c>
      <c r="N355" t="str">
        <f>Lcode_mapping!O355</f>
        <v>Solve</v>
      </c>
      <c r="O355" t="str">
        <f>Lcode_mapping!P355</f>
        <v>CalcInfo</v>
      </c>
      <c r="P355" t="str">
        <f>Lcode_mapping!Q355</f>
        <v>Y</v>
      </c>
      <c r="Q355" t="str">
        <f>Lcode_mapping!R355</f>
        <v>OceanPhaseEW</v>
      </c>
      <c r="R355" t="str">
        <f>Lcode_mapping!S355</f>
        <v>-</v>
      </c>
      <c r="S355" t="str">
        <f>Lcode_mapping!T355</f>
        <v>-</v>
      </c>
      <c r="T355" t="str">
        <f>Lcode_mapping!U355</f>
        <v>-</v>
      </c>
      <c r="U355" t="str">
        <f>Lcode_mapping!V355</f>
        <v>Radian</v>
      </c>
      <c r="V355" t="str">
        <f>Lcode_mapping!W355</f>
        <v>-</v>
      </c>
    </row>
    <row r="356" spans="1:22" ht="15" customHeight="1" x14ac:dyDescent="0.25">
      <c r="A356">
        <f>Lcode_mapping!A356</f>
        <v>184</v>
      </c>
      <c r="B356">
        <f>Lcode_mapping!B356</f>
        <v>1</v>
      </c>
      <c r="C356" t="str">
        <f>Lcode_mapping!D356</f>
        <v>OCPHS NS</v>
      </c>
      <c r="D356">
        <f>Lcode_mapping!E356</f>
        <v>11</v>
      </c>
      <c r="E356">
        <f>Lcode_mapping!F356</f>
        <v>2</v>
      </c>
      <c r="F356">
        <f>Lcode_mapping!G356</f>
        <v>1</v>
      </c>
      <c r="G356" t="str">
        <f>Lcode_mapping!H356</f>
        <v>R</v>
      </c>
      <c r="H356">
        <f>Lcode_mapping!I356</f>
        <v>1</v>
      </c>
      <c r="I356" t="str">
        <f>Lcode_mapping!J356</f>
        <v>Ocean phase N-S component (rad)</v>
      </c>
      <c r="J356" t="str">
        <f>Lcode_mapping!K356</f>
        <v>Session</v>
      </c>
      <c r="K356" t="str">
        <f>Lcode_mapping!L356</f>
        <v>-</v>
      </c>
      <c r="L356" t="str">
        <f>Lcode_mapping!M356</f>
        <v>K</v>
      </c>
      <c r="M356" t="str">
        <f>Lcode_mapping!N356</f>
        <v>Solve</v>
      </c>
      <c r="N356" t="str">
        <f>Lcode_mapping!O356</f>
        <v>Solve</v>
      </c>
      <c r="O356" t="str">
        <f>Lcode_mapping!P356</f>
        <v>CalcInfo</v>
      </c>
      <c r="P356" t="str">
        <f>Lcode_mapping!Q356</f>
        <v>Y</v>
      </c>
      <c r="Q356" t="str">
        <f>Lcode_mapping!R356</f>
        <v>OceanPhaseNS</v>
      </c>
      <c r="R356" t="str">
        <f>Lcode_mapping!S356</f>
        <v>-</v>
      </c>
      <c r="S356" t="str">
        <f>Lcode_mapping!T356</f>
        <v>-</v>
      </c>
      <c r="T356" t="str">
        <f>Lcode_mapping!U356</f>
        <v>-</v>
      </c>
      <c r="U356" t="str">
        <f>Lcode_mapping!V356</f>
        <v>Radian</v>
      </c>
      <c r="V356" t="str">
        <f>Lcode_mapping!W356</f>
        <v>-</v>
      </c>
    </row>
    <row r="357" spans="1:22" ht="15" customHeight="1" x14ac:dyDescent="0.25">
      <c r="A357">
        <f>Lcode_mapping!A357</f>
        <v>185</v>
      </c>
      <c r="B357">
        <f>Lcode_mapping!B357</f>
        <v>1</v>
      </c>
      <c r="C357" t="str">
        <f>Lcode_mapping!D357</f>
        <v>OCPHS RD</v>
      </c>
      <c r="D357">
        <f>Lcode_mapping!E357</f>
        <v>11</v>
      </c>
      <c r="E357">
        <f>Lcode_mapping!F357</f>
        <v>2</v>
      </c>
      <c r="F357">
        <f>Lcode_mapping!G357</f>
        <v>1</v>
      </c>
      <c r="G357" t="str">
        <f>Lcode_mapping!H357</f>
        <v>R</v>
      </c>
      <c r="H357">
        <f>Lcode_mapping!I357</f>
        <v>1</v>
      </c>
      <c r="I357" t="str">
        <f>Lcode_mapping!J357</f>
        <v>Ocean phase radial comp.-radians</v>
      </c>
      <c r="J357" t="str">
        <f>Lcode_mapping!K357</f>
        <v>Session</v>
      </c>
      <c r="K357" t="str">
        <f>Lcode_mapping!L357</f>
        <v>-</v>
      </c>
      <c r="L357" t="str">
        <f>Lcode_mapping!M357</f>
        <v>K</v>
      </c>
      <c r="M357" t="str">
        <f>Lcode_mapping!N357</f>
        <v>Solve</v>
      </c>
      <c r="N357" t="str">
        <f>Lcode_mapping!O357</f>
        <v>Solve</v>
      </c>
      <c r="O357" t="str">
        <f>Lcode_mapping!P357</f>
        <v>CalcInfo</v>
      </c>
      <c r="P357" t="str">
        <f>Lcode_mapping!Q357</f>
        <v>Y</v>
      </c>
      <c r="Q357" t="str">
        <f>Lcode_mapping!R357</f>
        <v>OceanPhaseUp</v>
      </c>
      <c r="R357" t="str">
        <f>Lcode_mapping!S357</f>
        <v>-</v>
      </c>
      <c r="S357" t="str">
        <f>Lcode_mapping!T357</f>
        <v>-</v>
      </c>
      <c r="T357" t="str">
        <f>Lcode_mapping!U357</f>
        <v>-</v>
      </c>
      <c r="U357" t="str">
        <f>Lcode_mapping!V357</f>
        <v>Radian</v>
      </c>
      <c r="V357" t="str">
        <f>Lcode_mapping!W357</f>
        <v>-</v>
      </c>
    </row>
    <row r="358" spans="1:22" ht="15" customHeight="1" x14ac:dyDescent="0.25">
      <c r="A358">
        <f>Lcode_mapping!A358</f>
        <v>202</v>
      </c>
      <c r="B358">
        <f>Lcode_mapping!B358</f>
        <v>1</v>
      </c>
      <c r="C358" t="str">
        <f>Lcode_mapping!D358</f>
        <v>OPTLCOEF</v>
      </c>
      <c r="D358">
        <f>Lcode_mapping!E358</f>
        <v>6</v>
      </c>
      <c r="E358">
        <f>Lcode_mapping!F358</f>
        <v>2</v>
      </c>
      <c r="F358">
        <f>Lcode_mapping!G358</f>
        <v>1</v>
      </c>
      <c r="G358" t="str">
        <f>Lcode_mapping!H358</f>
        <v>R</v>
      </c>
      <c r="H358">
        <f>Lcode_mapping!I358</f>
        <v>5</v>
      </c>
      <c r="I358" t="str">
        <f>Lcode_mapping!J358</f>
        <v>Ocean Pole Tide loading Coefficients</v>
      </c>
      <c r="J358" t="str">
        <f>Lcode_mapping!K358</f>
        <v>Session</v>
      </c>
      <c r="K358" t="str">
        <f>Lcode_mapping!L358</f>
        <v>-</v>
      </c>
      <c r="L358" t="str">
        <f>Lcode_mapping!M358</f>
        <v>K</v>
      </c>
      <c r="M358" t="str">
        <f>Lcode_mapping!N358</f>
        <v>Solve</v>
      </c>
      <c r="N358" t="str">
        <f>Lcode_mapping!O358</f>
        <v>Solve</v>
      </c>
      <c r="O358" t="str">
        <f>Lcode_mapping!P358</f>
        <v>CalcInfo</v>
      </c>
      <c r="P358" t="str">
        <f>Lcode_mapping!Q358</f>
        <v>Y</v>
      </c>
      <c r="Q358" t="str">
        <f>Lcode_mapping!R358</f>
        <v>OceanPoleTideCoef</v>
      </c>
      <c r="R358" t="str">
        <f>Lcode_mapping!S358</f>
        <v>-</v>
      </c>
      <c r="S358" t="str">
        <f>Lcode_mapping!T358</f>
        <v>-</v>
      </c>
      <c r="T358" t="str">
        <f>Lcode_mapping!U358</f>
        <v>-</v>
      </c>
      <c r="U358" t="str">
        <f>Lcode_mapping!V358</f>
        <v>Radian</v>
      </c>
      <c r="V358" t="str">
        <f>Lcode_mapping!W358</f>
        <v>-</v>
      </c>
    </row>
    <row r="359" spans="1:22" ht="15" customHeight="1" x14ac:dyDescent="0.25">
      <c r="A359">
        <f>Lcode_mapping!A359</f>
        <v>178</v>
      </c>
      <c r="B359">
        <f>Lcode_mapping!B359</f>
        <v>1</v>
      </c>
      <c r="C359" t="str">
        <f>Lcode_mapping!D359</f>
        <v>OCE STAT</v>
      </c>
      <c r="D359">
        <f>Lcode_mapping!E359</f>
        <v>2</v>
      </c>
      <c r="E359">
        <f>Lcode_mapping!F359</f>
        <v>11</v>
      </c>
      <c r="F359">
        <f>Lcode_mapping!G359</f>
        <v>1</v>
      </c>
      <c r="G359" t="str">
        <f>Lcode_mapping!H359</f>
        <v>A</v>
      </c>
      <c r="H359">
        <f>Lcode_mapping!I359</f>
        <v>5</v>
      </c>
      <c r="I359" t="str">
        <f>Lcode_mapping!J359</f>
        <v>Ocean loading station status.</v>
      </c>
      <c r="J359" t="str">
        <f>Lcode_mapping!K359</f>
        <v>Session</v>
      </c>
      <c r="K359" t="str">
        <f>Lcode_mapping!L359</f>
        <v>-</v>
      </c>
      <c r="L359" t="str">
        <f>Lcode_mapping!M359</f>
        <v>K</v>
      </c>
      <c r="M359" t="str">
        <f>Lcode_mapping!N359</f>
        <v>Solve</v>
      </c>
      <c r="N359" t="str">
        <f>Lcode_mapping!O359</f>
        <v>Solve</v>
      </c>
      <c r="O359" t="str">
        <f>Lcode_mapping!P359</f>
        <v>CalcInfo</v>
      </c>
      <c r="P359" t="str">
        <f>Lcode_mapping!Q359</f>
        <v>Y</v>
      </c>
      <c r="Q359" t="str">
        <f>Lcode_mapping!R359</f>
        <v>OceanStationsFlag</v>
      </c>
      <c r="R359" t="str">
        <f>Lcode_mapping!S359</f>
        <v>-</v>
      </c>
      <c r="S359" t="str">
        <f>Lcode_mapping!T359</f>
        <v>-</v>
      </c>
      <c r="T359" t="str">
        <f>Lcode_mapping!U359</f>
        <v>-</v>
      </c>
      <c r="U359" t="str">
        <f>Lcode_mapping!V359</f>
        <v>-</v>
      </c>
      <c r="V359" t="str">
        <f>Lcode_mapping!W359</f>
        <v>-</v>
      </c>
    </row>
    <row r="360" spans="1:22" ht="15" customHeight="1" x14ac:dyDescent="0.25">
      <c r="A360">
        <f>Lcode_mapping!A360</f>
        <v>201</v>
      </c>
      <c r="B360">
        <f>Lcode_mapping!B360</f>
        <v>1</v>
      </c>
      <c r="C360" t="str">
        <f>Lcode_mapping!D360</f>
        <v>SITOCAMP</v>
      </c>
      <c r="D360">
        <f>Lcode_mapping!E360</f>
        <v>11</v>
      </c>
      <c r="E360">
        <f>Lcode_mapping!F360</f>
        <v>11</v>
      </c>
      <c r="F360">
        <f>Lcode_mapping!G360</f>
        <v>1</v>
      </c>
      <c r="G360" t="str">
        <f>Lcode_mapping!H360</f>
        <v>R</v>
      </c>
      <c r="H360">
        <f>Lcode_mapping!I360</f>
        <v>5</v>
      </c>
      <c r="I360" t="str">
        <f>Lcode_mapping!J360</f>
        <v>Vert ocean loading ampltudes (m)</v>
      </c>
      <c r="J360" t="str">
        <f>Lcode_mapping!K360</f>
        <v>Session</v>
      </c>
      <c r="K360" t="str">
        <f>Lcode_mapping!L360</f>
        <v>-</v>
      </c>
      <c r="L360" t="str">
        <f>Lcode_mapping!M360</f>
        <v>K</v>
      </c>
      <c r="M360" t="str">
        <f>Lcode_mapping!N360</f>
        <v>Solve</v>
      </c>
      <c r="N360" t="str">
        <f>Lcode_mapping!O360</f>
        <v>Solve</v>
      </c>
      <c r="O360" t="str">
        <f>Lcode_mapping!P360</f>
        <v>CalcInfo</v>
      </c>
      <c r="P360" t="str">
        <f>Lcode_mapping!Q360</f>
        <v>Y</v>
      </c>
      <c r="Q360" t="str">
        <f>Lcode_mapping!R360</f>
        <v>OceanUpAmp</v>
      </c>
      <c r="R360" t="str">
        <f>Lcode_mapping!S360</f>
        <v>-</v>
      </c>
      <c r="S360" t="str">
        <f>Lcode_mapping!T360</f>
        <v>-</v>
      </c>
      <c r="T360" t="str">
        <f>Lcode_mapping!U360</f>
        <v>-</v>
      </c>
      <c r="U360" t="str">
        <f>Lcode_mapping!V360</f>
        <v>M</v>
      </c>
      <c r="V360" t="str">
        <f>Lcode_mapping!W360</f>
        <v>-</v>
      </c>
    </row>
    <row r="361" spans="1:22" ht="15" customHeight="1" x14ac:dyDescent="0.25">
      <c r="A361">
        <f>Lcode_mapping!A361</f>
        <v>202</v>
      </c>
      <c r="B361">
        <f>Lcode_mapping!B361</f>
        <v>1</v>
      </c>
      <c r="C361" t="str">
        <f>Lcode_mapping!D361</f>
        <v>SITOCPHS</v>
      </c>
      <c r="D361">
        <f>Lcode_mapping!E361</f>
        <v>11</v>
      </c>
      <c r="E361">
        <f>Lcode_mapping!F361</f>
        <v>11</v>
      </c>
      <c r="F361">
        <f>Lcode_mapping!G361</f>
        <v>1</v>
      </c>
      <c r="G361" t="str">
        <f>Lcode_mapping!H361</f>
        <v>R</v>
      </c>
      <c r="H361">
        <f>Lcode_mapping!I361</f>
        <v>5</v>
      </c>
      <c r="I361" t="str">
        <f>Lcode_mapping!J361</f>
        <v>Vert ocean loading phases (rad).</v>
      </c>
      <c r="J361" t="str">
        <f>Lcode_mapping!K361</f>
        <v>Session</v>
      </c>
      <c r="K361" t="str">
        <f>Lcode_mapping!L361</f>
        <v>-</v>
      </c>
      <c r="L361" t="str">
        <f>Lcode_mapping!M361</f>
        <v>K</v>
      </c>
      <c r="M361" t="str">
        <f>Lcode_mapping!N361</f>
        <v>Solve</v>
      </c>
      <c r="N361" t="str">
        <f>Lcode_mapping!O361</f>
        <v>Solve</v>
      </c>
      <c r="O361" t="str">
        <f>Lcode_mapping!P361</f>
        <v>CalcInfo</v>
      </c>
      <c r="P361" t="str">
        <f>Lcode_mapping!Q361</f>
        <v>Y</v>
      </c>
      <c r="Q361" t="str">
        <f>Lcode_mapping!R361</f>
        <v>OceanUpPhase</v>
      </c>
      <c r="R361" t="str">
        <f>Lcode_mapping!S361</f>
        <v>-</v>
      </c>
      <c r="S361" t="str">
        <f>Lcode_mapping!T361</f>
        <v>-</v>
      </c>
      <c r="T361" t="str">
        <f>Lcode_mapping!U361</f>
        <v>-</v>
      </c>
      <c r="U361" t="str">
        <f>Lcode_mapping!V361</f>
        <v>Radian</v>
      </c>
      <c r="V361" t="str">
        <f>Lcode_mapping!W361</f>
        <v>-</v>
      </c>
    </row>
    <row r="362" spans="1:22" ht="15" customHeight="1" x14ac:dyDescent="0.25">
      <c r="A362">
        <f>Lcode_mapping!A362</f>
        <v>188</v>
      </c>
      <c r="B362">
        <f>Lcode_mapping!B362</f>
        <v>1</v>
      </c>
      <c r="C362" t="str">
        <f>Lcode_mapping!D362</f>
        <v>PLX CFLG</v>
      </c>
      <c r="D362">
        <f>Lcode_mapping!E362</f>
        <v>40</v>
      </c>
      <c r="E362">
        <f>Lcode_mapping!F362</f>
        <v>1</v>
      </c>
      <c r="F362">
        <f>Lcode_mapping!G362</f>
        <v>1</v>
      </c>
      <c r="G362" t="str">
        <f>Lcode_mapping!H362</f>
        <v>A</v>
      </c>
      <c r="H362">
        <f>Lcode_mapping!I362</f>
        <v>5</v>
      </c>
      <c r="I362" t="str">
        <f>Lcode_mapping!J362</f>
        <v>Parallax flow control mess def</v>
      </c>
      <c r="J362" t="str">
        <f>Lcode_mapping!K362</f>
        <v>Session</v>
      </c>
      <c r="K362" t="str">
        <f>Lcode_mapping!L362</f>
        <v>-</v>
      </c>
      <c r="L362" t="str">
        <f>Lcode_mapping!M362</f>
        <v>K</v>
      </c>
      <c r="M362" t="str">
        <f>Lcode_mapping!N362</f>
        <v>Solve</v>
      </c>
      <c r="N362" t="str">
        <f>Lcode_mapping!O362</f>
        <v>Solve</v>
      </c>
      <c r="O362" t="str">
        <f>Lcode_mapping!P362</f>
        <v>CalcInfo</v>
      </c>
      <c r="P362" t="str">
        <f>Lcode_mapping!Q362</f>
        <v>Y</v>
      </c>
      <c r="Q362" t="str">
        <f>Lcode_mapping!R362</f>
        <v>ParallaxControl</v>
      </c>
      <c r="R362" t="str">
        <f>Lcode_mapping!S362</f>
        <v>-</v>
      </c>
      <c r="S362" t="str">
        <f>Lcode_mapping!T362</f>
        <v>-</v>
      </c>
      <c r="T362" t="str">
        <f>Lcode_mapping!U362</f>
        <v>-</v>
      </c>
      <c r="U362" t="str">
        <f>Lcode_mapping!V362</f>
        <v>-</v>
      </c>
      <c r="V362" t="str">
        <f>Lcode_mapping!W362</f>
        <v>-</v>
      </c>
    </row>
    <row r="363" spans="1:22" ht="15" customHeight="1" x14ac:dyDescent="0.25">
      <c r="A363">
        <f>Lcode_mapping!A363</f>
        <v>189</v>
      </c>
      <c r="B363">
        <f>Lcode_mapping!B363</f>
        <v>1</v>
      </c>
      <c r="C363" t="str">
        <f>Lcode_mapping!D363</f>
        <v>PLX MESS</v>
      </c>
      <c r="D363">
        <f>Lcode_mapping!E363</f>
        <v>40</v>
      </c>
      <c r="E363">
        <f>Lcode_mapping!F363</f>
        <v>1</v>
      </c>
      <c r="F363">
        <f>Lcode_mapping!G363</f>
        <v>1</v>
      </c>
      <c r="G363" t="str">
        <f>Lcode_mapping!H363</f>
        <v>A</v>
      </c>
      <c r="H363">
        <f>Lcode_mapping!I363</f>
        <v>5</v>
      </c>
      <c r="I363" t="str">
        <f>Lcode_mapping!J363</f>
        <v>Parallax message definition</v>
      </c>
      <c r="J363" t="str">
        <f>Lcode_mapping!K363</f>
        <v>Session</v>
      </c>
      <c r="K363" t="str">
        <f>Lcode_mapping!L363</f>
        <v>-</v>
      </c>
      <c r="L363" t="str">
        <f>Lcode_mapping!M363</f>
        <v>K</v>
      </c>
      <c r="M363" t="str">
        <f>Lcode_mapping!N363</f>
        <v>Solve</v>
      </c>
      <c r="N363" t="str">
        <f>Lcode_mapping!O363</f>
        <v>Solve</v>
      </c>
      <c r="O363" t="str">
        <f>Lcode_mapping!P363</f>
        <v>CalcInfo</v>
      </c>
      <c r="P363" t="str">
        <f>Lcode_mapping!Q363</f>
        <v>Y</v>
      </c>
      <c r="Q363" t="str">
        <f>Lcode_mapping!R363</f>
        <v>ParallaxMessage</v>
      </c>
      <c r="R363" t="str">
        <f>Lcode_mapping!S363</f>
        <v>-</v>
      </c>
      <c r="S363" t="str">
        <f>Lcode_mapping!T363</f>
        <v>-</v>
      </c>
      <c r="T363" t="str">
        <f>Lcode_mapping!U363</f>
        <v>-</v>
      </c>
      <c r="U363" t="str">
        <f>Lcode_mapping!V363</f>
        <v>-</v>
      </c>
      <c r="V363" t="str">
        <f>Lcode_mapping!W363</f>
        <v>-</v>
      </c>
    </row>
    <row r="364" spans="1:22" ht="15" customHeight="1" x14ac:dyDescent="0.25">
      <c r="A364">
        <f>Lcode_mapping!A364</f>
        <v>187</v>
      </c>
      <c r="B364">
        <f>Lcode_mapping!B364</f>
        <v>1</v>
      </c>
      <c r="C364" t="str">
        <f>Lcode_mapping!D364</f>
        <v>PEP MESS</v>
      </c>
      <c r="D364">
        <f>Lcode_mapping!E364</f>
        <v>40</v>
      </c>
      <c r="E364">
        <f>Lcode_mapping!F364</f>
        <v>1</v>
      </c>
      <c r="F364">
        <f>Lcode_mapping!G364</f>
        <v>1</v>
      </c>
      <c r="G364" t="str">
        <f>Lcode_mapping!H364</f>
        <v>A</v>
      </c>
      <c r="H364">
        <f>Lcode_mapping!I364</f>
        <v>5</v>
      </c>
      <c r="I364" t="str">
        <f>Lcode_mapping!J364</f>
        <v>PEP Utility Message Definition</v>
      </c>
      <c r="J364" t="str">
        <f>Lcode_mapping!K364</f>
        <v>Session</v>
      </c>
      <c r="K364" t="str">
        <f>Lcode_mapping!L364</f>
        <v>-</v>
      </c>
      <c r="L364" t="str">
        <f>Lcode_mapping!M364</f>
        <v>K</v>
      </c>
      <c r="M364" t="str">
        <f>Lcode_mapping!N364</f>
        <v>Solve</v>
      </c>
      <c r="N364" t="str">
        <f>Lcode_mapping!O364</f>
        <v>Solve</v>
      </c>
      <c r="O364" t="str">
        <f>Lcode_mapping!P364</f>
        <v>CalcInfo</v>
      </c>
      <c r="P364" t="str">
        <f>Lcode_mapping!Q364</f>
        <v>Y</v>
      </c>
      <c r="Q364" t="str">
        <f>Lcode_mapping!R364</f>
        <v>PepMessage</v>
      </c>
      <c r="R364" t="str">
        <f>Lcode_mapping!S364</f>
        <v>-</v>
      </c>
      <c r="S364" t="str">
        <f>Lcode_mapping!T364</f>
        <v>-</v>
      </c>
      <c r="T364" t="str">
        <f>Lcode_mapping!U364</f>
        <v>-</v>
      </c>
      <c r="U364" t="str">
        <f>Lcode_mapping!V364</f>
        <v>-</v>
      </c>
      <c r="V364" t="str">
        <f>Lcode_mapping!W364</f>
        <v>-</v>
      </c>
    </row>
    <row r="365" spans="1:22" ht="15" customHeight="1" x14ac:dyDescent="0.25">
      <c r="A365">
        <f>Lcode_mapping!A365</f>
        <v>193</v>
      </c>
      <c r="B365">
        <f>Lcode_mapping!B365</f>
        <v>1</v>
      </c>
      <c r="C365" t="str">
        <f>Lcode_mapping!D365</f>
        <v>PTD CFLG</v>
      </c>
      <c r="D365">
        <f>Lcode_mapping!E365</f>
        <v>40</v>
      </c>
      <c r="E365">
        <f>Lcode_mapping!F365</f>
        <v>1</v>
      </c>
      <c r="F365">
        <f>Lcode_mapping!G365</f>
        <v>1</v>
      </c>
      <c r="G365" t="str">
        <f>Lcode_mapping!H365</f>
        <v>A</v>
      </c>
      <c r="H365">
        <f>Lcode_mapping!I365</f>
        <v>5</v>
      </c>
      <c r="I365" t="str">
        <f>Lcode_mapping!J365</f>
        <v>Pole tide flow control mess def</v>
      </c>
      <c r="J365" t="str">
        <f>Lcode_mapping!K365</f>
        <v>Session</v>
      </c>
      <c r="K365" t="str">
        <f>Lcode_mapping!L365</f>
        <v>-</v>
      </c>
      <c r="L365" t="str">
        <f>Lcode_mapping!M365</f>
        <v>K</v>
      </c>
      <c r="M365" t="str">
        <f>Lcode_mapping!N365</f>
        <v>Solve</v>
      </c>
      <c r="N365" t="str">
        <f>Lcode_mapping!O365</f>
        <v>Solve</v>
      </c>
      <c r="O365" t="str">
        <f>Lcode_mapping!P365</f>
        <v>CalcInfo</v>
      </c>
      <c r="P365" t="str">
        <f>Lcode_mapping!Q365</f>
        <v>Y</v>
      </c>
      <c r="Q365" t="str">
        <f>Lcode_mapping!R365</f>
        <v>PoleTideControl</v>
      </c>
      <c r="R365" t="str">
        <f>Lcode_mapping!S365</f>
        <v>-</v>
      </c>
      <c r="S365" t="str">
        <f>Lcode_mapping!T365</f>
        <v>-</v>
      </c>
      <c r="T365" t="str">
        <f>Lcode_mapping!U365</f>
        <v>-</v>
      </c>
      <c r="U365" t="str">
        <f>Lcode_mapping!V365</f>
        <v>-</v>
      </c>
      <c r="V365" t="str">
        <f>Lcode_mapping!W365</f>
        <v>-</v>
      </c>
    </row>
    <row r="366" spans="1:22" ht="15" customHeight="1" x14ac:dyDescent="0.25">
      <c r="A366">
        <f>Lcode_mapping!A366</f>
        <v>194</v>
      </c>
      <c r="B366">
        <f>Lcode_mapping!B366</f>
        <v>1</v>
      </c>
      <c r="C366" t="str">
        <f>Lcode_mapping!D366</f>
        <v>PTD MESS</v>
      </c>
      <c r="D366">
        <f>Lcode_mapping!E366</f>
        <v>40</v>
      </c>
      <c r="E366">
        <f>Lcode_mapping!F366</f>
        <v>1</v>
      </c>
      <c r="F366">
        <f>Lcode_mapping!G366</f>
        <v>1</v>
      </c>
      <c r="G366" t="str">
        <f>Lcode_mapping!H366</f>
        <v>A</v>
      </c>
      <c r="H366">
        <f>Lcode_mapping!I366</f>
        <v>5</v>
      </c>
      <c r="I366" t="str">
        <f>Lcode_mapping!J366</f>
        <v>Pole tide message definition</v>
      </c>
      <c r="J366" t="str">
        <f>Lcode_mapping!K366</f>
        <v>Session</v>
      </c>
      <c r="K366" t="str">
        <f>Lcode_mapping!L366</f>
        <v>-</v>
      </c>
      <c r="L366" t="str">
        <f>Lcode_mapping!M366</f>
        <v>K</v>
      </c>
      <c r="M366" t="str">
        <f>Lcode_mapping!N366</f>
        <v>Solve</v>
      </c>
      <c r="N366" t="str">
        <f>Lcode_mapping!O366</f>
        <v>Solve</v>
      </c>
      <c r="O366" t="str">
        <f>Lcode_mapping!P366</f>
        <v>CalcInfo</v>
      </c>
      <c r="P366" t="str">
        <f>Lcode_mapping!Q366</f>
        <v>Y</v>
      </c>
      <c r="Q366" t="str">
        <f>Lcode_mapping!R366</f>
        <v>PoleTideMessage</v>
      </c>
      <c r="R366" t="str">
        <f>Lcode_mapping!S366</f>
        <v>-</v>
      </c>
      <c r="S366" t="str">
        <f>Lcode_mapping!T366</f>
        <v>-</v>
      </c>
      <c r="T366" t="str">
        <f>Lcode_mapping!U366</f>
        <v>-</v>
      </c>
      <c r="U366" t="str">
        <f>Lcode_mapping!V366</f>
        <v>-</v>
      </c>
      <c r="V366" t="str">
        <f>Lcode_mapping!W366</f>
        <v>-</v>
      </c>
    </row>
    <row r="367" spans="1:22" ht="15" customHeight="1" x14ac:dyDescent="0.25">
      <c r="A367">
        <f>Lcode_mapping!A367</f>
        <v>191</v>
      </c>
      <c r="B367">
        <f>Lcode_mapping!B367</f>
        <v>1</v>
      </c>
      <c r="C367" t="str">
        <f>Lcode_mapping!D367</f>
        <v>PRE DATA</v>
      </c>
      <c r="D367">
        <f>Lcode_mapping!E367</f>
        <v>1</v>
      </c>
      <c r="E367">
        <f>Lcode_mapping!F367</f>
        <v>1</v>
      </c>
      <c r="F367">
        <f>Lcode_mapping!G367</f>
        <v>1</v>
      </c>
      <c r="G367" t="str">
        <f>Lcode_mapping!H367</f>
        <v>R</v>
      </c>
      <c r="H367">
        <f>Lcode_mapping!I367</f>
        <v>1</v>
      </c>
      <c r="I367" t="str">
        <f>Lcode_mapping!J367</f>
        <v>Precession constant (asec/cent).</v>
      </c>
      <c r="J367" t="str">
        <f>Lcode_mapping!K367</f>
        <v>Session</v>
      </c>
      <c r="K367" t="str">
        <f>Lcode_mapping!L367</f>
        <v>-</v>
      </c>
      <c r="L367" t="str">
        <f>Lcode_mapping!M367</f>
        <v>K</v>
      </c>
      <c r="M367" t="str">
        <f>Lcode_mapping!N367</f>
        <v>Solve</v>
      </c>
      <c r="N367" t="str">
        <f>Lcode_mapping!O367</f>
        <v>Solve</v>
      </c>
      <c r="O367" t="str">
        <f>Lcode_mapping!P367</f>
        <v>CalcInfo</v>
      </c>
      <c r="P367" t="str">
        <f>Lcode_mapping!Q367</f>
        <v>Y</v>
      </c>
      <c r="Q367" t="str">
        <f>Lcode_mapping!R367</f>
        <v>PrecessionData</v>
      </c>
      <c r="R367" t="str">
        <f>Lcode_mapping!S367</f>
        <v>-</v>
      </c>
      <c r="S367" t="str">
        <f>Lcode_mapping!T367</f>
        <v>-</v>
      </c>
      <c r="T367" t="str">
        <f>Lcode_mapping!U367</f>
        <v>-</v>
      </c>
      <c r="U367" t="str">
        <f>Lcode_mapping!V367</f>
        <v>-</v>
      </c>
      <c r="V367" t="str">
        <f>Lcode_mapping!W367</f>
        <v>-</v>
      </c>
    </row>
    <row r="368" spans="1:22" ht="15" customHeight="1" x14ac:dyDescent="0.25">
      <c r="A368">
        <f>Lcode_mapping!A368</f>
        <v>190</v>
      </c>
      <c r="B368">
        <f>Lcode_mapping!B368</f>
        <v>1</v>
      </c>
      <c r="C368" t="str">
        <f>Lcode_mapping!D368</f>
        <v>PRE CFLG</v>
      </c>
      <c r="D368">
        <f>Lcode_mapping!E368</f>
        <v>40</v>
      </c>
      <c r="E368">
        <f>Lcode_mapping!F368</f>
        <v>1</v>
      </c>
      <c r="F368">
        <f>Lcode_mapping!G368</f>
        <v>1</v>
      </c>
      <c r="G368" t="str">
        <f>Lcode_mapping!H368</f>
        <v>A</v>
      </c>
      <c r="H368">
        <f>Lcode_mapping!I368</f>
        <v>5</v>
      </c>
      <c r="I368" t="str">
        <f>Lcode_mapping!J368</f>
        <v>Precession flow contril mess def</v>
      </c>
      <c r="J368" t="str">
        <f>Lcode_mapping!K368</f>
        <v>Session</v>
      </c>
      <c r="K368" t="str">
        <f>Lcode_mapping!L368</f>
        <v>-</v>
      </c>
      <c r="L368" t="str">
        <f>Lcode_mapping!M368</f>
        <v>K</v>
      </c>
      <c r="M368" t="str">
        <f>Lcode_mapping!N368</f>
        <v>Solve</v>
      </c>
      <c r="N368" t="str">
        <f>Lcode_mapping!O368</f>
        <v>Solve</v>
      </c>
      <c r="O368" t="str">
        <f>Lcode_mapping!P368</f>
        <v>CalcInfo</v>
      </c>
      <c r="P368" t="str">
        <f>Lcode_mapping!Q368</f>
        <v>Y</v>
      </c>
      <c r="Q368" t="str">
        <f>Lcode_mapping!R368</f>
        <v>PrecessionControl</v>
      </c>
      <c r="R368" t="str">
        <f>Lcode_mapping!S368</f>
        <v>-</v>
      </c>
      <c r="S368" t="str">
        <f>Lcode_mapping!T368</f>
        <v>-</v>
      </c>
      <c r="T368" t="str">
        <f>Lcode_mapping!U368</f>
        <v>-</v>
      </c>
      <c r="U368" t="str">
        <f>Lcode_mapping!V368</f>
        <v>-</v>
      </c>
      <c r="V368" t="str">
        <f>Lcode_mapping!W368</f>
        <v>-</v>
      </c>
    </row>
    <row r="369" spans="1:22" ht="15" customHeight="1" x14ac:dyDescent="0.25">
      <c r="A369">
        <f>Lcode_mapping!A369</f>
        <v>192</v>
      </c>
      <c r="B369">
        <f>Lcode_mapping!B369</f>
        <v>1</v>
      </c>
      <c r="C369" t="str">
        <f>Lcode_mapping!D369</f>
        <v>PRE MESS</v>
      </c>
      <c r="D369">
        <f>Lcode_mapping!E369</f>
        <v>40</v>
      </c>
      <c r="E369">
        <f>Lcode_mapping!F369</f>
        <v>1</v>
      </c>
      <c r="F369">
        <f>Lcode_mapping!G369</f>
        <v>1</v>
      </c>
      <c r="G369" t="str">
        <f>Lcode_mapping!H369</f>
        <v>A</v>
      </c>
      <c r="H369">
        <f>Lcode_mapping!I369</f>
        <v>5</v>
      </c>
      <c r="I369" t="str">
        <f>Lcode_mapping!J369</f>
        <v>Precession message definition</v>
      </c>
      <c r="J369" t="str">
        <f>Lcode_mapping!K369</f>
        <v>Session</v>
      </c>
      <c r="K369" t="str">
        <f>Lcode_mapping!L369</f>
        <v>-</v>
      </c>
      <c r="L369" t="str">
        <f>Lcode_mapping!M369</f>
        <v>K</v>
      </c>
      <c r="M369" t="str">
        <f>Lcode_mapping!N369</f>
        <v>Solve</v>
      </c>
      <c r="N369" t="str">
        <f>Lcode_mapping!O369</f>
        <v>Solve</v>
      </c>
      <c r="O369" t="str">
        <f>Lcode_mapping!P369</f>
        <v>CalcInfo</v>
      </c>
      <c r="P369" t="str">
        <f>Lcode_mapping!Q369</f>
        <v>Y</v>
      </c>
      <c r="Q369" t="str">
        <f>Lcode_mapping!R369</f>
        <v>PrecessionMessage</v>
      </c>
      <c r="R369" t="str">
        <f>Lcode_mapping!S369</f>
        <v>-</v>
      </c>
      <c r="S369" t="str">
        <f>Lcode_mapping!T369</f>
        <v>-</v>
      </c>
      <c r="T369" t="str">
        <f>Lcode_mapping!U369</f>
        <v>-</v>
      </c>
      <c r="U369" t="str">
        <f>Lcode_mapping!V369</f>
        <v>-</v>
      </c>
      <c r="V369" t="str">
        <f>Lcode_mapping!W369</f>
        <v>-</v>
      </c>
    </row>
    <row r="370" spans="1:22" ht="15" customHeight="1" x14ac:dyDescent="0.25">
      <c r="A370">
        <f>Lcode_mapping!A370</f>
        <v>195</v>
      </c>
      <c r="B370">
        <f>Lcode_mapping!B370</f>
        <v>1</v>
      </c>
      <c r="C370" t="str">
        <f>Lcode_mapping!D370</f>
        <v>REL CFLG</v>
      </c>
      <c r="D370">
        <f>Lcode_mapping!E370</f>
        <v>30</v>
      </c>
      <c r="E370">
        <f>Lcode_mapping!F370</f>
        <v>1</v>
      </c>
      <c r="F370">
        <f>Lcode_mapping!G370</f>
        <v>1</v>
      </c>
      <c r="G370" t="str">
        <f>Lcode_mapping!H370</f>
        <v>A</v>
      </c>
      <c r="H370">
        <f>Lcode_mapping!I370</f>
        <v>5</v>
      </c>
      <c r="I370" t="str">
        <f>Lcode_mapping!J370</f>
        <v>Relativisitc bending use status</v>
      </c>
      <c r="J370" t="str">
        <f>Lcode_mapping!K370</f>
        <v>Session</v>
      </c>
      <c r="K370" t="str">
        <f>Lcode_mapping!L370</f>
        <v>-</v>
      </c>
      <c r="L370" t="str">
        <f>Lcode_mapping!M370</f>
        <v>K</v>
      </c>
      <c r="M370" t="str">
        <f>Lcode_mapping!N370</f>
        <v>Solve</v>
      </c>
      <c r="N370" t="str">
        <f>Lcode_mapping!O370</f>
        <v>Solve</v>
      </c>
      <c r="O370" t="str">
        <f>Lcode_mapping!P370</f>
        <v>CalcInfo</v>
      </c>
      <c r="P370" t="str">
        <f>Lcode_mapping!Q370</f>
        <v>Y</v>
      </c>
      <c r="Q370" t="str">
        <f>Lcode_mapping!R370</f>
        <v>RelativityControl</v>
      </c>
      <c r="R370" t="str">
        <f>Lcode_mapping!S370</f>
        <v>-</v>
      </c>
      <c r="S370" t="str">
        <f>Lcode_mapping!T370</f>
        <v>-</v>
      </c>
      <c r="T370" t="str">
        <f>Lcode_mapping!U370</f>
        <v>-</v>
      </c>
      <c r="U370" t="str">
        <f>Lcode_mapping!V370</f>
        <v>-</v>
      </c>
      <c r="V370" t="str">
        <f>Lcode_mapping!W370</f>
        <v>-</v>
      </c>
    </row>
    <row r="371" spans="1:22" ht="15" customHeight="1" x14ac:dyDescent="0.25">
      <c r="A371">
        <f>Lcode_mapping!A371</f>
        <v>196</v>
      </c>
      <c r="B371">
        <f>Lcode_mapping!B371</f>
        <v>1</v>
      </c>
      <c r="C371" t="str">
        <f>Lcode_mapping!D371</f>
        <v>REL DATA</v>
      </c>
      <c r="D371">
        <f>Lcode_mapping!E371</f>
        <v>1</v>
      </c>
      <c r="E371">
        <f>Lcode_mapping!F371</f>
        <v>1</v>
      </c>
      <c r="F371">
        <f>Lcode_mapping!G371</f>
        <v>1</v>
      </c>
      <c r="G371" t="str">
        <f>Lcode_mapping!H371</f>
        <v>R</v>
      </c>
      <c r="H371">
        <f>Lcode_mapping!I371</f>
        <v>1</v>
      </c>
      <c r="I371" t="str">
        <f>Lcode_mapping!J371</f>
        <v>Relativity mod data (gamma).</v>
      </c>
      <c r="J371" t="str">
        <f>Lcode_mapping!K371</f>
        <v>Session</v>
      </c>
      <c r="K371" t="str">
        <f>Lcode_mapping!L371</f>
        <v>-</v>
      </c>
      <c r="L371" t="str">
        <f>Lcode_mapping!M371</f>
        <v>K</v>
      </c>
      <c r="M371" t="str">
        <f>Lcode_mapping!N371</f>
        <v>Solve</v>
      </c>
      <c r="N371" t="str">
        <f>Lcode_mapping!O371</f>
        <v>Solve</v>
      </c>
      <c r="O371" t="str">
        <f>Lcode_mapping!P371</f>
        <v>CalcInfo</v>
      </c>
      <c r="P371" t="str">
        <f>Lcode_mapping!Q371</f>
        <v>Y</v>
      </c>
      <c r="Q371" t="str">
        <f>Lcode_mapping!R371</f>
        <v>RelativityMessage</v>
      </c>
      <c r="R371" t="str">
        <f>Lcode_mapping!S371</f>
        <v>-</v>
      </c>
      <c r="S371" t="str">
        <f>Lcode_mapping!T371</f>
        <v>-</v>
      </c>
      <c r="T371" t="str">
        <f>Lcode_mapping!U371</f>
        <v>-</v>
      </c>
      <c r="U371" t="str">
        <f>Lcode_mapping!V371</f>
        <v>-</v>
      </c>
      <c r="V371" t="str">
        <f>Lcode_mapping!W371</f>
        <v>-</v>
      </c>
    </row>
    <row r="372" spans="1:22" ht="15" customHeight="1" x14ac:dyDescent="0.25">
      <c r="A372">
        <f>Lcode_mapping!A372</f>
        <v>197</v>
      </c>
      <c r="B372">
        <f>Lcode_mapping!B372</f>
        <v>1</v>
      </c>
      <c r="C372" t="str">
        <f>Lcode_mapping!D372</f>
        <v>SIT MESS</v>
      </c>
      <c r="D372">
        <f>Lcode_mapping!E372</f>
        <v>40</v>
      </c>
      <c r="E372">
        <f>Lcode_mapping!F372</f>
        <v>1</v>
      </c>
      <c r="F372">
        <f>Lcode_mapping!G372</f>
        <v>1</v>
      </c>
      <c r="G372" t="str">
        <f>Lcode_mapping!H372</f>
        <v>A</v>
      </c>
      <c r="H372">
        <f>Lcode_mapping!I372</f>
        <v>5</v>
      </c>
      <c r="I372" t="str">
        <f>Lcode_mapping!J372</f>
        <v>Site Module Message Definition</v>
      </c>
      <c r="J372" t="str">
        <f>Lcode_mapping!K372</f>
        <v>Session</v>
      </c>
      <c r="K372" t="str">
        <f>Lcode_mapping!L372</f>
        <v>-</v>
      </c>
      <c r="L372" t="str">
        <f>Lcode_mapping!M372</f>
        <v>K</v>
      </c>
      <c r="M372" t="str">
        <f>Lcode_mapping!N372</f>
        <v>Solve</v>
      </c>
      <c r="N372" t="str">
        <f>Lcode_mapping!O372</f>
        <v>Solve</v>
      </c>
      <c r="O372" t="str">
        <f>Lcode_mapping!P372</f>
        <v>CalcInfo</v>
      </c>
      <c r="P372" t="str">
        <f>Lcode_mapping!Q372</f>
        <v>Y</v>
      </c>
      <c r="Q372" t="str">
        <f>Lcode_mapping!R372</f>
        <v>SiteMessage</v>
      </c>
      <c r="R372" t="str">
        <f>Lcode_mapping!S372</f>
        <v>-</v>
      </c>
      <c r="S372" t="str">
        <f>Lcode_mapping!T372</f>
        <v>-</v>
      </c>
      <c r="T372" t="str">
        <f>Lcode_mapping!U372</f>
        <v>-</v>
      </c>
      <c r="U372" t="str">
        <f>Lcode_mapping!V372</f>
        <v>-</v>
      </c>
      <c r="V372" t="str">
        <f>Lcode_mapping!W372</f>
        <v>-</v>
      </c>
    </row>
    <row r="373" spans="1:22" ht="15" customHeight="1" x14ac:dyDescent="0.25">
      <c r="A373">
        <f>Lcode_mapping!A373</f>
        <v>198</v>
      </c>
      <c r="B373">
        <f>Lcode_mapping!B373</f>
        <v>1</v>
      </c>
      <c r="C373" t="str">
        <f>Lcode_mapping!D373</f>
        <v>SITEZENS</v>
      </c>
      <c r="D373">
        <f>Lcode_mapping!E373</f>
        <v>11</v>
      </c>
      <c r="E373">
        <f>Lcode_mapping!F373</f>
        <v>1</v>
      </c>
      <c r="F373">
        <f>Lcode_mapping!G373</f>
        <v>1</v>
      </c>
      <c r="G373" t="str">
        <f>Lcode_mapping!H373</f>
        <v>R</v>
      </c>
      <c r="H373">
        <f>Lcode_mapping!I373</f>
        <v>5</v>
      </c>
      <c r="I373" t="str">
        <f>Lcode_mapping!J373</f>
        <v>Site zenith path delays (nsec).</v>
      </c>
      <c r="J373" t="str">
        <f>Lcode_mapping!K373</f>
        <v>Session</v>
      </c>
      <c r="K373" t="str">
        <f>Lcode_mapping!L373</f>
        <v>-</v>
      </c>
      <c r="L373" t="str">
        <f>Lcode_mapping!M373</f>
        <v>K</v>
      </c>
      <c r="M373" t="str">
        <f>Lcode_mapping!N373</f>
        <v>Solve</v>
      </c>
      <c r="N373" t="str">
        <f>Lcode_mapping!O373</f>
        <v>Solve</v>
      </c>
      <c r="O373" t="str">
        <f>Lcode_mapping!P373</f>
        <v>CalcInfo</v>
      </c>
      <c r="P373" t="str">
        <f>Lcode_mapping!Q373</f>
        <v>Y</v>
      </c>
      <c r="Q373" t="str">
        <f>Lcode_mapping!R373</f>
        <v>SiteZenithDelay</v>
      </c>
      <c r="R373" t="str">
        <f>Lcode_mapping!S373</f>
        <v>-</v>
      </c>
      <c r="S373" t="str">
        <f>Lcode_mapping!T373</f>
        <v>-</v>
      </c>
      <c r="T373" t="str">
        <f>Lcode_mapping!U373</f>
        <v>-</v>
      </c>
      <c r="U373" t="str">
        <f>Lcode_mapping!V373</f>
        <v>-</v>
      </c>
      <c r="V373" t="str">
        <f>Lcode_mapping!W373</f>
        <v>-</v>
      </c>
    </row>
    <row r="374" spans="1:22" ht="15" customHeight="1" x14ac:dyDescent="0.25">
      <c r="A374">
        <f>Lcode_mapping!A374</f>
        <v>204</v>
      </c>
      <c r="B374">
        <f>Lcode_mapping!B374</f>
        <v>1</v>
      </c>
      <c r="C374" t="str">
        <f>Lcode_mapping!D374</f>
        <v>STR MESS</v>
      </c>
      <c r="D374">
        <f>Lcode_mapping!E374</f>
        <v>40</v>
      </c>
      <c r="E374">
        <f>Lcode_mapping!F374</f>
        <v>1</v>
      </c>
      <c r="F374">
        <f>Lcode_mapping!G374</f>
        <v>1</v>
      </c>
      <c r="G374" t="str">
        <f>Lcode_mapping!H374</f>
        <v>A</v>
      </c>
      <c r="H374">
        <f>Lcode_mapping!I374</f>
        <v>5</v>
      </c>
      <c r="I374" t="str">
        <f>Lcode_mapping!J374</f>
        <v>Star module message definition</v>
      </c>
      <c r="J374" t="str">
        <f>Lcode_mapping!K374</f>
        <v>Session</v>
      </c>
      <c r="K374" t="str">
        <f>Lcode_mapping!L374</f>
        <v>-</v>
      </c>
      <c r="L374" t="str">
        <f>Lcode_mapping!M374</f>
        <v>K</v>
      </c>
      <c r="M374" t="str">
        <f>Lcode_mapping!N374</f>
        <v>Solve</v>
      </c>
      <c r="N374" t="str">
        <f>Lcode_mapping!O374</f>
        <v>Solve</v>
      </c>
      <c r="O374" t="str">
        <f>Lcode_mapping!P374</f>
        <v>CalcInfo</v>
      </c>
      <c r="P374" t="str">
        <f>Lcode_mapping!Q374</f>
        <v>Y</v>
      </c>
      <c r="Q374" t="str">
        <f>Lcode_mapping!R374</f>
        <v>StarMessage</v>
      </c>
      <c r="R374" t="str">
        <f>Lcode_mapping!S374</f>
        <v>-</v>
      </c>
      <c r="S374" t="str">
        <f>Lcode_mapping!T374</f>
        <v>-</v>
      </c>
      <c r="T374" t="str">
        <f>Lcode_mapping!U374</f>
        <v>-</v>
      </c>
      <c r="U374" t="str">
        <f>Lcode_mapping!V374</f>
        <v>-</v>
      </c>
      <c r="V374" t="str">
        <f>Lcode_mapping!W374</f>
        <v>-</v>
      </c>
    </row>
    <row r="375" spans="1:22" ht="15" customHeight="1" x14ac:dyDescent="0.25">
      <c r="A375">
        <f>Lcode_mapping!A375</f>
        <v>203</v>
      </c>
      <c r="B375">
        <f>Lcode_mapping!B375</f>
        <v>1</v>
      </c>
      <c r="C375" t="str">
        <f>Lcode_mapping!D375</f>
        <v>STR CFLG</v>
      </c>
      <c r="D375">
        <f>Lcode_mapping!E375</f>
        <v>40</v>
      </c>
      <c r="E375">
        <f>Lcode_mapping!F375</f>
        <v>1</v>
      </c>
      <c r="F375">
        <f>Lcode_mapping!G375</f>
        <v>1</v>
      </c>
      <c r="G375" t="str">
        <f>Lcode_mapping!H375</f>
        <v>A</v>
      </c>
      <c r="H375">
        <f>Lcode_mapping!I375</f>
        <v>5</v>
      </c>
      <c r="I375" t="str">
        <f>Lcode_mapping!J375</f>
        <v>Parallax flow control mess def</v>
      </c>
      <c r="J375" t="str">
        <f>Lcode_mapping!K375</f>
        <v>Session</v>
      </c>
      <c r="K375" t="str">
        <f>Lcode_mapping!L375</f>
        <v>-</v>
      </c>
      <c r="L375" t="str">
        <f>Lcode_mapping!M375</f>
        <v>K</v>
      </c>
      <c r="M375" t="str">
        <f>Lcode_mapping!N375</f>
        <v>Solve</v>
      </c>
      <c r="N375" t="str">
        <f>Lcode_mapping!O375</f>
        <v>Solve</v>
      </c>
      <c r="O375" t="str">
        <f>Lcode_mapping!P375</f>
        <v>CalcInfo</v>
      </c>
      <c r="P375" t="str">
        <f>Lcode_mapping!Q375</f>
        <v>Y</v>
      </c>
      <c r="Q375" t="str">
        <f>Lcode_mapping!R375</f>
        <v>StarParallaxControl</v>
      </c>
      <c r="R375" t="str">
        <f>Lcode_mapping!S375</f>
        <v>-</v>
      </c>
      <c r="S375" t="str">
        <f>Lcode_mapping!T375</f>
        <v>-</v>
      </c>
      <c r="T375" t="str">
        <f>Lcode_mapping!U375</f>
        <v>-</v>
      </c>
      <c r="U375" t="str">
        <f>Lcode_mapping!V375</f>
        <v>-</v>
      </c>
      <c r="V375" t="str">
        <f>Lcode_mapping!W375</f>
        <v>-</v>
      </c>
    </row>
    <row r="376" spans="1:22" ht="15" customHeight="1" x14ac:dyDescent="0.25">
      <c r="A376">
        <f>Lcode_mapping!A376</f>
        <v>205</v>
      </c>
      <c r="B376">
        <f>Lcode_mapping!B376</f>
        <v>1</v>
      </c>
      <c r="C376" t="str">
        <f>Lcode_mapping!D376</f>
        <v>THE MESS</v>
      </c>
      <c r="D376">
        <f>Lcode_mapping!E376</f>
        <v>40</v>
      </c>
      <c r="E376">
        <f>Lcode_mapping!F376</f>
        <v>1</v>
      </c>
      <c r="F376">
        <f>Lcode_mapping!G376</f>
        <v>1</v>
      </c>
      <c r="G376" t="str">
        <f>Lcode_mapping!H376</f>
        <v>A</v>
      </c>
      <c r="H376">
        <f>Lcode_mapping!I376</f>
        <v>5</v>
      </c>
      <c r="I376" t="str">
        <f>Lcode_mapping!J376</f>
        <v>Theory module identification</v>
      </c>
      <c r="J376" t="str">
        <f>Lcode_mapping!K376</f>
        <v>Session</v>
      </c>
      <c r="K376" t="str">
        <f>Lcode_mapping!L376</f>
        <v>-</v>
      </c>
      <c r="L376" t="str">
        <f>Lcode_mapping!M376</f>
        <v>K</v>
      </c>
      <c r="M376" t="str">
        <f>Lcode_mapping!N376</f>
        <v>Solve</v>
      </c>
      <c r="N376" t="str">
        <f>Lcode_mapping!O376</f>
        <v>Solve</v>
      </c>
      <c r="O376" t="str">
        <f>Lcode_mapping!P376</f>
        <v>CalcInfo</v>
      </c>
      <c r="P376" t="str">
        <f>Lcode_mapping!Q376</f>
        <v>Y</v>
      </c>
      <c r="Q376" t="str">
        <f>Lcode_mapping!R376</f>
        <v>TheoryMessage</v>
      </c>
      <c r="R376" t="str">
        <f>Lcode_mapping!S376</f>
        <v>-</v>
      </c>
      <c r="S376" t="str">
        <f>Lcode_mapping!T376</f>
        <v>-</v>
      </c>
      <c r="T376" t="str">
        <f>Lcode_mapping!U376</f>
        <v>-</v>
      </c>
      <c r="U376" t="str">
        <f>Lcode_mapping!V376</f>
        <v>-</v>
      </c>
      <c r="V376" t="str">
        <f>Lcode_mapping!W376</f>
        <v>-</v>
      </c>
    </row>
    <row r="377" spans="1:22" ht="15" customHeight="1" x14ac:dyDescent="0.25">
      <c r="A377">
        <f>Lcode_mapping!A377</f>
        <v>206</v>
      </c>
      <c r="B377">
        <f>Lcode_mapping!B377</f>
        <v>1</v>
      </c>
      <c r="C377" t="str">
        <f>Lcode_mapping!D377</f>
        <v>TIDALUT1</v>
      </c>
      <c r="D377">
        <f>Lcode_mapping!E377</f>
        <v>1</v>
      </c>
      <c r="E377">
        <f>Lcode_mapping!F377</f>
        <v>1</v>
      </c>
      <c r="F377">
        <f>Lcode_mapping!G377</f>
        <v>1</v>
      </c>
      <c r="G377" t="str">
        <f>Lcode_mapping!H377</f>
        <v>I</v>
      </c>
      <c r="H377">
        <f>Lcode_mapping!I377</f>
        <v>5</v>
      </c>
      <c r="I377" t="str">
        <f>Lcode_mapping!J377</f>
        <v>Flag for tidal terms in UT1 sers</v>
      </c>
      <c r="J377" t="str">
        <f>Lcode_mapping!K377</f>
        <v>Session</v>
      </c>
      <c r="K377" t="str">
        <f>Lcode_mapping!L377</f>
        <v>-</v>
      </c>
      <c r="L377" t="str">
        <f>Lcode_mapping!M377</f>
        <v>K</v>
      </c>
      <c r="M377" t="str">
        <f>Lcode_mapping!N377</f>
        <v>Solve</v>
      </c>
      <c r="N377" t="str">
        <f>Lcode_mapping!O377</f>
        <v>Solve</v>
      </c>
      <c r="O377" t="str">
        <f>Lcode_mapping!P377</f>
        <v>CalcInfo</v>
      </c>
      <c r="P377" t="str">
        <f>Lcode_mapping!Q377</f>
        <v>Y</v>
      </c>
      <c r="Q377" t="str">
        <f>Lcode_mapping!R377</f>
        <v>TidalUT1Control</v>
      </c>
      <c r="R377" t="str">
        <f>Lcode_mapping!S377</f>
        <v>-</v>
      </c>
      <c r="S377" t="str">
        <f>Lcode_mapping!T377</f>
        <v>-</v>
      </c>
      <c r="T377" t="str">
        <f>Lcode_mapping!U377</f>
        <v>-</v>
      </c>
      <c r="U377" t="str">
        <f>Lcode_mapping!V377</f>
        <v>-</v>
      </c>
      <c r="V377" t="str">
        <f>Lcode_mapping!W377</f>
        <v>-</v>
      </c>
    </row>
    <row r="378" spans="1:22" ht="15" customHeight="1" x14ac:dyDescent="0.25">
      <c r="A378">
        <f>Lcode_mapping!A378</f>
        <v>208</v>
      </c>
      <c r="B378">
        <f>Lcode_mapping!B378</f>
        <v>1</v>
      </c>
      <c r="C378" t="str">
        <f>Lcode_mapping!D378</f>
        <v>UT1EPOCH</v>
      </c>
      <c r="D378">
        <f>Lcode_mapping!E378</f>
        <v>2</v>
      </c>
      <c r="E378">
        <f>Lcode_mapping!F378</f>
        <v>2</v>
      </c>
      <c r="F378">
        <f>Lcode_mapping!G378</f>
        <v>1</v>
      </c>
      <c r="G378" t="str">
        <f>Lcode_mapping!H378</f>
        <v>R</v>
      </c>
      <c r="H378">
        <f>Lcode_mapping!I378</f>
        <v>5</v>
      </c>
      <c r="I378" t="str">
        <f>Lcode_mapping!J378</f>
        <v>TAI - UT1 epoch value definition</v>
      </c>
      <c r="J378" t="str">
        <f>Lcode_mapping!K378</f>
        <v>Session</v>
      </c>
      <c r="K378" t="str">
        <f>Lcode_mapping!L378</f>
        <v>-</v>
      </c>
      <c r="L378" t="str">
        <f>Lcode_mapping!M378</f>
        <v>K</v>
      </c>
      <c r="M378" t="str">
        <f>Lcode_mapping!N378</f>
        <v>Solve</v>
      </c>
      <c r="N378" t="str">
        <f>Lcode_mapping!O378</f>
        <v>Solve</v>
      </c>
      <c r="O378" t="str">
        <f>Lcode_mapping!P378</f>
        <v>CalcInfo</v>
      </c>
      <c r="P378" t="str">
        <f>Lcode_mapping!Q378</f>
        <v>Y</v>
      </c>
      <c r="Q378" t="str">
        <f>Lcode_mapping!R378</f>
        <v>-</v>
      </c>
      <c r="R378" t="str">
        <f>Lcode_mapping!S378</f>
        <v>-</v>
      </c>
      <c r="S378" t="str">
        <f>Lcode_mapping!T378</f>
        <v>-</v>
      </c>
      <c r="T378" t="str">
        <f>Lcode_mapping!U378</f>
        <v>-</v>
      </c>
      <c r="U378" t="str">
        <f>Lcode_mapping!V378</f>
        <v>-</v>
      </c>
      <c r="V378" t="str">
        <f>Lcode_mapping!W378</f>
        <v>-</v>
      </c>
    </row>
    <row r="379" spans="1:22" ht="15" customHeight="1" x14ac:dyDescent="0.25">
      <c r="A379">
        <f>Lcode_mapping!A379</f>
        <v>207</v>
      </c>
      <c r="B379">
        <f>Lcode_mapping!B379</f>
        <v>1</v>
      </c>
      <c r="C379" t="str">
        <f>Lcode_mapping!D379</f>
        <v>UT1 CFLG</v>
      </c>
      <c r="D379">
        <f>Lcode_mapping!E379</f>
        <v>40</v>
      </c>
      <c r="E379">
        <f>Lcode_mapping!F379</f>
        <v>1</v>
      </c>
      <c r="F379">
        <f>Lcode_mapping!G379</f>
        <v>1</v>
      </c>
      <c r="G379" t="str">
        <f>Lcode_mapping!H379</f>
        <v>A</v>
      </c>
      <c r="H379">
        <f>Lcode_mapping!I379</f>
        <v>5</v>
      </c>
      <c r="I379" t="str">
        <f>Lcode_mapping!J379</f>
        <v>UT1 control flag message def.</v>
      </c>
      <c r="J379" t="str">
        <f>Lcode_mapping!K379</f>
        <v>Session</v>
      </c>
      <c r="K379" t="str">
        <f>Lcode_mapping!L379</f>
        <v>-</v>
      </c>
      <c r="L379" t="str">
        <f>Lcode_mapping!M379</f>
        <v>K</v>
      </c>
      <c r="M379" t="str">
        <f>Lcode_mapping!N379</f>
        <v>Solve</v>
      </c>
      <c r="N379" t="str">
        <f>Lcode_mapping!O379</f>
        <v>Solve</v>
      </c>
      <c r="O379" t="str">
        <f>Lcode_mapping!P379</f>
        <v>CalcInfo</v>
      </c>
      <c r="P379" t="str">
        <f>Lcode_mapping!Q379</f>
        <v>Y</v>
      </c>
      <c r="Q379" t="str">
        <f>Lcode_mapping!R379</f>
        <v>UT1Control</v>
      </c>
      <c r="R379" t="str">
        <f>Lcode_mapping!S379</f>
        <v>-</v>
      </c>
      <c r="S379" t="str">
        <f>Lcode_mapping!T379</f>
        <v>-</v>
      </c>
      <c r="T379" t="str">
        <f>Lcode_mapping!U379</f>
        <v>-</v>
      </c>
      <c r="U379" t="str">
        <f>Lcode_mapping!V379</f>
        <v>-</v>
      </c>
      <c r="V379" t="str">
        <f>Lcode_mapping!W379</f>
        <v>-</v>
      </c>
    </row>
    <row r="380" spans="1:22" ht="15" customHeight="1" x14ac:dyDescent="0.25">
      <c r="A380">
        <f>Lcode_mapping!A380</f>
        <v>209</v>
      </c>
      <c r="B380">
        <f>Lcode_mapping!B380</f>
        <v>1</v>
      </c>
      <c r="C380" t="str">
        <f>Lcode_mapping!D380</f>
        <v>WOB CFLG</v>
      </c>
      <c r="D380">
        <f>Lcode_mapping!E380</f>
        <v>40</v>
      </c>
      <c r="E380">
        <f>Lcode_mapping!F380</f>
        <v>1</v>
      </c>
      <c r="F380">
        <f>Lcode_mapping!G380</f>
        <v>1</v>
      </c>
      <c r="G380" t="str">
        <f>Lcode_mapping!H380</f>
        <v>A</v>
      </c>
      <c r="H380">
        <f>Lcode_mapping!I380</f>
        <v>5</v>
      </c>
      <c r="I380" t="str">
        <f>Lcode_mapping!J380</f>
        <v>Wobble flow control mess def.</v>
      </c>
      <c r="J380" t="str">
        <f>Lcode_mapping!K380</f>
        <v>Session</v>
      </c>
      <c r="K380" t="str">
        <f>Lcode_mapping!L380</f>
        <v>-</v>
      </c>
      <c r="L380" t="str">
        <f>Lcode_mapping!M380</f>
        <v>K</v>
      </c>
      <c r="M380" t="str">
        <f>Lcode_mapping!N380</f>
        <v>Solve</v>
      </c>
      <c r="N380" t="str">
        <f>Lcode_mapping!O380</f>
        <v>Solve</v>
      </c>
      <c r="O380" t="str">
        <f>Lcode_mapping!P380</f>
        <v>CalcInfo</v>
      </c>
      <c r="P380" t="str">
        <f>Lcode_mapping!Q380</f>
        <v>Y</v>
      </c>
      <c r="Q380" t="str">
        <f>Lcode_mapping!R380</f>
        <v>WobbleControl</v>
      </c>
      <c r="R380" t="str">
        <f>Lcode_mapping!S380</f>
        <v>-</v>
      </c>
      <c r="S380" t="str">
        <f>Lcode_mapping!T380</f>
        <v>-</v>
      </c>
      <c r="T380" t="str">
        <f>Lcode_mapping!U380</f>
        <v>-</v>
      </c>
      <c r="U380" t="str">
        <f>Lcode_mapping!V380</f>
        <v>-</v>
      </c>
      <c r="V380" t="str">
        <f>Lcode_mapping!W380</f>
        <v>-</v>
      </c>
    </row>
    <row r="381" spans="1:22" ht="15" customHeight="1" x14ac:dyDescent="0.25">
      <c r="A381">
        <f>Lcode_mapping!A381</f>
        <v>210</v>
      </c>
      <c r="B381">
        <f>Lcode_mapping!B381</f>
        <v>1</v>
      </c>
      <c r="C381" t="str">
        <f>Lcode_mapping!D381</f>
        <v>WOBEPOCH</v>
      </c>
      <c r="D381">
        <f>Lcode_mapping!E381</f>
        <v>2</v>
      </c>
      <c r="E381">
        <f>Lcode_mapping!F381</f>
        <v>2</v>
      </c>
      <c r="F381">
        <f>Lcode_mapping!G381</f>
        <v>1</v>
      </c>
      <c r="G381" t="str">
        <f>Lcode_mapping!H381</f>
        <v>R</v>
      </c>
      <c r="H381">
        <f>Lcode_mapping!I381</f>
        <v>5</v>
      </c>
      <c r="I381" t="str">
        <f>Lcode_mapping!J381</f>
        <v>Interpolated wobble array def</v>
      </c>
      <c r="J381" t="str">
        <f>Lcode_mapping!K381</f>
        <v>Session</v>
      </c>
      <c r="K381" t="str">
        <f>Lcode_mapping!L381</f>
        <v>-</v>
      </c>
      <c r="L381" t="str">
        <f>Lcode_mapping!M381</f>
        <v>K</v>
      </c>
      <c r="M381" t="str">
        <f>Lcode_mapping!N381</f>
        <v>Solve</v>
      </c>
      <c r="N381" t="str">
        <f>Lcode_mapping!O381</f>
        <v>Solve</v>
      </c>
      <c r="O381" t="str">
        <f>Lcode_mapping!P381</f>
        <v>CalcInfo</v>
      </c>
      <c r="P381" t="str">
        <f>Lcode_mapping!Q381</f>
        <v>Y</v>
      </c>
      <c r="Q381" t="str">
        <f>Lcode_mapping!R381</f>
        <v>-</v>
      </c>
      <c r="R381" t="str">
        <f>Lcode_mapping!S381</f>
        <v>-</v>
      </c>
      <c r="S381" t="str">
        <f>Lcode_mapping!T381</f>
        <v>-</v>
      </c>
      <c r="T381" t="str">
        <f>Lcode_mapping!U381</f>
        <v>-</v>
      </c>
      <c r="U381" t="str">
        <f>Lcode_mapping!V381</f>
        <v>-</v>
      </c>
      <c r="V381" t="str">
        <f>Lcode_mapping!W381</f>
        <v>-</v>
      </c>
    </row>
    <row r="382" spans="1:22" ht="15" customHeight="1" x14ac:dyDescent="0.25">
      <c r="A382">
        <f>Lcode_mapping!A382</f>
        <v>239</v>
      </c>
      <c r="B382">
        <f>Lcode_mapping!B382</f>
        <v>1</v>
      </c>
      <c r="C382" t="str">
        <f>Lcode_mapping!D382</f>
        <v>CALSITES</v>
      </c>
      <c r="D382">
        <f>Lcode_mapping!E382</f>
        <v>4</v>
      </c>
      <c r="E382">
        <f>Lcode_mapping!F382</f>
        <v>11</v>
      </c>
      <c r="F382">
        <f>Lcode_mapping!G382</f>
        <v>1</v>
      </c>
      <c r="G382" t="str">
        <f>Lcode_mapping!H382</f>
        <v>A</v>
      </c>
      <c r="H382">
        <f>Lcode_mapping!I382</f>
        <v>4</v>
      </c>
      <c r="I382" t="str">
        <f>Lcode_mapping!J382</f>
        <v>List of sites for standard cal</v>
      </c>
      <c r="J382" t="str">
        <f>Lcode_mapping!K382</f>
        <v>Session</v>
      </c>
      <c r="K382" t="str">
        <f>Lcode_mapping!L382</f>
        <v>-</v>
      </c>
      <c r="L382" t="str">
        <f>Lcode_mapping!M382</f>
        <v>K</v>
      </c>
      <c r="M382" t="str">
        <f>Lcode_mapping!N382</f>
        <v>Solve</v>
      </c>
      <c r="N382" t="str">
        <f>Lcode_mapping!O382</f>
        <v>Solve</v>
      </c>
      <c r="O382" t="str">
        <f>Lcode_mapping!P382</f>
        <v>CalibrationSetup</v>
      </c>
      <c r="P382" t="str">
        <f>Lcode_mapping!Q382</f>
        <v>-</v>
      </c>
      <c r="Q382" t="str">
        <f>Lcode_mapping!R382</f>
        <v>StatCalStationList</v>
      </c>
      <c r="R382" t="str">
        <f>Lcode_mapping!S382</f>
        <v>-</v>
      </c>
      <c r="S382" t="str">
        <f>Lcode_mapping!T382</f>
        <v>-</v>
      </c>
      <c r="T382" t="str">
        <f>Lcode_mapping!U382</f>
        <v>-</v>
      </c>
      <c r="U382" t="str">
        <f>Lcode_mapping!V382</f>
        <v>-</v>
      </c>
      <c r="V382" t="str">
        <f>Lcode_mapping!W382</f>
        <v>-</v>
      </c>
    </row>
    <row r="383" spans="1:22" ht="15" customHeight="1" x14ac:dyDescent="0.25">
      <c r="A383">
        <f>Lcode_mapping!A383</f>
        <v>240</v>
      </c>
      <c r="B383">
        <f>Lcode_mapping!B383</f>
        <v>1</v>
      </c>
      <c r="C383" t="str">
        <f>Lcode_mapping!D383</f>
        <v>FCL FLGS</v>
      </c>
      <c r="D383">
        <f>Lcode_mapping!E383</f>
        <v>7</v>
      </c>
      <c r="E383">
        <f>Lcode_mapping!F383</f>
        <v>11</v>
      </c>
      <c r="F383">
        <f>Lcode_mapping!G383</f>
        <v>1</v>
      </c>
      <c r="G383" t="str">
        <f>Lcode_mapping!H383</f>
        <v>I</v>
      </c>
      <c r="H383">
        <f>Lcode_mapping!I383</f>
        <v>4</v>
      </c>
      <c r="I383" t="str">
        <f>Lcode_mapping!J383</f>
        <v>Standard flcal configuration</v>
      </c>
      <c r="J383" t="str">
        <f>Lcode_mapping!K383</f>
        <v>Session</v>
      </c>
      <c r="K383" t="str">
        <f>Lcode_mapping!L383</f>
        <v>-</v>
      </c>
      <c r="L383" t="str">
        <f>Lcode_mapping!M383</f>
        <v>K</v>
      </c>
      <c r="M383" t="str">
        <f>Lcode_mapping!N383</f>
        <v>Solve</v>
      </c>
      <c r="N383" t="str">
        <f>Lcode_mapping!O383</f>
        <v>Solve</v>
      </c>
      <c r="O383" t="str">
        <f>Lcode_mapping!P383</f>
        <v>CalibrationSetup</v>
      </c>
      <c r="P383" t="str">
        <f>Lcode_mapping!Q383</f>
        <v>-</v>
      </c>
      <c r="Q383" t="str">
        <f>Lcode_mapping!R383</f>
        <v>FlybyFlag</v>
      </c>
      <c r="R383" t="str">
        <f>Lcode_mapping!S383</f>
        <v>-</v>
      </c>
      <c r="S383" t="str">
        <f>Lcode_mapping!T383</f>
        <v>-</v>
      </c>
      <c r="T383" t="str">
        <f>Lcode_mapping!U383</f>
        <v>-</v>
      </c>
      <c r="U383" t="str">
        <f>Lcode_mapping!V383</f>
        <v>-</v>
      </c>
      <c r="V383" t="str">
        <f>Lcode_mapping!W383</f>
        <v>-</v>
      </c>
    </row>
    <row r="384" spans="1:22" ht="15" customHeight="1" x14ac:dyDescent="0.25">
      <c r="A384">
        <f>Lcode_mapping!A384</f>
        <v>241</v>
      </c>
      <c r="B384">
        <f>Lcode_mapping!B384</f>
        <v>1</v>
      </c>
      <c r="C384" t="str">
        <f>Lcode_mapping!D384</f>
        <v>FCL LIST</v>
      </c>
      <c r="D384">
        <f>Lcode_mapping!E384</f>
        <v>4</v>
      </c>
      <c r="E384">
        <f>Lcode_mapping!F384</f>
        <v>8</v>
      </c>
      <c r="F384">
        <f>Lcode_mapping!G384</f>
        <v>1</v>
      </c>
      <c r="G384" t="str">
        <f>Lcode_mapping!H384</f>
        <v>A</v>
      </c>
      <c r="H384">
        <f>Lcode_mapping!I384</f>
        <v>4</v>
      </c>
      <c r="I384" t="str">
        <f>Lcode_mapping!J384</f>
        <v>Key to the standard flcal config</v>
      </c>
      <c r="J384" t="str">
        <f>Lcode_mapping!K384</f>
        <v>Session</v>
      </c>
      <c r="K384" t="str">
        <f>Lcode_mapping!L384</f>
        <v>calc/solve</v>
      </c>
      <c r="L384" t="str">
        <f>Lcode_mapping!M384</f>
        <v>K</v>
      </c>
      <c r="M384" t="str">
        <f>Lcode_mapping!N384</f>
        <v>Solve</v>
      </c>
      <c r="N384" t="str">
        <f>Lcode_mapping!O384</f>
        <v>Solve</v>
      </c>
      <c r="O384" t="str">
        <f>Lcode_mapping!P384</f>
        <v>CalibrationSetup</v>
      </c>
      <c r="P384" t="str">
        <f>Lcode_mapping!Q384</f>
        <v>-</v>
      </c>
      <c r="Q384" t="str">
        <f>Lcode_mapping!R384</f>
        <v>FlybyList</v>
      </c>
      <c r="R384" t="str">
        <f>Lcode_mapping!S384</f>
        <v>-</v>
      </c>
      <c r="S384" t="str">
        <f>Lcode_mapping!T384</f>
        <v>-</v>
      </c>
      <c r="T384" t="str">
        <f>Lcode_mapping!U384</f>
        <v>-</v>
      </c>
      <c r="U384" t="str">
        <f>Lcode_mapping!V384</f>
        <v>-</v>
      </c>
      <c r="V384" t="str">
        <f>Lcode_mapping!W384</f>
        <v>-</v>
      </c>
    </row>
    <row r="385" spans="1:22" ht="15" customHeight="1" x14ac:dyDescent="0.25">
      <c r="A385">
        <f>Lcode_mapping!A385</f>
        <v>242</v>
      </c>
      <c r="B385">
        <f>Lcode_mapping!B385</f>
        <v>1</v>
      </c>
      <c r="C385" t="str">
        <f>Lcode_mapping!D385</f>
        <v>OBCLFLGS</v>
      </c>
      <c r="D385">
        <f>Lcode_mapping!E385</f>
        <v>1</v>
      </c>
      <c r="E385">
        <f>Lcode_mapping!F385</f>
        <v>1</v>
      </c>
      <c r="F385">
        <f>Lcode_mapping!G385</f>
        <v>1</v>
      </c>
      <c r="G385" t="str">
        <f>Lcode_mapping!H385</f>
        <v>I</v>
      </c>
      <c r="H385">
        <f>Lcode_mapping!I385</f>
        <v>4</v>
      </c>
      <c r="I385" t="str">
        <f>Lcode_mapping!J385</f>
        <v>Standard contribs configuration</v>
      </c>
      <c r="J385" t="str">
        <f>Lcode_mapping!K385</f>
        <v>Session</v>
      </c>
      <c r="K385" t="str">
        <f>Lcode_mapping!L385</f>
        <v>-</v>
      </c>
      <c r="L385" t="str">
        <f>Lcode_mapping!M385</f>
        <v>K</v>
      </c>
      <c r="M385" t="str">
        <f>Lcode_mapping!N385</f>
        <v>Solve</v>
      </c>
      <c r="N385" t="str">
        <f>Lcode_mapping!O385</f>
        <v>Solve</v>
      </c>
      <c r="O385" t="str">
        <f>Lcode_mapping!P385</f>
        <v>CalibrationSetup</v>
      </c>
      <c r="P385" t="str">
        <f>Lcode_mapping!Q385</f>
        <v>-</v>
      </c>
      <c r="Q385" t="str">
        <f>Lcode_mapping!R385</f>
        <v>ObsCalFlag</v>
      </c>
      <c r="R385" t="str">
        <f>Lcode_mapping!S385</f>
        <v>-</v>
      </c>
      <c r="S385" t="str">
        <f>Lcode_mapping!T385</f>
        <v>Bit set indicate that calibration is recommended.</v>
      </c>
      <c r="T385" t="str">
        <f>Lcode_mapping!U385</f>
        <v>-</v>
      </c>
      <c r="U385" t="str">
        <f>Lcode_mapping!V385</f>
        <v>-</v>
      </c>
      <c r="V385" t="str">
        <f>Lcode_mapping!W385</f>
        <v>-</v>
      </c>
    </row>
    <row r="386" spans="1:22" ht="15" customHeight="1" x14ac:dyDescent="0.25">
      <c r="A386">
        <f>Lcode_mapping!A386</f>
        <v>243</v>
      </c>
      <c r="B386">
        <f>Lcode_mapping!B386</f>
        <v>1</v>
      </c>
      <c r="C386" t="str">
        <f>Lcode_mapping!D386</f>
        <v>OBCLLIST</v>
      </c>
      <c r="D386">
        <f>Lcode_mapping!E386</f>
        <v>4</v>
      </c>
      <c r="E386">
        <f>Lcode_mapping!F386</f>
        <v>14</v>
      </c>
      <c r="F386">
        <f>Lcode_mapping!G386</f>
        <v>1</v>
      </c>
      <c r="G386" t="str">
        <f>Lcode_mapping!H386</f>
        <v>A</v>
      </c>
      <c r="H386">
        <f>Lcode_mapping!I386</f>
        <v>4</v>
      </c>
      <c r="I386" t="str">
        <f>Lcode_mapping!J386</f>
        <v>Key to standard contribs config</v>
      </c>
      <c r="J386" t="str">
        <f>Lcode_mapping!K386</f>
        <v>Session</v>
      </c>
      <c r="K386" t="str">
        <f>Lcode_mapping!L386</f>
        <v>calc/solve</v>
      </c>
      <c r="L386" t="str">
        <f>Lcode_mapping!M386</f>
        <v>K</v>
      </c>
      <c r="M386" t="str">
        <f>Lcode_mapping!N386</f>
        <v>Solve</v>
      </c>
      <c r="N386" t="str">
        <f>Lcode_mapping!O386</f>
        <v>Solve</v>
      </c>
      <c r="O386" t="str">
        <f>Lcode_mapping!P386</f>
        <v>CalibrationSetup</v>
      </c>
      <c r="P386" t="str">
        <f>Lcode_mapping!Q386</f>
        <v>-</v>
      </c>
      <c r="Q386" t="str">
        <f>Lcode_mapping!R386</f>
        <v>ObsCalList</v>
      </c>
      <c r="R386" t="str">
        <f>Lcode_mapping!S386</f>
        <v>-</v>
      </c>
      <c r="S386" t="str">
        <f>Lcode_mapping!T386</f>
        <v>Available obs dependent calibrations (poletide, earthdide, …)</v>
      </c>
      <c r="T386" t="str">
        <f>Lcode_mapping!U386</f>
        <v>-</v>
      </c>
      <c r="U386" t="str">
        <f>Lcode_mapping!V386</f>
        <v>-</v>
      </c>
      <c r="V386" t="str">
        <f>Lcode_mapping!W386</f>
        <v>-</v>
      </c>
    </row>
    <row r="387" spans="1:22" ht="15" customHeight="1" x14ac:dyDescent="0.25">
      <c r="A387">
        <f>Lcode_mapping!A387</f>
        <v>237</v>
      </c>
      <c r="B387">
        <f>Lcode_mapping!B387</f>
        <v>1</v>
      </c>
      <c r="C387" t="str">
        <f>Lcode_mapping!D387</f>
        <v>CAL FLGS</v>
      </c>
      <c r="D387">
        <f>Lcode_mapping!E387</f>
        <v>11</v>
      </c>
      <c r="E387">
        <f>Lcode_mapping!F387</f>
        <v>1</v>
      </c>
      <c r="F387">
        <f>Lcode_mapping!G387</f>
        <v>1</v>
      </c>
      <c r="G387" t="str">
        <f>Lcode_mapping!H387</f>
        <v>I</v>
      </c>
      <c r="H387">
        <f>Lcode_mapping!I387</f>
        <v>4</v>
      </c>
      <c r="I387" t="str">
        <f>Lcode_mapping!J387</f>
        <v>Standard cal configuration</v>
      </c>
      <c r="J387" t="str">
        <f>Lcode_mapping!K387</f>
        <v>Session</v>
      </c>
      <c r="K387" t="str">
        <f>Lcode_mapping!L387</f>
        <v>-</v>
      </c>
      <c r="L387" t="str">
        <f>Lcode_mapping!M387</f>
        <v>K</v>
      </c>
      <c r="M387" t="str">
        <f>Lcode_mapping!N387</f>
        <v>Solve</v>
      </c>
      <c r="N387" t="str">
        <f>Lcode_mapping!O387</f>
        <v>Solve</v>
      </c>
      <c r="O387" t="str">
        <f>Lcode_mapping!P387</f>
        <v>CalibrationSetup</v>
      </c>
      <c r="P387" t="str">
        <f>Lcode_mapping!Q387</f>
        <v>-</v>
      </c>
      <c r="Q387" t="str">
        <f>Lcode_mapping!R387</f>
        <v>StatCalFlag</v>
      </c>
      <c r="R387" t="str">
        <f>Lcode_mapping!S387</f>
        <v>-</v>
      </c>
      <c r="S387" t="str">
        <f>Lcode_mapping!T387</f>
        <v>Bit set indicate that calibration is recommended.</v>
      </c>
      <c r="T387" t="str">
        <f>Lcode_mapping!U387</f>
        <v>-</v>
      </c>
      <c r="U387" t="str">
        <f>Lcode_mapping!V387</f>
        <v>-</v>
      </c>
      <c r="V387" t="str">
        <f>Lcode_mapping!W387</f>
        <v>-</v>
      </c>
    </row>
    <row r="388" spans="1:22" ht="15" customHeight="1" x14ac:dyDescent="0.25">
      <c r="A388">
        <f>Lcode_mapping!A388</f>
        <v>238</v>
      </c>
      <c r="B388">
        <f>Lcode_mapping!B388</f>
        <v>1</v>
      </c>
      <c r="C388" t="str">
        <f>Lcode_mapping!D388</f>
        <v>CAL LIST</v>
      </c>
      <c r="D388">
        <f>Lcode_mapping!E388</f>
        <v>4</v>
      </c>
      <c r="E388">
        <f>Lcode_mapping!F388</f>
        <v>6</v>
      </c>
      <c r="F388">
        <f>Lcode_mapping!G388</f>
        <v>1</v>
      </c>
      <c r="G388" t="str">
        <f>Lcode_mapping!H388</f>
        <v>A</v>
      </c>
      <c r="H388">
        <f>Lcode_mapping!I388</f>
        <v>4</v>
      </c>
      <c r="I388" t="str">
        <f>Lcode_mapping!J388</f>
        <v>Key to the standard cal config</v>
      </c>
      <c r="J388" t="str">
        <f>Lcode_mapping!K388</f>
        <v>Session</v>
      </c>
      <c r="K388" t="str">
        <f>Lcode_mapping!L388</f>
        <v>calc/solve</v>
      </c>
      <c r="L388" t="str">
        <f>Lcode_mapping!M388</f>
        <v>K</v>
      </c>
      <c r="M388" t="str">
        <f>Lcode_mapping!N388</f>
        <v>Solve</v>
      </c>
      <c r="N388" t="str">
        <f>Lcode_mapping!O388</f>
        <v>Solve</v>
      </c>
      <c r="O388" t="str">
        <f>Lcode_mapping!P388</f>
        <v>CalibrationSetup</v>
      </c>
      <c r="P388" t="str">
        <f>Lcode_mapping!Q388</f>
        <v>-</v>
      </c>
      <c r="Q388" t="str">
        <f>Lcode_mapping!R388</f>
        <v>StatCalList</v>
      </c>
      <c r="R388" t="str">
        <f>Lcode_mapping!S388</f>
        <v>-</v>
      </c>
      <c r="S388" t="str">
        <f>Lcode_mapping!T388</f>
        <v>Station depedendent calibratipns (Cable, Phase,  etc…)</v>
      </c>
      <c r="T388" t="str">
        <f>Lcode_mapping!U388</f>
        <v>-</v>
      </c>
      <c r="U388" t="str">
        <f>Lcode_mapping!V388</f>
        <v>-</v>
      </c>
      <c r="V388" t="str">
        <f>Lcode_mapping!W388</f>
        <v>-</v>
      </c>
    </row>
    <row r="389" spans="1:22" ht="15" customHeight="1" x14ac:dyDescent="0.25">
      <c r="A389">
        <f>Lcode_mapping!A389</f>
        <v>247</v>
      </c>
      <c r="B389">
        <f>Lcode_mapping!B389</f>
        <v>1</v>
      </c>
      <c r="C389" t="str">
        <f>Lcode_mapping!D389</f>
        <v>CLK_INTV</v>
      </c>
      <c r="D389">
        <f>Lcode_mapping!E389</f>
        <v>1</v>
      </c>
      <c r="E389">
        <f>Lcode_mapping!F389</f>
        <v>1</v>
      </c>
      <c r="F389">
        <f>Lcode_mapping!G389</f>
        <v>1</v>
      </c>
      <c r="G389" t="str">
        <f>Lcode_mapping!H389</f>
        <v>R</v>
      </c>
      <c r="H389">
        <f>Lcode_mapping!I389</f>
        <v>4</v>
      </c>
      <c r="I389" t="str">
        <f>Lcode_mapping!J389</f>
        <v>Batchmode clock interval - hours</v>
      </c>
      <c r="J389" t="str">
        <f>Lcode_mapping!K389</f>
        <v>Session</v>
      </c>
      <c r="K389" t="str">
        <f>Lcode_mapping!L389</f>
        <v>-</v>
      </c>
      <c r="L389" t="str">
        <f>Lcode_mapping!M389</f>
        <v>K</v>
      </c>
      <c r="M389" t="str">
        <f>Lcode_mapping!N389</f>
        <v>Solve</v>
      </c>
      <c r="N389" t="str">
        <f>Lcode_mapping!O389</f>
        <v>Solve</v>
      </c>
      <c r="O389" t="str">
        <f>Lcode_mapping!P389</f>
        <v>ClockSetup</v>
      </c>
      <c r="P389" t="str">
        <f>Lcode_mapping!Q389</f>
        <v>-</v>
      </c>
      <c r="Q389" t="str">
        <f>Lcode_mapping!R389</f>
        <v>ClockInterval</v>
      </c>
      <c r="R389" t="str">
        <f>Lcode_mapping!S389</f>
        <v>-</v>
      </c>
      <c r="S389" t="str">
        <f>Lcode_mapping!T389</f>
        <v>-</v>
      </c>
      <c r="T389" t="str">
        <f>Lcode_mapping!U389</f>
        <v>-</v>
      </c>
      <c r="U389" t="str">
        <f>Lcode_mapping!V389</f>
        <v>-</v>
      </c>
      <c r="V389" t="str">
        <f>Lcode_mapping!W389</f>
        <v>-</v>
      </c>
    </row>
    <row r="390" spans="1:22" ht="15" customHeight="1" x14ac:dyDescent="0.25">
      <c r="A390">
        <f>Lcode_mapping!A390</f>
        <v>246</v>
      </c>
      <c r="B390">
        <f>Lcode_mapping!B390</f>
        <v>1</v>
      </c>
      <c r="C390" t="str">
        <f>Lcode_mapping!D390</f>
        <v>CLK_CNST</v>
      </c>
      <c r="D390">
        <f>Lcode_mapping!E390</f>
        <v>1</v>
      </c>
      <c r="E390">
        <f>Lcode_mapping!F390</f>
        <v>1</v>
      </c>
      <c r="F390">
        <f>Lcode_mapping!G390</f>
        <v>1</v>
      </c>
      <c r="G390" t="str">
        <f>Lcode_mapping!H390</f>
        <v>R</v>
      </c>
      <c r="H390">
        <f>Lcode_mapping!I390</f>
        <v>4</v>
      </c>
      <c r="I390" t="str">
        <f>Lcode_mapping!J390</f>
        <v>Clock constraint-Parts in 1.e14</v>
      </c>
      <c r="J390" t="str">
        <f>Lcode_mapping!K390</f>
        <v>Session</v>
      </c>
      <c r="K390" t="str">
        <f>Lcode_mapping!L390</f>
        <v>Part of (CLK_CFLG, CC_SITS,CLK_CNST)</v>
      </c>
      <c r="L390" t="str">
        <f>Lcode_mapping!M390</f>
        <v>K</v>
      </c>
      <c r="M390" t="str">
        <f>Lcode_mapping!N390</f>
        <v>Solve</v>
      </c>
      <c r="N390" t="str">
        <f>Lcode_mapping!O390</f>
        <v>Solve</v>
      </c>
      <c r="O390" t="str">
        <f>Lcode_mapping!P390</f>
        <v>ClockSetup</v>
      </c>
      <c r="P390" t="str">
        <f>Lcode_mapping!Q390</f>
        <v>-</v>
      </c>
      <c r="Q390" t="str">
        <f>Lcode_mapping!R390</f>
        <v>ClockRateConstraint</v>
      </c>
      <c r="R390" t="str">
        <f>Lcode_mapping!S390</f>
        <v>-</v>
      </c>
      <c r="S390" t="str">
        <f>Lcode_mapping!T390</f>
        <v>-</v>
      </c>
      <c r="T390" t="str">
        <f>Lcode_mapping!U390</f>
        <v>-</v>
      </c>
      <c r="U390" t="str">
        <f>Lcode_mapping!V390</f>
        <v>-</v>
      </c>
      <c r="V390" t="str">
        <f>Lcode_mapping!W390</f>
        <v>-</v>
      </c>
    </row>
    <row r="391" spans="1:22" ht="15" customHeight="1" x14ac:dyDescent="0.25">
      <c r="A391">
        <f>Lcode_mapping!A391</f>
        <v>245</v>
      </c>
      <c r="B391">
        <f>Lcode_mapping!B391</f>
        <v>1</v>
      </c>
      <c r="C391" t="str">
        <f>Lcode_mapping!D391</f>
        <v>CC_SITES</v>
      </c>
      <c r="D391">
        <f>Lcode_mapping!E391</f>
        <v>4</v>
      </c>
      <c r="E391">
        <f>Lcode_mapping!F391</f>
        <v>5</v>
      </c>
      <c r="F391">
        <f>Lcode_mapping!G391</f>
        <v>1</v>
      </c>
      <c r="G391" t="str">
        <f>Lcode_mapping!H391</f>
        <v>A</v>
      </c>
      <c r="H391">
        <f>Lcode_mapping!I391</f>
        <v>3</v>
      </c>
      <c r="I391" t="str">
        <f>Lcode_mapping!J391</f>
        <v>Site list for clocks constraints</v>
      </c>
      <c r="J391" t="str">
        <f>Lcode_mapping!K391</f>
        <v>Session</v>
      </c>
      <c r="K391" t="str">
        <f>Lcode_mapping!L391</f>
        <v>Part of (CLK_CFLG, CC_SITS,CLK_CNST)</v>
      </c>
      <c r="L391" t="str">
        <f>Lcode_mapping!M391</f>
        <v>K</v>
      </c>
      <c r="M391" t="str">
        <f>Lcode_mapping!N391</f>
        <v>Solve</v>
      </c>
      <c r="N391" t="str">
        <f>Lcode_mapping!O391</f>
        <v>Solve</v>
      </c>
      <c r="O391" t="str">
        <f>Lcode_mapping!P391</f>
        <v>ClockSetup</v>
      </c>
      <c r="P391" t="str">
        <f>Lcode_mapping!Q391</f>
        <v>-</v>
      </c>
      <c r="Q391" t="str">
        <f>Lcode_mapping!R391</f>
        <v>ClockRateConstraintStationList</v>
      </c>
      <c r="R391" t="str">
        <f>Lcode_mapping!S391</f>
        <v>-</v>
      </c>
      <c r="S391" t="str">
        <f>Lcode_mapping!T391</f>
        <v>-</v>
      </c>
      <c r="T391" t="str">
        <f>Lcode_mapping!U391</f>
        <v>-</v>
      </c>
      <c r="U391" t="str">
        <f>Lcode_mapping!V391</f>
        <v>-</v>
      </c>
      <c r="V391" t="str">
        <f>Lcode_mapping!W391</f>
        <v>-</v>
      </c>
    </row>
    <row r="392" spans="1:22" ht="15" customHeight="1" x14ac:dyDescent="0.25">
      <c r="A392">
        <f>Lcode_mapping!A392</f>
        <v>244</v>
      </c>
      <c r="B392">
        <f>Lcode_mapping!B392</f>
        <v>1</v>
      </c>
      <c r="C392" t="str">
        <f>Lcode_mapping!D392</f>
        <v># CLK_RF</v>
      </c>
      <c r="D392">
        <f>Lcode_mapping!E392</f>
        <v>1</v>
      </c>
      <c r="E392">
        <f>Lcode_mapping!F392</f>
        <v>1</v>
      </c>
      <c r="F392">
        <f>Lcode_mapping!G392</f>
        <v>1</v>
      </c>
      <c r="G392" t="str">
        <f>Lcode_mapping!H392</f>
        <v>I</v>
      </c>
      <c r="H392">
        <f>Lcode_mapping!I392</f>
        <v>4</v>
      </c>
      <c r="I392" t="str">
        <f>Lcode_mapping!J392</f>
        <v># of clock reference stations</v>
      </c>
      <c r="J392" t="str">
        <f>Lcode_mapping!K392</f>
        <v>Session</v>
      </c>
      <c r="K392" t="str">
        <f>Lcode_mapping!L392</f>
        <v>-</v>
      </c>
      <c r="L392" t="str">
        <f>Lcode_mapping!M392</f>
        <v>S</v>
      </c>
      <c r="M392" t="str">
        <f>Lcode_mapping!N392</f>
        <v>Solve</v>
      </c>
      <c r="N392" t="str">
        <f>Lcode_mapping!O392</f>
        <v>Solve</v>
      </c>
      <c r="O392" t="str">
        <f>Lcode_mapping!P392</f>
        <v>ClockSetup</v>
      </c>
      <c r="P392" t="str">
        <f>Lcode_mapping!Q392</f>
        <v>-</v>
      </c>
      <c r="Q392" t="str">
        <f>Lcode_mapping!R392</f>
        <v>NumClockRefStations</v>
      </c>
      <c r="R392" t="str">
        <f>Lcode_mapping!S392</f>
        <v>-</v>
      </c>
      <c r="S392" t="str">
        <f>Lcode_mapping!T392</f>
        <v>-</v>
      </c>
      <c r="T392" t="str">
        <f>Lcode_mapping!U392</f>
        <v>-</v>
      </c>
      <c r="U392" t="str">
        <f>Lcode_mapping!V392</f>
        <v>-</v>
      </c>
      <c r="V392" t="str">
        <f>Lcode_mapping!W392</f>
        <v>-</v>
      </c>
    </row>
    <row r="393" spans="1:22" ht="15" customHeight="1" x14ac:dyDescent="0.25">
      <c r="A393">
        <f>Lcode_mapping!A393</f>
        <v>249</v>
      </c>
      <c r="B393">
        <f>Lcode_mapping!B393</f>
        <v>1</v>
      </c>
      <c r="C393" t="str">
        <f>Lcode_mapping!D393</f>
        <v>CLK_SITS</v>
      </c>
      <c r="D393">
        <f>Lcode_mapping!E393</f>
        <v>4</v>
      </c>
      <c r="E393">
        <f>Lcode_mapping!F393</f>
        <v>1</v>
      </c>
      <c r="F393">
        <f>Lcode_mapping!G393</f>
        <v>1</v>
      </c>
      <c r="G393" t="str">
        <f>Lcode_mapping!H393</f>
        <v>A</v>
      </c>
      <c r="H393">
        <f>Lcode_mapping!I393</f>
        <v>4</v>
      </c>
      <c r="I393" t="str">
        <f>Lcode_mapping!J393</f>
        <v>List of clock reference stations</v>
      </c>
      <c r="J393" t="str">
        <f>Lcode_mapping!K393</f>
        <v>Session</v>
      </c>
      <c r="K393" t="str">
        <f>Lcode_mapping!L393</f>
        <v>-</v>
      </c>
      <c r="L393" t="str">
        <f>Lcode_mapping!M393</f>
        <v>K</v>
      </c>
      <c r="M393" t="str">
        <f>Lcode_mapping!N393</f>
        <v>Solve</v>
      </c>
      <c r="N393" t="str">
        <f>Lcode_mapping!O393</f>
        <v>Solve</v>
      </c>
      <c r="O393" t="str">
        <f>Lcode_mapping!P393</f>
        <v>ClockSetup</v>
      </c>
      <c r="P393" t="str">
        <f>Lcode_mapping!Q393</f>
        <v>-</v>
      </c>
      <c r="Q393" t="str">
        <f>Lcode_mapping!R393</f>
        <v>RefClockStationList</v>
      </c>
      <c r="R393" t="str">
        <f>Lcode_mapping!S393</f>
        <v>-</v>
      </c>
      <c r="S393" t="str">
        <f>Lcode_mapping!T393</f>
        <v>-</v>
      </c>
      <c r="T393" t="str">
        <f>Lcode_mapping!U393</f>
        <v>-</v>
      </c>
      <c r="U393" t="str">
        <f>Lcode_mapping!V393</f>
        <v>-</v>
      </c>
      <c r="V393" t="str">
        <f>Lcode_mapping!W393</f>
        <v>-</v>
      </c>
    </row>
    <row r="394" spans="1:22" ht="15" customHeight="1" x14ac:dyDescent="0.25">
      <c r="A394">
        <f>Lcode_mapping!A394</f>
        <v>248</v>
      </c>
      <c r="B394">
        <f>Lcode_mapping!B394</f>
        <v>1</v>
      </c>
      <c r="C394" t="str">
        <f>Lcode_mapping!D394</f>
        <v>CLK_SITE</v>
      </c>
      <c r="D394">
        <f>Lcode_mapping!E394</f>
        <v>4</v>
      </c>
      <c r="E394">
        <f>Lcode_mapping!F394</f>
        <v>1</v>
      </c>
      <c r="F394">
        <f>Lcode_mapping!G394</f>
        <v>1</v>
      </c>
      <c r="G394" t="str">
        <f>Lcode_mapping!H394</f>
        <v>A</v>
      </c>
      <c r="H394">
        <f>Lcode_mapping!I394</f>
        <v>4</v>
      </c>
      <c r="I394" t="str">
        <f>Lcode_mapping!J394</f>
        <v>Batchmode clock reference site</v>
      </c>
      <c r="J394" t="str">
        <f>Lcode_mapping!K394</f>
        <v>Session</v>
      </c>
      <c r="K394" t="str">
        <f>Lcode_mapping!L394</f>
        <v>-</v>
      </c>
      <c r="L394" t="str">
        <f>Lcode_mapping!M394</f>
        <v>K</v>
      </c>
      <c r="M394" t="str">
        <f>Lcode_mapping!N394</f>
        <v>Solve</v>
      </c>
      <c r="N394" t="str">
        <f>Lcode_mapping!O394</f>
        <v>Solve</v>
      </c>
      <c r="O394" t="str">
        <f>Lcode_mapping!P394</f>
        <v>ClockSetup</v>
      </c>
      <c r="P394" t="str">
        <f>Lcode_mapping!Q394</f>
        <v>-</v>
      </c>
      <c r="Q394" t="str">
        <f>Lcode_mapping!R394</f>
        <v>RefClockStationList</v>
      </c>
      <c r="R394" t="str">
        <f>Lcode_mapping!S394</f>
        <v>-</v>
      </c>
      <c r="S394" t="str">
        <f>Lcode_mapping!T394</f>
        <v>-</v>
      </c>
      <c r="T394" t="str">
        <f>Lcode_mapping!U394</f>
        <v>-</v>
      </c>
      <c r="U394" t="str">
        <f>Lcode_mapping!V394</f>
        <v>-</v>
      </c>
      <c r="V394" t="str">
        <f>Lcode_mapping!W394</f>
        <v>-</v>
      </c>
    </row>
    <row r="395" spans="1:22" ht="15" customHeight="1" x14ac:dyDescent="0.25">
      <c r="A395">
        <f>Lcode_mapping!A395</f>
        <v>250</v>
      </c>
      <c r="B395" t="str">
        <f>Lcode_mapping!B395</f>
        <v>N</v>
      </c>
      <c r="C395" t="str">
        <f>Lcode_mapping!D395</f>
        <v>UT1OffsetConstraint</v>
      </c>
      <c r="D395">
        <f>Lcode_mapping!E395</f>
        <v>1</v>
      </c>
      <c r="E395">
        <f>Lcode_mapping!F395</f>
        <v>1</v>
      </c>
      <c r="F395">
        <f>Lcode_mapping!G395</f>
        <v>1</v>
      </c>
      <c r="G395" t="str">
        <f>Lcode_mapping!H395</f>
        <v>R</v>
      </c>
      <c r="H395" t="str">
        <f>Lcode_mapping!I395</f>
        <v>N</v>
      </c>
      <c r="I395" t="str">
        <f>Lcode_mapping!J395</f>
        <v>UT1 Offset Constraint</v>
      </c>
      <c r="J395" t="str">
        <f>Lcode_mapping!K395</f>
        <v>Session</v>
      </c>
      <c r="K395" t="str">
        <f>Lcode_mapping!L395</f>
        <v>-</v>
      </c>
      <c r="L395" t="str">
        <f>Lcode_mapping!M395</f>
        <v>K</v>
      </c>
      <c r="M395" t="str">
        <f>Lcode_mapping!N395</f>
        <v>Solve</v>
      </c>
      <c r="N395" t="str">
        <f>Lcode_mapping!O395</f>
        <v>Solve</v>
      </c>
      <c r="O395" t="str">
        <f>Lcode_mapping!P395</f>
        <v>ERPSetup</v>
      </c>
      <c r="P395" t="str">
        <f>Lcode_mapping!Q395</f>
        <v>-</v>
      </c>
      <c r="Q395" t="str">
        <f>Lcode_mapping!R395</f>
        <v>-</v>
      </c>
      <c r="R395" t="str">
        <f>Lcode_mapping!S395</f>
        <v>-</v>
      </c>
      <c r="S395" t="str">
        <f>Lcode_mapping!T395</f>
        <v>-</v>
      </c>
      <c r="T395" t="str">
        <f>Lcode_mapping!U395</f>
        <v>-</v>
      </c>
      <c r="U395" t="str">
        <f>Lcode_mapping!V395</f>
        <v>-</v>
      </c>
      <c r="V395" t="str">
        <f>Lcode_mapping!W395</f>
        <v>-</v>
      </c>
    </row>
    <row r="396" spans="1:22" ht="15" customHeight="1" x14ac:dyDescent="0.25">
      <c r="A396">
        <f>Lcode_mapping!A396</f>
        <v>251</v>
      </c>
      <c r="B396" t="str">
        <f>Lcode_mapping!B396</f>
        <v>N</v>
      </c>
      <c r="C396" t="str">
        <f>Lcode_mapping!D396</f>
        <v>WobOffsetConstraint</v>
      </c>
      <c r="D396">
        <f>Lcode_mapping!E396</f>
        <v>1</v>
      </c>
      <c r="E396">
        <f>Lcode_mapping!F396</f>
        <v>1</v>
      </c>
      <c r="F396">
        <f>Lcode_mapping!G396</f>
        <v>1</v>
      </c>
      <c r="G396" t="str">
        <f>Lcode_mapping!H396</f>
        <v>R</v>
      </c>
      <c r="H396" t="str">
        <f>Lcode_mapping!I396</f>
        <v>N</v>
      </c>
      <c r="I396" t="str">
        <f>Lcode_mapping!J396</f>
        <v>Polar Motion Offset Constraint</v>
      </c>
      <c r="J396" t="str">
        <f>Lcode_mapping!K396</f>
        <v>Session</v>
      </c>
      <c r="K396" t="str">
        <f>Lcode_mapping!L396</f>
        <v>-</v>
      </c>
      <c r="L396" t="str">
        <f>Lcode_mapping!M396</f>
        <v>K</v>
      </c>
      <c r="M396" t="str">
        <f>Lcode_mapping!N396</f>
        <v>Solve</v>
      </c>
      <c r="N396" t="str">
        <f>Lcode_mapping!O396</f>
        <v>Solve</v>
      </c>
      <c r="O396" t="str">
        <f>Lcode_mapping!P396</f>
        <v>ERPSetup</v>
      </c>
      <c r="P396" t="str">
        <f>Lcode_mapping!Q396</f>
        <v>-</v>
      </c>
      <c r="Q396" t="str">
        <f>Lcode_mapping!R396</f>
        <v>-</v>
      </c>
      <c r="R396" t="str">
        <f>Lcode_mapping!S396</f>
        <v>-</v>
      </c>
      <c r="S396" t="str">
        <f>Lcode_mapping!T396</f>
        <v>-</v>
      </c>
      <c r="T396" t="str">
        <f>Lcode_mapping!U396</f>
        <v>-</v>
      </c>
      <c r="U396" t="str">
        <f>Lcode_mapping!V396</f>
        <v>-</v>
      </c>
      <c r="V396" t="str">
        <f>Lcode_mapping!W396</f>
        <v>-</v>
      </c>
    </row>
    <row r="397" spans="1:22" ht="15" customHeight="1" x14ac:dyDescent="0.25">
      <c r="A397">
        <f>Lcode_mapping!A397</f>
        <v>252</v>
      </c>
      <c r="B397" t="str">
        <f>Lcode_mapping!B397</f>
        <v>N</v>
      </c>
      <c r="C397" t="str">
        <f>Lcode_mapping!D397</f>
        <v>IonoSolveFlag</v>
      </c>
      <c r="D397">
        <f>Lcode_mapping!E397</f>
        <v>1</v>
      </c>
      <c r="E397">
        <f>Lcode_mapping!F397</f>
        <v>1</v>
      </c>
      <c r="F397">
        <f>Lcode_mapping!G397</f>
        <v>1</v>
      </c>
      <c r="G397" t="str">
        <f>Lcode_mapping!H397</f>
        <v>I</v>
      </c>
      <c r="H397" t="str">
        <f>Lcode_mapping!I397</f>
        <v>N</v>
      </c>
      <c r="I397" t="str">
        <f>Lcode_mapping!J397</f>
        <v>-</v>
      </c>
      <c r="J397" t="str">
        <f>Lcode_mapping!K397</f>
        <v>Session</v>
      </c>
      <c r="K397" t="str">
        <f>Lcode_mapping!L397</f>
        <v>IonoSolveFlag and IonoStations contain info in NAMFIL array JSITI</v>
      </c>
      <c r="L397" t="str">
        <f>Lcode_mapping!M397</f>
        <v>K</v>
      </c>
      <c r="M397" t="str">
        <f>Lcode_mapping!N397</f>
        <v>Solve</v>
      </c>
      <c r="N397" t="str">
        <f>Lcode_mapping!O397</f>
        <v>Solve</v>
      </c>
      <c r="O397" t="str">
        <f>Lcode_mapping!P397</f>
        <v>IonoSetup</v>
      </c>
      <c r="P397" t="str">
        <f>Lcode_mapping!Q397</f>
        <v>-</v>
      </c>
      <c r="Q397" t="str">
        <f>Lcode_mapping!R397</f>
        <v>-</v>
      </c>
      <c r="R397" t="str">
        <f>Lcode_mapping!S397</f>
        <v>-</v>
      </c>
      <c r="S397" t="str">
        <f>Lcode_mapping!T397</f>
        <v>Bit flag indicating station has iono correction</v>
      </c>
      <c r="T397" t="str">
        <f>Lcode_mapping!U397</f>
        <v>-</v>
      </c>
      <c r="U397" t="str">
        <f>Lcode_mapping!V397</f>
        <v>-</v>
      </c>
      <c r="V397" t="str">
        <f>Lcode_mapping!W397</f>
        <v>-</v>
      </c>
    </row>
    <row r="398" spans="1:22" ht="15" customHeight="1" x14ac:dyDescent="0.25">
      <c r="A398">
        <f>Lcode_mapping!A398</f>
        <v>253</v>
      </c>
      <c r="B398" t="str">
        <f>Lcode_mapping!B398</f>
        <v>N</v>
      </c>
      <c r="C398" t="str">
        <f>Lcode_mapping!D398</f>
        <v>IonoStationList</v>
      </c>
      <c r="D398">
        <f>Lcode_mapping!E398</f>
        <v>4</v>
      </c>
      <c r="E398">
        <f>Lcode_mapping!F398</f>
        <v>1</v>
      </c>
      <c r="F398">
        <f>Lcode_mapping!G398</f>
        <v>1</v>
      </c>
      <c r="G398" t="str">
        <f>Lcode_mapping!H398</f>
        <v>A</v>
      </c>
      <c r="H398" t="str">
        <f>Lcode_mapping!I398</f>
        <v>N</v>
      </c>
      <c r="I398" t="str">
        <f>Lcode_mapping!J398</f>
        <v>-</v>
      </c>
      <c r="J398" t="str">
        <f>Lcode_mapping!K398</f>
        <v>Session</v>
      </c>
      <c r="K398" t="str">
        <f>Lcode_mapping!L398</f>
        <v>IonoSolveFlag and IonoStations contain info in NAMFIL array JSITI</v>
      </c>
      <c r="L398" t="str">
        <f>Lcode_mapping!M398</f>
        <v>K</v>
      </c>
      <c r="M398" t="str">
        <f>Lcode_mapping!N398</f>
        <v>Solve</v>
      </c>
      <c r="N398" t="str">
        <f>Lcode_mapping!O398</f>
        <v>Solve</v>
      </c>
      <c r="O398" t="str">
        <f>Lcode_mapping!P398</f>
        <v>IonoSetup</v>
      </c>
      <c r="P398" t="str">
        <f>Lcode_mapping!Q398</f>
        <v>-</v>
      </c>
      <c r="Q398" t="str">
        <f>Lcode_mapping!R398</f>
        <v>-</v>
      </c>
      <c r="R398" t="str">
        <f>Lcode_mapping!S398</f>
        <v>-</v>
      </c>
      <c r="S398" t="str">
        <f>Lcode_mapping!T398</f>
        <v>Stations with ionocorrection</v>
      </c>
      <c r="T398" t="str">
        <f>Lcode_mapping!U398</f>
        <v>-</v>
      </c>
      <c r="U398" t="str">
        <f>Lcode_mapping!V398</f>
        <v>-</v>
      </c>
      <c r="V398" t="str">
        <f>Lcode_mapping!W398</f>
        <v>-</v>
      </c>
    </row>
    <row r="399" spans="1:22" ht="15" customHeight="1" x14ac:dyDescent="0.25">
      <c r="A399">
        <f>Lcode_mapping!A399</f>
        <v>256</v>
      </c>
      <c r="B399">
        <f>Lcode_mapping!B399</f>
        <v>1</v>
      </c>
      <c r="C399" t="str">
        <f>Lcode_mapping!D399</f>
        <v>APLENGTH</v>
      </c>
      <c r="D399">
        <f>Lcode_mapping!E399</f>
        <v>1</v>
      </c>
      <c r="E399">
        <f>Lcode_mapping!F399</f>
        <v>1</v>
      </c>
      <c r="F399">
        <f>Lcode_mapping!G399</f>
        <v>1</v>
      </c>
      <c r="G399" t="str">
        <f>Lcode_mapping!H399</f>
        <v>R</v>
      </c>
      <c r="H399">
        <f>Lcode_mapping!I399</f>
        <v>1</v>
      </c>
      <c r="I399" t="str">
        <f>Lcode_mapping!J399</f>
        <v>Length of accumul. period in sec</v>
      </c>
      <c r="J399" t="str">
        <f>Lcode_mapping!K399</f>
        <v>Session</v>
      </c>
      <c r="K399" t="str">
        <f>Lcode_mapping!L399</f>
        <v>-</v>
      </c>
      <c r="L399" t="str">
        <f>Lcode_mapping!M399</f>
        <v>K</v>
      </c>
      <c r="M399" t="str">
        <f>Lcode_mapping!N399</f>
        <v>-</v>
      </c>
      <c r="N399" t="str">
        <f>Lcode_mapping!O399</f>
        <v>Solve</v>
      </c>
      <c r="O399" t="str">
        <f>Lcode_mapping!P399</f>
        <v>Misc</v>
      </c>
      <c r="P399" t="str">
        <f>Lcode_mapping!Q399</f>
        <v>-</v>
      </c>
      <c r="Q399" t="str">
        <f>Lcode_mapping!R399</f>
        <v>Aplength</v>
      </c>
      <c r="R399" t="str">
        <f>Lcode_mapping!S399</f>
        <v>-</v>
      </c>
      <c r="S399" t="str">
        <f>Lcode_mapping!T399</f>
        <v>-</v>
      </c>
      <c r="T399" t="str">
        <f>Lcode_mapping!U399</f>
        <v>-</v>
      </c>
      <c r="U399" t="str">
        <f>Lcode_mapping!V399</f>
        <v>second</v>
      </c>
      <c r="V399" t="str">
        <f>Lcode_mapping!W399</f>
        <v>-</v>
      </c>
    </row>
    <row r="400" spans="1:22" ht="15" customHeight="1" x14ac:dyDescent="0.25">
      <c r="A400">
        <f>Lcode_mapping!A400</f>
        <v>257</v>
      </c>
      <c r="B400">
        <f>Lcode_mapping!B400</f>
        <v>1</v>
      </c>
      <c r="C400" t="str">
        <f>Lcode_mapping!D400</f>
        <v>CBL SIGN</v>
      </c>
      <c r="D400">
        <f>Lcode_mapping!E400</f>
        <v>11</v>
      </c>
      <c r="E400">
        <f>Lcode_mapping!F400</f>
        <v>1</v>
      </c>
      <c r="F400">
        <f>Lcode_mapping!G400</f>
        <v>1</v>
      </c>
      <c r="G400" t="str">
        <f>Lcode_mapping!H400</f>
        <v>A</v>
      </c>
      <c r="H400">
        <f>Lcode_mapping!I400</f>
        <v>3</v>
      </c>
      <c r="I400" t="str">
        <f>Lcode_mapping!J400</f>
        <v>Signs of cable cal application</v>
      </c>
      <c r="J400" t="str">
        <f>Lcode_mapping!K400</f>
        <v>Session</v>
      </c>
      <c r="K400" t="str">
        <f>Lcode_mapping!L400</f>
        <v>-</v>
      </c>
      <c r="L400" t="str">
        <f>Lcode_mapping!M400</f>
        <v>K</v>
      </c>
      <c r="M400" t="str">
        <f>Lcode_mapping!N400</f>
        <v>-</v>
      </c>
      <c r="N400" t="str">
        <f>Lcode_mapping!O400</f>
        <v>Solve</v>
      </c>
      <c r="O400" t="str">
        <f>Lcode_mapping!P400</f>
        <v>Misc</v>
      </c>
      <c r="P400" t="str">
        <f>Lcode_mapping!Q400</f>
        <v>-</v>
      </c>
      <c r="Q400" t="str">
        <f>Lcode_mapping!R400</f>
        <v>CableSign</v>
      </c>
      <c r="R400" t="str">
        <f>Lcode_mapping!S400</f>
        <v>-</v>
      </c>
      <c r="S400" t="str">
        <f>Lcode_mapping!T400</f>
        <v>-</v>
      </c>
      <c r="T400" t="str">
        <f>Lcode_mapping!U400</f>
        <v>-</v>
      </c>
      <c r="U400" t="str">
        <f>Lcode_mapping!V400</f>
        <v>-</v>
      </c>
      <c r="V400" t="str">
        <f>Lcode_mapping!W400</f>
        <v>-</v>
      </c>
    </row>
    <row r="401" spans="1:22" ht="15" customHeight="1" x14ac:dyDescent="0.25">
      <c r="A401">
        <f>Lcode_mapping!A401</f>
        <v>260</v>
      </c>
      <c r="B401">
        <f>Lcode_mapping!B401</f>
        <v>1</v>
      </c>
      <c r="C401" t="str">
        <f>Lcode_mapping!D401</f>
        <v>FOURF CS</v>
      </c>
      <c r="D401">
        <f>Lcode_mapping!E401</f>
        <v>64</v>
      </c>
      <c r="E401">
        <f>Lcode_mapping!F401</f>
        <v>1</v>
      </c>
      <c r="F401">
        <f>Lcode_mapping!G401</f>
        <v>1</v>
      </c>
      <c r="G401" t="str">
        <f>Lcode_mapping!H401</f>
        <v>A</v>
      </c>
      <c r="H401">
        <f>Lcode_mapping!I401</f>
        <v>1</v>
      </c>
      <c r="I401" t="str">
        <f>Lcode_mapping!J401</f>
        <v>Command string used for fourfit.</v>
      </c>
      <c r="J401" t="str">
        <f>Lcode_mapping!K401</f>
        <v>Session</v>
      </c>
      <c r="K401" t="str">
        <f>Lcode_mapping!L401</f>
        <v>-</v>
      </c>
      <c r="L401" t="str">
        <f>Lcode_mapping!M401</f>
        <v>K</v>
      </c>
      <c r="M401" t="str">
        <f>Lcode_mapping!N401</f>
        <v>-</v>
      </c>
      <c r="N401" t="str">
        <f>Lcode_mapping!O401</f>
        <v>Solve</v>
      </c>
      <c r="O401" t="str">
        <f>Lcode_mapping!P401</f>
        <v>Misc</v>
      </c>
      <c r="P401" t="str">
        <f>Lcode_mapping!Q401</f>
        <v>-</v>
      </c>
      <c r="Q401" t="str">
        <f>Lcode_mapping!R401</f>
        <v>FourFitCmdCString</v>
      </c>
      <c r="R401" t="str">
        <f>Lcode_mapping!S401</f>
        <v>-</v>
      </c>
      <c r="S401" t="str">
        <f>Lcode_mapping!T401</f>
        <v>-</v>
      </c>
      <c r="T401" t="str">
        <f>Lcode_mapping!U401</f>
        <v>-</v>
      </c>
      <c r="U401" t="str">
        <f>Lcode_mapping!V401</f>
        <v>-</v>
      </c>
      <c r="V401" t="str">
        <f>Lcode_mapping!W401</f>
        <v>-</v>
      </c>
    </row>
    <row r="402" spans="1:22" ht="15" customHeight="1" x14ac:dyDescent="0.25">
      <c r="A402">
        <f>Lcode_mapping!A402</f>
        <v>259</v>
      </c>
      <c r="B402">
        <f>Lcode_mapping!B402</f>
        <v>1</v>
      </c>
      <c r="C402" t="str">
        <f>Lcode_mapping!D402</f>
        <v>FOURF CF</v>
      </c>
      <c r="D402">
        <f>Lcode_mapping!E402</f>
        <v>48</v>
      </c>
      <c r="E402">
        <f>Lcode_mapping!F402</f>
        <v>1</v>
      </c>
      <c r="F402">
        <f>Lcode_mapping!G402</f>
        <v>1</v>
      </c>
      <c r="G402" t="str">
        <f>Lcode_mapping!H402</f>
        <v>A</v>
      </c>
      <c r="H402">
        <f>Lcode_mapping!I402</f>
        <v>1</v>
      </c>
      <c r="I402" t="str">
        <f>Lcode_mapping!J402</f>
        <v>Control file name for fourfit.</v>
      </c>
      <c r="J402" t="str">
        <f>Lcode_mapping!K402</f>
        <v>Session</v>
      </c>
      <c r="K402" t="str">
        <f>Lcode_mapping!L402</f>
        <v>-</v>
      </c>
      <c r="L402" t="str">
        <f>Lcode_mapping!M402</f>
        <v>K</v>
      </c>
      <c r="M402" t="str">
        <f>Lcode_mapping!N402</f>
        <v>-</v>
      </c>
      <c r="N402" t="str">
        <f>Lcode_mapping!O402</f>
        <v>Solve</v>
      </c>
      <c r="O402" t="str">
        <f>Lcode_mapping!P402</f>
        <v>Misc</v>
      </c>
      <c r="P402" t="str">
        <f>Lcode_mapping!Q402</f>
        <v>-</v>
      </c>
      <c r="Q402" t="str">
        <f>Lcode_mapping!R402</f>
        <v>FourfitControlFile</v>
      </c>
      <c r="R402" t="str">
        <f>Lcode_mapping!S402</f>
        <v>-</v>
      </c>
      <c r="S402" t="str">
        <f>Lcode_mapping!T402</f>
        <v>-</v>
      </c>
      <c r="T402" t="str">
        <f>Lcode_mapping!U402</f>
        <v>-</v>
      </c>
      <c r="U402" t="str">
        <f>Lcode_mapping!V402</f>
        <v>-</v>
      </c>
      <c r="V402" t="str">
        <f>Lcode_mapping!W402</f>
        <v>-</v>
      </c>
    </row>
    <row r="403" spans="1:22" ht="15" customHeight="1" x14ac:dyDescent="0.25">
      <c r="A403">
        <f>Lcode_mapping!A403</f>
        <v>262</v>
      </c>
      <c r="B403">
        <f>Lcode_mapping!B403</f>
        <v>1</v>
      </c>
      <c r="C403" t="str">
        <f>Lcode_mapping!D403</f>
        <v>TAI- UTC</v>
      </c>
      <c r="D403">
        <f>Lcode_mapping!E403</f>
        <v>3</v>
      </c>
      <c r="E403">
        <f>Lcode_mapping!F403</f>
        <v>1</v>
      </c>
      <c r="F403">
        <f>Lcode_mapping!G403</f>
        <v>1</v>
      </c>
      <c r="G403" t="str">
        <f>Lcode_mapping!H403</f>
        <v>R</v>
      </c>
      <c r="H403">
        <f>Lcode_mapping!I403</f>
        <v>5</v>
      </c>
      <c r="I403" t="str">
        <f>Lcode_mapping!J403</f>
        <v>FJD TAI-UTC (sec) rate off.(sec)</v>
      </c>
      <c r="J403" t="str">
        <f>Lcode_mapping!K403</f>
        <v>Session</v>
      </c>
      <c r="K403" t="str">
        <f>Lcode_mapping!L403</f>
        <v>-</v>
      </c>
      <c r="L403" t="str">
        <f>Lcode_mapping!M403</f>
        <v>K</v>
      </c>
      <c r="M403" t="str">
        <f>Lcode_mapping!N403</f>
        <v>-</v>
      </c>
      <c r="N403" t="str">
        <f>Lcode_mapping!O403</f>
        <v>Solve</v>
      </c>
      <c r="O403" t="str">
        <f>Lcode_mapping!P403</f>
        <v>Misc</v>
      </c>
      <c r="P403" t="str">
        <f>Lcode_mapping!Q403</f>
        <v>-</v>
      </c>
      <c r="Q403" t="str">
        <f>Lcode_mapping!R403</f>
        <v>LeapSecond</v>
      </c>
      <c r="R403" t="str">
        <f>Lcode_mapping!S403</f>
        <v>-</v>
      </c>
      <c r="S403" t="str">
        <f>Lcode_mapping!T403</f>
        <v>Leap second</v>
      </c>
      <c r="T403" t="str">
        <f>Lcode_mapping!U403</f>
        <v>-</v>
      </c>
      <c r="U403" t="str">
        <f>Lcode_mapping!V403</f>
        <v>second</v>
      </c>
      <c r="V403" t="str">
        <f>Lcode_mapping!W403</f>
        <v>-</v>
      </c>
    </row>
    <row r="404" spans="1:22" ht="15" customHeight="1" x14ac:dyDescent="0.25">
      <c r="A404">
        <f>Lcode_mapping!A404</f>
        <v>261</v>
      </c>
      <c r="B404">
        <f>Lcode_mapping!B404</f>
        <v>1</v>
      </c>
      <c r="C404" t="str">
        <f>Lcode_mapping!D404</f>
        <v>NLAGS</v>
      </c>
      <c r="D404">
        <f>Lcode_mapping!E404</f>
        <v>1</v>
      </c>
      <c r="E404">
        <f>Lcode_mapping!F404</f>
        <v>1</v>
      </c>
      <c r="F404">
        <f>Lcode_mapping!G404</f>
        <v>1</v>
      </c>
      <c r="G404" t="str">
        <f>Lcode_mapping!H404</f>
        <v>I</v>
      </c>
      <c r="H404">
        <f>Lcode_mapping!I404</f>
        <v>1</v>
      </c>
      <c r="I404" t="str">
        <f>Lcode_mapping!J404</f>
        <v>Num of lags used for correlation</v>
      </c>
      <c r="J404" t="str">
        <f>Lcode_mapping!K404</f>
        <v>Session</v>
      </c>
      <c r="K404" t="str">
        <f>Lcode_mapping!L404</f>
        <v>-</v>
      </c>
      <c r="L404" t="str">
        <f>Lcode_mapping!M404</f>
        <v>K</v>
      </c>
      <c r="M404" t="str">
        <f>Lcode_mapping!N404</f>
        <v>-</v>
      </c>
      <c r="N404" t="str">
        <f>Lcode_mapping!O404</f>
        <v>Solve</v>
      </c>
      <c r="O404" t="str">
        <f>Lcode_mapping!P404</f>
        <v>Misc</v>
      </c>
      <c r="P404" t="str">
        <f>Lcode_mapping!Q404</f>
        <v>-</v>
      </c>
      <c r="Q404" t="str">
        <f>Lcode_mapping!R404</f>
        <v>NumLagsUsed</v>
      </c>
      <c r="R404" t="str">
        <f>Lcode_mapping!S404</f>
        <v>-</v>
      </c>
      <c r="S404" t="str">
        <f>Lcode_mapping!T404</f>
        <v>-</v>
      </c>
      <c r="T404" t="str">
        <f>Lcode_mapping!U404</f>
        <v>-</v>
      </c>
      <c r="U404" t="str">
        <f>Lcode_mapping!V404</f>
        <v>-</v>
      </c>
      <c r="V404" t="str">
        <f>Lcode_mapping!W404</f>
        <v>-</v>
      </c>
    </row>
    <row r="405" spans="1:22" ht="15" customHeight="1" x14ac:dyDescent="0.25">
      <c r="A405">
        <f>Lcode_mapping!A405</f>
        <v>258</v>
      </c>
      <c r="B405">
        <f>Lcode_mapping!B405</f>
        <v>1</v>
      </c>
      <c r="C405" t="str">
        <f>Lcode_mapping!D405</f>
        <v>CBL STAT</v>
      </c>
      <c r="D405">
        <f>Lcode_mapping!E405</f>
        <v>4</v>
      </c>
      <c r="E405">
        <f>Lcode_mapping!F405</f>
        <v>11</v>
      </c>
      <c r="F405">
        <f>Lcode_mapping!G405</f>
        <v>1</v>
      </c>
      <c r="G405" t="str">
        <f>Lcode_mapping!H405</f>
        <v>A</v>
      </c>
      <c r="H405">
        <f>Lcode_mapping!I405</f>
        <v>3</v>
      </c>
      <c r="I405" t="str">
        <f>Lcode_mapping!J405</f>
        <v>Stations for cable sign</v>
      </c>
      <c r="J405" t="str">
        <f>Lcode_mapping!K405</f>
        <v>Session</v>
      </c>
      <c r="K405" t="str">
        <f>Lcode_mapping!L405</f>
        <v>-</v>
      </c>
      <c r="L405" t="str">
        <f>Lcode_mapping!M405</f>
        <v>K</v>
      </c>
      <c r="M405" t="str">
        <f>Lcode_mapping!N405</f>
        <v>-</v>
      </c>
      <c r="N405" t="str">
        <f>Lcode_mapping!O405</f>
        <v>Solve</v>
      </c>
      <c r="O405" t="str">
        <f>Lcode_mapping!P405</f>
        <v>Misc</v>
      </c>
      <c r="P405" t="str">
        <f>Lcode_mapping!Q405</f>
        <v>-</v>
      </c>
      <c r="Q405" t="str">
        <f>Lcode_mapping!R405</f>
        <v>CableStationList</v>
      </c>
      <c r="R405" t="str">
        <f>Lcode_mapping!S405</f>
        <v>-</v>
      </c>
      <c r="S405" t="str">
        <f>Lcode_mapping!T405</f>
        <v>-</v>
      </c>
      <c r="T405" t="str">
        <f>Lcode_mapping!U405</f>
        <v>-</v>
      </c>
      <c r="U405" t="str">
        <f>Lcode_mapping!V405</f>
        <v>-</v>
      </c>
      <c r="V405" t="str">
        <f>Lcode_mapping!W405</f>
        <v>-</v>
      </c>
    </row>
    <row r="406" spans="1:22" ht="15" customHeight="1" x14ac:dyDescent="0.25">
      <c r="A406">
        <f>Lcode_mapping!A406</f>
        <v>263</v>
      </c>
      <c r="B406">
        <f>Lcode_mapping!B406</f>
        <v>1</v>
      </c>
      <c r="C406" t="str">
        <f>Lcode_mapping!D406</f>
        <v>ERPHS K</v>
      </c>
      <c r="D406">
        <f>Lcode_mapping!E406</f>
        <v>2</v>
      </c>
      <c r="E406">
        <f>Lcode_mapping!F406</f>
        <v>10</v>
      </c>
      <c r="F406">
        <f>Lcode_mapping!G406</f>
        <v>1</v>
      </c>
      <c r="G406" t="str">
        <f>Lcode_mapping!H406</f>
        <v>R</v>
      </c>
      <c r="H406">
        <f>Lcode_mapping!I406</f>
        <v>1</v>
      </c>
      <c r="I406" t="str">
        <f>Lcode_mapping!J406</f>
        <v>Phase formal error constants</v>
      </c>
      <c r="J406" t="str">
        <f>Lcode_mapping!K406</f>
        <v>Session</v>
      </c>
      <c r="K406" t="str">
        <f>Lcode_mapping!L406</f>
        <v>-</v>
      </c>
      <c r="L406" t="str">
        <f>Lcode_mapping!M406</f>
        <v>K</v>
      </c>
      <c r="M406" t="str">
        <f>Lcode_mapping!N406</f>
        <v>Solve</v>
      </c>
      <c r="N406" t="str">
        <f>Lcode_mapping!O406</f>
        <v>Solve</v>
      </c>
      <c r="O406" t="str">
        <f>Lcode_mapping!P406</f>
        <v>PhaseBLWeights</v>
      </c>
      <c r="P406" t="str">
        <f>Lcode_mapping!Q406</f>
        <v>-</v>
      </c>
      <c r="Q406" t="str">
        <f>Lcode_mapping!R406</f>
        <v>PhaseBLWeights</v>
      </c>
      <c r="R406" t="str">
        <f>Lcode_mapping!S406</f>
        <v>-</v>
      </c>
      <c r="S406" t="str">
        <f>Lcode_mapping!T406</f>
        <v>-</v>
      </c>
      <c r="T406" t="str">
        <f>Lcode_mapping!U406</f>
        <v>-</v>
      </c>
      <c r="U406" t="str">
        <f>Lcode_mapping!V406</f>
        <v>-</v>
      </c>
      <c r="V406" t="str">
        <f>Lcode_mapping!W406</f>
        <v>-</v>
      </c>
    </row>
    <row r="407" spans="1:22" ht="15" customHeight="1" x14ac:dyDescent="0.25">
      <c r="A407">
        <f>Lcode_mapping!A407</f>
        <v>264</v>
      </c>
      <c r="B407">
        <f>Lcode_mapping!B407</f>
        <v>1</v>
      </c>
      <c r="C407" t="str">
        <f>Lcode_mapping!D407</f>
        <v>BASLSTAT</v>
      </c>
      <c r="D407">
        <f>Lcode_mapping!E407</f>
        <v>121</v>
      </c>
      <c r="E407">
        <f>Lcode_mapping!F407</f>
        <v>1</v>
      </c>
      <c r="F407">
        <f>Lcode_mapping!G407</f>
        <v>1</v>
      </c>
      <c r="G407" t="str">
        <f>Lcode_mapping!H407</f>
        <v>I</v>
      </c>
      <c r="H407">
        <f>Lcode_mapping!I407</f>
        <v>4</v>
      </c>
      <c r="I407" t="str">
        <f>Lcode_mapping!J407</f>
        <v>Baselines selection status</v>
      </c>
      <c r="J407" t="str">
        <f>Lcode_mapping!K407</f>
        <v>Session</v>
      </c>
      <c r="K407" t="str">
        <f>Lcode_mapping!L407</f>
        <v>calc/solve</v>
      </c>
      <c r="L407" t="str">
        <f>Lcode_mapping!M407</f>
        <v>K</v>
      </c>
      <c r="M407" t="str">
        <f>Lcode_mapping!N407</f>
        <v>Solve</v>
      </c>
      <c r="N407" t="str">
        <f>Lcode_mapping!O407</f>
        <v>Solve</v>
      </c>
      <c r="O407" t="str">
        <f>Lcode_mapping!P407</f>
        <v>SelectionStatus</v>
      </c>
      <c r="P407" t="str">
        <f>Lcode_mapping!Q407</f>
        <v>-</v>
      </c>
      <c r="Q407" t="str">
        <f>Lcode_mapping!R407</f>
        <v>BaselineSelectionFlag</v>
      </c>
      <c r="R407" t="str">
        <f>Lcode_mapping!S407</f>
        <v>-</v>
      </c>
      <c r="S407" t="str">
        <f>Lcode_mapping!T407</f>
        <v>Baseline selection bit maped array. 1=some obs, etc.</v>
      </c>
      <c r="T407" t="str">
        <f>Lcode_mapping!U407</f>
        <v>-</v>
      </c>
      <c r="U407" t="str">
        <f>Lcode_mapping!V407</f>
        <v>-</v>
      </c>
      <c r="V407" t="str">
        <f>Lcode_mapping!W407</f>
        <v>-</v>
      </c>
    </row>
    <row r="408" spans="1:22" ht="15" customHeight="1" x14ac:dyDescent="0.25">
      <c r="A408">
        <f>Lcode_mapping!A408</f>
        <v>265</v>
      </c>
      <c r="B408">
        <f>Lcode_mapping!B408</f>
        <v>1</v>
      </c>
      <c r="C408" t="str">
        <f>Lcode_mapping!D408</f>
        <v>SOURSTAT</v>
      </c>
      <c r="D408">
        <f>Lcode_mapping!E408</f>
        <v>70</v>
      </c>
      <c r="E408">
        <f>Lcode_mapping!F408</f>
        <v>1</v>
      </c>
      <c r="F408">
        <f>Lcode_mapping!G408</f>
        <v>1</v>
      </c>
      <c r="G408" t="str">
        <f>Lcode_mapping!H408</f>
        <v>I</v>
      </c>
      <c r="H408">
        <f>Lcode_mapping!I408</f>
        <v>4</v>
      </c>
      <c r="I408" t="str">
        <f>Lcode_mapping!J408</f>
        <v>Sources selection status</v>
      </c>
      <c r="J408" t="str">
        <f>Lcode_mapping!K408</f>
        <v>Session</v>
      </c>
      <c r="K408" t="str">
        <f>Lcode_mapping!L408</f>
        <v>-</v>
      </c>
      <c r="L408" t="str">
        <f>Lcode_mapping!M408</f>
        <v>K</v>
      </c>
      <c r="M408" t="str">
        <f>Lcode_mapping!N408</f>
        <v>Solve</v>
      </c>
      <c r="N408" t="str">
        <f>Lcode_mapping!O408</f>
        <v>Solve</v>
      </c>
      <c r="O408" t="str">
        <f>Lcode_mapping!P408</f>
        <v>SelectionStatus</v>
      </c>
      <c r="P408" t="str">
        <f>Lcode_mapping!Q408</f>
        <v>-</v>
      </c>
      <c r="Q408" t="str">
        <f>Lcode_mapping!R408</f>
        <v>SourceSelectionFlag</v>
      </c>
      <c r="R408" t="str">
        <f>Lcode_mapping!S408</f>
        <v>-</v>
      </c>
      <c r="S408" t="str">
        <f>Lcode_mapping!T408</f>
        <v>Source selection status bit-mapped array.</v>
      </c>
      <c r="T408" t="str">
        <f>Lcode_mapping!U408</f>
        <v>-</v>
      </c>
      <c r="U408" t="str">
        <f>Lcode_mapping!V408</f>
        <v>-</v>
      </c>
      <c r="V408" t="str">
        <f>Lcode_mapping!W408</f>
        <v>-</v>
      </c>
    </row>
    <row r="409" spans="1:22" ht="15" customHeight="1" x14ac:dyDescent="0.25">
      <c r="A409">
        <f>Lcode_mapping!A409</f>
        <v>1</v>
      </c>
      <c r="B409">
        <f>Lcode_mapping!B409</f>
        <v>2</v>
      </c>
      <c r="C409" t="str">
        <f>Lcode_mapping!D409</f>
        <v># DELAYS</v>
      </c>
      <c r="D409">
        <f>Lcode_mapping!E409</f>
        <v>1</v>
      </c>
      <c r="E409">
        <f>Lcode_mapping!F409</f>
        <v>1</v>
      </c>
      <c r="F409">
        <f>Lcode_mapping!G409</f>
        <v>1</v>
      </c>
      <c r="G409" t="str">
        <f>Lcode_mapping!H409</f>
        <v>I</v>
      </c>
      <c r="H409">
        <f>Lcode_mapping!I409</f>
        <v>2</v>
      </c>
      <c r="I409" t="str">
        <f>Lcode_mapping!J409</f>
        <v>NO. of delays in this obs .</v>
      </c>
      <c r="J409" t="str">
        <f>Lcode_mapping!K409</f>
        <v>Obs</v>
      </c>
      <c r="K409" t="str">
        <f>Lcode_mapping!L409</f>
        <v>-</v>
      </c>
      <c r="L409" t="str">
        <f>Lcode_mapping!M409</f>
        <v>I</v>
      </c>
      <c r="M409" t="str">
        <f>Lcode_mapping!N409</f>
        <v>-</v>
      </c>
      <c r="N409" t="str">
        <f>Lcode_mapping!O409</f>
        <v>OBSOLETE</v>
      </c>
      <c r="O409" t="str">
        <f>Lcode_mapping!P409</f>
        <v>-</v>
      </c>
      <c r="P409" t="str">
        <f>Lcode_mapping!Q409</f>
        <v>-</v>
      </c>
      <c r="Q409" t="str">
        <f>Lcode_mapping!R409</f>
        <v>-</v>
      </c>
      <c r="R409" t="str">
        <f>Lcode_mapping!S409</f>
        <v>-</v>
      </c>
      <c r="S409" t="str">
        <f>Lcode_mapping!T409</f>
        <v>-</v>
      </c>
      <c r="T409" t="str">
        <f>Lcode_mapping!U409</f>
        <v>-</v>
      </c>
      <c r="U409" t="str">
        <f>Lcode_mapping!V409</f>
        <v>-</v>
      </c>
      <c r="V409" t="str">
        <f>Lcode_mapping!W409</f>
        <v>-</v>
      </c>
    </row>
    <row r="410" spans="1:22" ht="15" customHeight="1" x14ac:dyDescent="0.25">
      <c r="A410">
        <f>Lcode_mapping!A410</f>
        <v>2</v>
      </c>
      <c r="B410">
        <f>Lcode_mapping!B410</f>
        <v>2</v>
      </c>
      <c r="C410" t="str">
        <f>Lcode_mapping!D410</f>
        <v># RATES</v>
      </c>
      <c r="D410">
        <f>Lcode_mapping!E410</f>
        <v>1</v>
      </c>
      <c r="E410">
        <f>Lcode_mapping!F410</f>
        <v>1</v>
      </c>
      <c r="F410">
        <f>Lcode_mapping!G410</f>
        <v>1</v>
      </c>
      <c r="G410" t="str">
        <f>Lcode_mapping!H410</f>
        <v>I</v>
      </c>
      <c r="H410">
        <f>Lcode_mapping!I410</f>
        <v>2</v>
      </c>
      <c r="I410" t="str">
        <f>Lcode_mapping!J410</f>
        <v>NO. of rates  in this obs .</v>
      </c>
      <c r="J410" t="str">
        <f>Lcode_mapping!K410</f>
        <v>Obs</v>
      </c>
      <c r="K410" t="str">
        <f>Lcode_mapping!L410</f>
        <v>-</v>
      </c>
      <c r="L410" t="str">
        <f>Lcode_mapping!M410</f>
        <v>I</v>
      </c>
      <c r="M410" t="str">
        <f>Lcode_mapping!N410</f>
        <v>-</v>
      </c>
      <c r="N410" t="str">
        <f>Lcode_mapping!O410</f>
        <v>OBSOLETE</v>
      </c>
      <c r="O410" t="str">
        <f>Lcode_mapping!P410</f>
        <v>-</v>
      </c>
      <c r="P410" t="str">
        <f>Lcode_mapping!Q410</f>
        <v>-</v>
      </c>
      <c r="Q410" t="str">
        <f>Lcode_mapping!R410</f>
        <v>-</v>
      </c>
      <c r="R410" t="str">
        <f>Lcode_mapping!S410</f>
        <v>-</v>
      </c>
      <c r="S410" t="str">
        <f>Lcode_mapping!T410</f>
        <v>-</v>
      </c>
      <c r="T410" t="str">
        <f>Lcode_mapping!U410</f>
        <v>-</v>
      </c>
      <c r="U410" t="str">
        <f>Lcode_mapping!V410</f>
        <v>-</v>
      </c>
      <c r="V410" t="str">
        <f>Lcode_mapping!W410</f>
        <v>-</v>
      </c>
    </row>
    <row r="411" spans="1:22" ht="15" customHeight="1" x14ac:dyDescent="0.25">
      <c r="A411">
        <f>Lcode_mapping!A411</f>
        <v>4</v>
      </c>
      <c r="B411">
        <f>Lcode_mapping!B411</f>
        <v>2</v>
      </c>
      <c r="C411" t="str">
        <f>Lcode_mapping!D411</f>
        <v>ARCHIVE</v>
      </c>
      <c r="D411">
        <f>Lcode_mapping!E411</f>
        <v>4</v>
      </c>
      <c r="E411">
        <f>Lcode_mapping!F411</f>
        <v>1</v>
      </c>
      <c r="F411">
        <f>Lcode_mapping!G411</f>
        <v>1</v>
      </c>
      <c r="G411" t="str">
        <f>Lcode_mapping!H411</f>
        <v>I</v>
      </c>
      <c r="H411">
        <f>Lcode_mapping!I411</f>
        <v>2</v>
      </c>
      <c r="I411" t="str">
        <f>Lcode_mapping!J411</f>
        <v>Microfiche, B tape number.</v>
      </c>
      <c r="J411" t="str">
        <f>Lcode_mapping!K411</f>
        <v>Obs</v>
      </c>
      <c r="K411" t="str">
        <f>Lcode_mapping!L411</f>
        <v>-</v>
      </c>
      <c r="L411" t="str">
        <f>Lcode_mapping!M411</f>
        <v>I</v>
      </c>
      <c r="M411" t="str">
        <f>Lcode_mapping!N411</f>
        <v>-</v>
      </c>
      <c r="N411" t="str">
        <f>Lcode_mapping!O411</f>
        <v>OBSOLETE</v>
      </c>
      <c r="O411" t="str">
        <f>Lcode_mapping!P411</f>
        <v>-</v>
      </c>
      <c r="P411" t="str">
        <f>Lcode_mapping!Q411</f>
        <v>-</v>
      </c>
      <c r="Q411" t="str">
        <f>Lcode_mapping!R411</f>
        <v>-</v>
      </c>
      <c r="R411" t="str">
        <f>Lcode_mapping!S411</f>
        <v>-</v>
      </c>
      <c r="S411" t="str">
        <f>Lcode_mapping!T411</f>
        <v>-</v>
      </c>
      <c r="T411" t="str">
        <f>Lcode_mapping!U411</f>
        <v>-</v>
      </c>
      <c r="U411" t="str">
        <f>Lcode_mapping!V411</f>
        <v>-</v>
      </c>
      <c r="V411" t="str">
        <f>Lcode_mapping!W411</f>
        <v>-</v>
      </c>
    </row>
    <row r="412" spans="1:22" ht="15" customHeight="1" x14ac:dyDescent="0.25">
      <c r="A412">
        <f>Lcode_mapping!A412</f>
        <v>21</v>
      </c>
      <c r="B412">
        <f>Lcode_mapping!B412</f>
        <v>2</v>
      </c>
      <c r="C412" t="str">
        <f>Lcode_mapping!D412</f>
        <v>AUTO_SUP</v>
      </c>
      <c r="D412">
        <f>Lcode_mapping!E412</f>
        <v>1</v>
      </c>
      <c r="E412">
        <f>Lcode_mapping!F412</f>
        <v>1</v>
      </c>
      <c r="F412">
        <f>Lcode_mapping!G412</f>
        <v>1</v>
      </c>
      <c r="G412" t="str">
        <f>Lcode_mapping!H412</f>
        <v>J</v>
      </c>
      <c r="H412">
        <f>Lcode_mapping!I412</f>
        <v>5</v>
      </c>
      <c r="I412" t="str">
        <f>Lcode_mapping!J412</f>
        <v>Automatic suppression status</v>
      </c>
      <c r="J412" t="str">
        <f>Lcode_mapping!K412</f>
        <v>Obs</v>
      </c>
      <c r="K412" t="str">
        <f>Lcode_mapping!L412</f>
        <v>-</v>
      </c>
      <c r="L412" t="str">
        <f>Lcode_mapping!M412</f>
        <v>I</v>
      </c>
      <c r="M412" t="str">
        <f>Lcode_mapping!N412</f>
        <v>-</v>
      </c>
      <c r="N412" t="str">
        <f>Lcode_mapping!O412</f>
        <v>OBSOLETE</v>
      </c>
      <c r="O412" t="str">
        <f>Lcode_mapping!P412</f>
        <v>-</v>
      </c>
      <c r="P412" t="str">
        <f>Lcode_mapping!Q412</f>
        <v>-</v>
      </c>
      <c r="Q412" t="str">
        <f>Lcode_mapping!R412</f>
        <v>-</v>
      </c>
      <c r="R412" t="str">
        <f>Lcode_mapping!S412</f>
        <v>-</v>
      </c>
      <c r="S412" t="str">
        <f>Lcode_mapping!T412</f>
        <v>-</v>
      </c>
      <c r="T412" t="str">
        <f>Lcode_mapping!U412</f>
        <v>-</v>
      </c>
      <c r="U412" t="str">
        <f>Lcode_mapping!V412</f>
        <v>-</v>
      </c>
      <c r="V412" t="str">
        <f>Lcode_mapping!W412</f>
        <v>-</v>
      </c>
    </row>
    <row r="413" spans="1:22" ht="15" customHeight="1" x14ac:dyDescent="0.25">
      <c r="A413">
        <f>Lcode_mapping!A413</f>
        <v>37</v>
      </c>
      <c r="B413">
        <f>Lcode_mapping!B413</f>
        <v>2</v>
      </c>
      <c r="C413" t="str">
        <f>Lcode_mapping!D413</f>
        <v>COMMENT2</v>
      </c>
      <c r="D413">
        <f>Lcode_mapping!E413</f>
        <v>79</v>
      </c>
      <c r="E413">
        <f>Lcode_mapping!F413</f>
        <v>1</v>
      </c>
      <c r="F413">
        <f>Lcode_mapping!G413</f>
        <v>1</v>
      </c>
      <c r="G413" t="str">
        <f>Lcode_mapping!H413</f>
        <v>A</v>
      </c>
      <c r="H413">
        <f>Lcode_mapping!I413</f>
        <v>3</v>
      </c>
      <c r="I413" t="str">
        <f>Lcode_mapping!J413</f>
        <v>FRNGE runtime comments.</v>
      </c>
      <c r="J413" t="str">
        <f>Lcode_mapping!K413</f>
        <v>Obs</v>
      </c>
      <c r="K413" t="str">
        <f>Lcode_mapping!L413</f>
        <v>-</v>
      </c>
      <c r="L413" t="str">
        <f>Lcode_mapping!M413</f>
        <v>I</v>
      </c>
      <c r="M413" t="str">
        <f>Lcode_mapping!N413</f>
        <v>-</v>
      </c>
      <c r="N413" t="str">
        <f>Lcode_mapping!O413</f>
        <v>OBSOLETE</v>
      </c>
      <c r="O413" t="str">
        <f>Lcode_mapping!P413</f>
        <v>-</v>
      </c>
      <c r="P413" t="str">
        <f>Lcode_mapping!Q413</f>
        <v>-</v>
      </c>
      <c r="Q413" t="str">
        <f>Lcode_mapping!R413</f>
        <v>-</v>
      </c>
      <c r="R413" t="str">
        <f>Lcode_mapping!S413</f>
        <v>-</v>
      </c>
      <c r="S413" t="str">
        <f>Lcode_mapping!T413</f>
        <v>-</v>
      </c>
      <c r="T413" t="str">
        <f>Lcode_mapping!U413</f>
        <v>-</v>
      </c>
      <c r="U413" t="str">
        <f>Lcode_mapping!V413</f>
        <v>-</v>
      </c>
      <c r="V413" t="str">
        <f>Lcode_mapping!W413</f>
        <v>-</v>
      </c>
    </row>
    <row r="414" spans="1:22" ht="15" customHeight="1" x14ac:dyDescent="0.25">
      <c r="A414">
        <f>Lcode_mapping!A414</f>
        <v>38</v>
      </c>
      <c r="B414">
        <f>Lcode_mapping!B414</f>
        <v>2</v>
      </c>
      <c r="C414" t="str">
        <f>Lcode_mapping!D414</f>
        <v>DEL FRQS</v>
      </c>
      <c r="D414">
        <f>Lcode_mapping!E414</f>
        <v>1</v>
      </c>
      <c r="E414">
        <f>Lcode_mapping!F414</f>
        <v>1</v>
      </c>
      <c r="F414">
        <f>Lcode_mapping!G414</f>
        <v>1</v>
      </c>
      <c r="G414" t="str">
        <f>Lcode_mapping!H414</f>
        <v>R</v>
      </c>
      <c r="H414">
        <f>Lcode_mapping!I414</f>
        <v>1</v>
      </c>
      <c r="I414" t="str">
        <f>Lcode_mapping!J414</f>
        <v>ALIAS OF REF FREQ.</v>
      </c>
      <c r="J414" t="str">
        <f>Lcode_mapping!K414</f>
        <v>Obs</v>
      </c>
      <c r="K414" t="str">
        <f>Lcode_mapping!L414</f>
        <v>-</v>
      </c>
      <c r="L414" t="str">
        <f>Lcode_mapping!M414</f>
        <v>I</v>
      </c>
      <c r="M414" t="str">
        <f>Lcode_mapping!N414</f>
        <v>-</v>
      </c>
      <c r="N414" t="str">
        <f>Lcode_mapping!O414</f>
        <v>OBSOLETE</v>
      </c>
      <c r="O414" t="str">
        <f>Lcode_mapping!P414</f>
        <v>-</v>
      </c>
      <c r="P414" t="str">
        <f>Lcode_mapping!Q414</f>
        <v>-</v>
      </c>
      <c r="Q414" t="str">
        <f>Lcode_mapping!R414</f>
        <v>-</v>
      </c>
      <c r="R414" t="str">
        <f>Lcode_mapping!S414</f>
        <v>-</v>
      </c>
      <c r="S414" t="str">
        <f>Lcode_mapping!T414</f>
        <v>-</v>
      </c>
      <c r="T414" t="str">
        <f>Lcode_mapping!U414</f>
        <v>-</v>
      </c>
      <c r="U414" t="str">
        <f>Lcode_mapping!V414</f>
        <v>-</v>
      </c>
      <c r="V414" t="str">
        <f>Lcode_mapping!W414</f>
        <v>-</v>
      </c>
    </row>
    <row r="415" spans="1:22" ht="15" customHeight="1" x14ac:dyDescent="0.25">
      <c r="A415">
        <f>Lcode_mapping!A415</f>
        <v>49</v>
      </c>
      <c r="B415">
        <f>Lcode_mapping!B415</f>
        <v>2</v>
      </c>
      <c r="C415" t="str">
        <f>Lcode_mapping!D415</f>
        <v>FROTDLAY</v>
      </c>
      <c r="D415">
        <f>Lcode_mapping!E415</f>
        <v>1</v>
      </c>
      <c r="E415">
        <f>Lcode_mapping!F415</f>
        <v>1</v>
      </c>
      <c r="F415">
        <f>Lcode_mapping!G415</f>
        <v>1</v>
      </c>
      <c r="G415" t="str">
        <f>Lcode_mapping!H415</f>
        <v>R</v>
      </c>
      <c r="H415">
        <f>Lcode_mapping!I415</f>
        <v>1</v>
      </c>
      <c r="I415" t="str">
        <f>Lcode_mapping!J415</f>
        <v>Delay due to rel. feed rotation.</v>
      </c>
      <c r="J415" t="str">
        <f>Lcode_mapping!K415</f>
        <v>Obs</v>
      </c>
      <c r="K415" t="str">
        <f>Lcode_mapping!L415</f>
        <v>-</v>
      </c>
      <c r="L415" t="str">
        <f>Lcode_mapping!M415</f>
        <v>I</v>
      </c>
      <c r="M415" t="str">
        <f>Lcode_mapping!N415</f>
        <v>-</v>
      </c>
      <c r="N415" t="str">
        <f>Lcode_mapping!O415</f>
        <v>OBSOLETE</v>
      </c>
      <c r="O415" t="str">
        <f>Lcode_mapping!P415</f>
        <v>-</v>
      </c>
      <c r="P415" t="str">
        <f>Lcode_mapping!Q415</f>
        <v>-</v>
      </c>
      <c r="Q415" t="str">
        <f>Lcode_mapping!R415</f>
        <v>-</v>
      </c>
      <c r="R415" t="str">
        <f>Lcode_mapping!S415</f>
        <v>-</v>
      </c>
      <c r="S415" t="str">
        <f>Lcode_mapping!T415</f>
        <v>-</v>
      </c>
      <c r="T415" t="str">
        <f>Lcode_mapping!U415</f>
        <v>-</v>
      </c>
      <c r="U415" t="str">
        <f>Lcode_mapping!V415</f>
        <v>-</v>
      </c>
      <c r="V415" t="str">
        <f>Lcode_mapping!W415</f>
        <v>-</v>
      </c>
    </row>
    <row r="416" spans="1:22" ht="15" customHeight="1" x14ac:dyDescent="0.25">
      <c r="A416">
        <f>Lcode_mapping!A416</f>
        <v>101</v>
      </c>
      <c r="B416">
        <f>Lcode_mapping!B416</f>
        <v>2</v>
      </c>
      <c r="C416" t="str">
        <f>Lcode_mapping!D416</f>
        <v>GROBSDEL</v>
      </c>
      <c r="D416">
        <f>Lcode_mapping!E416</f>
        <v>1</v>
      </c>
      <c r="E416">
        <f>Lcode_mapping!F416</f>
        <v>1</v>
      </c>
      <c r="F416">
        <f>Lcode_mapping!G416</f>
        <v>1</v>
      </c>
      <c r="G416" t="str">
        <f>Lcode_mapping!H416</f>
        <v>R</v>
      </c>
      <c r="H416">
        <f>Lcode_mapping!I416</f>
        <v>1</v>
      </c>
      <c r="I416" t="str">
        <f>Lcode_mapping!J416</f>
        <v>Observed group delay in sec.</v>
      </c>
      <c r="J416" t="str">
        <f>Lcode_mapping!K416</f>
        <v>Obs</v>
      </c>
      <c r="K416" t="str">
        <f>Lcode_mapping!L416</f>
        <v>-</v>
      </c>
      <c r="L416" t="str">
        <f>Lcode_mapping!M416</f>
        <v>I</v>
      </c>
      <c r="M416" t="str">
        <f>Lcode_mapping!N416</f>
        <v>-</v>
      </c>
      <c r="N416" t="str">
        <f>Lcode_mapping!O416</f>
        <v>OBSOLETE</v>
      </c>
      <c r="O416" t="str">
        <f>Lcode_mapping!P416</f>
        <v>-</v>
      </c>
      <c r="P416" t="str">
        <f>Lcode_mapping!Q416</f>
        <v>-</v>
      </c>
      <c r="Q416" t="str">
        <f>Lcode_mapping!R416</f>
        <v>GroupDelay</v>
      </c>
      <c r="R416" t="str">
        <f>Lcode_mapping!S416</f>
        <v>-</v>
      </c>
      <c r="S416" t="str">
        <f>Lcode_mapping!T416</f>
        <v>-</v>
      </c>
      <c r="T416" t="str">
        <f>Lcode_mapping!U416</f>
        <v>-</v>
      </c>
      <c r="U416" t="str">
        <f>Lcode_mapping!V416</f>
        <v>-</v>
      </c>
      <c r="V416" t="str">
        <f>Lcode_mapping!W416</f>
        <v>-</v>
      </c>
    </row>
    <row r="417" spans="1:22" ht="15" customHeight="1" x14ac:dyDescent="0.25">
      <c r="A417">
        <f>Lcode_mapping!A417</f>
        <v>55</v>
      </c>
      <c r="B417">
        <f>Lcode_mapping!B417</f>
        <v>2</v>
      </c>
      <c r="C417" t="str">
        <f>Lcode_mapping!D417</f>
        <v>IONFACTR</v>
      </c>
      <c r="D417">
        <f>Lcode_mapping!E417</f>
        <v>1</v>
      </c>
      <c r="E417">
        <f>Lcode_mapping!F417</f>
        <v>1</v>
      </c>
      <c r="F417">
        <f>Lcode_mapping!G417</f>
        <v>1</v>
      </c>
      <c r="G417" t="str">
        <f>Lcode_mapping!H417</f>
        <v>R</v>
      </c>
      <c r="H417">
        <f>Lcode_mapping!I417</f>
        <v>1</v>
      </c>
      <c r="I417" t="str">
        <f>Lcode_mapping!J417</f>
        <v>S/X DIFFERENCE ION SCALING FACTO</v>
      </c>
      <c r="J417" t="str">
        <f>Lcode_mapping!K417</f>
        <v>Obs</v>
      </c>
      <c r="K417" t="str">
        <f>Lcode_mapping!L417</f>
        <v>-</v>
      </c>
      <c r="L417" t="str">
        <f>Lcode_mapping!M417</f>
        <v>I</v>
      </c>
      <c r="M417" t="str">
        <f>Lcode_mapping!N417</f>
        <v>-</v>
      </c>
      <c r="N417" t="str">
        <f>Lcode_mapping!O417</f>
        <v>OBSOLETE</v>
      </c>
      <c r="O417" t="str">
        <f>Lcode_mapping!P417</f>
        <v>-</v>
      </c>
      <c r="P417" t="str">
        <f>Lcode_mapping!Q417</f>
        <v>-</v>
      </c>
      <c r="Q417" t="str">
        <f>Lcode_mapping!R417</f>
        <v>-</v>
      </c>
      <c r="R417" t="str">
        <f>Lcode_mapping!S417</f>
        <v>-</v>
      </c>
      <c r="S417" t="str">
        <f>Lcode_mapping!T417</f>
        <v>-</v>
      </c>
      <c r="T417" t="str">
        <f>Lcode_mapping!U417</f>
        <v>-</v>
      </c>
      <c r="U417" t="str">
        <f>Lcode_mapping!V417</f>
        <v>-</v>
      </c>
      <c r="V417" t="str">
        <f>Lcode_mapping!W417</f>
        <v>-</v>
      </c>
    </row>
    <row r="418" spans="1:22" ht="15" customHeight="1" x14ac:dyDescent="0.25">
      <c r="A418">
        <f>Lcode_mapping!A418</f>
        <v>56</v>
      </c>
      <c r="B418">
        <f>Lcode_mapping!B418</f>
        <v>2</v>
      </c>
      <c r="C418" t="str">
        <f>Lcode_mapping!D418</f>
        <v>JUL DATE</v>
      </c>
      <c r="D418">
        <f>Lcode_mapping!E418</f>
        <v>1</v>
      </c>
      <c r="E418">
        <f>Lcode_mapping!F418</f>
        <v>1</v>
      </c>
      <c r="F418">
        <f>Lcode_mapping!G418</f>
        <v>1</v>
      </c>
      <c r="G418" t="str">
        <f>Lcode_mapping!H418</f>
        <v>R</v>
      </c>
      <c r="H418">
        <f>Lcode_mapping!I418</f>
        <v>1</v>
      </c>
      <c r="I418" t="str">
        <f>Lcode_mapping!J418</f>
        <v>Julian date at midnight.</v>
      </c>
      <c r="J418" t="str">
        <f>Lcode_mapping!K418</f>
        <v>Obs</v>
      </c>
      <c r="K418" t="str">
        <f>Lcode_mapping!L418</f>
        <v>-</v>
      </c>
      <c r="L418" t="str">
        <f>Lcode_mapping!M418</f>
        <v>I</v>
      </c>
      <c r="M418" t="str">
        <f>Lcode_mapping!N418</f>
        <v>-</v>
      </c>
      <c r="N418" t="str">
        <f>Lcode_mapping!O418</f>
        <v>OBSOLETE</v>
      </c>
      <c r="O418" t="str">
        <f>Lcode_mapping!P418</f>
        <v>-</v>
      </c>
      <c r="P418" t="str">
        <f>Lcode_mapping!Q418</f>
        <v>-</v>
      </c>
      <c r="Q418" t="str">
        <f>Lcode_mapping!R418</f>
        <v>-</v>
      </c>
      <c r="R418" t="str">
        <f>Lcode_mapping!S418</f>
        <v>-</v>
      </c>
      <c r="S418" t="str">
        <f>Lcode_mapping!T418</f>
        <v>-</v>
      </c>
      <c r="T418" t="str">
        <f>Lcode_mapping!U418</f>
        <v>-</v>
      </c>
      <c r="U418" t="str">
        <f>Lcode_mapping!V418</f>
        <v>-</v>
      </c>
      <c r="V418" t="str">
        <f>Lcode_mapping!W418</f>
        <v>-</v>
      </c>
    </row>
    <row r="419" spans="1:22" ht="15" customHeight="1" x14ac:dyDescent="0.25">
      <c r="A419">
        <f>Lcode_mapping!A419</f>
        <v>65</v>
      </c>
      <c r="B419">
        <f>Lcode_mapping!B419</f>
        <v>2</v>
      </c>
      <c r="C419" t="str">
        <f>Lcode_mapping!D419</f>
        <v>NB DELAY</v>
      </c>
      <c r="D419">
        <f>Lcode_mapping!E419</f>
        <v>1</v>
      </c>
      <c r="E419">
        <f>Lcode_mapping!F419</f>
        <v>1</v>
      </c>
      <c r="F419">
        <f>Lcode_mapping!G419</f>
        <v>1</v>
      </c>
      <c r="G419" t="str">
        <f>Lcode_mapping!H419</f>
        <v>R</v>
      </c>
      <c r="H419">
        <f>Lcode_mapping!I419</f>
        <v>1</v>
      </c>
      <c r="I419" t="str">
        <f>Lcode_mapping!J419</f>
        <v>Single band delay (microsec).</v>
      </c>
      <c r="J419" t="str">
        <f>Lcode_mapping!K419</f>
        <v>Obs</v>
      </c>
      <c r="K419" t="str">
        <f>Lcode_mapping!L419</f>
        <v>-</v>
      </c>
      <c r="L419" t="str">
        <f>Lcode_mapping!M419</f>
        <v>I</v>
      </c>
      <c r="M419" t="str">
        <f>Lcode_mapping!N419</f>
        <v>-</v>
      </c>
      <c r="N419" t="str">
        <f>Lcode_mapping!O419</f>
        <v>OBSOLETE</v>
      </c>
      <c r="O419" t="str">
        <f>Lcode_mapping!P419</f>
        <v>-</v>
      </c>
      <c r="P419" t="str">
        <f>Lcode_mapping!Q419</f>
        <v>-</v>
      </c>
      <c r="Q419" t="str">
        <f>Lcode_mapping!R419</f>
        <v>-</v>
      </c>
      <c r="R419" t="str">
        <f>Lcode_mapping!S419</f>
        <v>-</v>
      </c>
      <c r="S419" t="str">
        <f>Lcode_mapping!T419</f>
        <v>-</v>
      </c>
      <c r="T419" t="str">
        <f>Lcode_mapping!U419</f>
        <v>-</v>
      </c>
      <c r="U419" t="str">
        <f>Lcode_mapping!V419</f>
        <v>-</v>
      </c>
      <c r="V419" t="str">
        <f>Lcode_mapping!W419</f>
        <v>-</v>
      </c>
    </row>
    <row r="420" spans="1:22" ht="15" customHeight="1" x14ac:dyDescent="0.25">
      <c r="A420">
        <f>Lcode_mapping!A420</f>
        <v>66</v>
      </c>
      <c r="B420">
        <f>Lcode_mapping!B420</f>
        <v>2</v>
      </c>
      <c r="C420" t="str">
        <f>Lcode_mapping!D420</f>
        <v>O-C RES</v>
      </c>
      <c r="D420">
        <f>Lcode_mapping!E420</f>
        <v>2</v>
      </c>
      <c r="E420">
        <f>Lcode_mapping!F420</f>
        <v>1</v>
      </c>
      <c r="F420">
        <f>Lcode_mapping!G420</f>
        <v>1</v>
      </c>
      <c r="G420" t="str">
        <f>Lcode_mapping!H420</f>
        <v>R</v>
      </c>
      <c r="H420">
        <f>Lcode_mapping!I420</f>
        <v>1</v>
      </c>
      <c r="I420" t="str">
        <f>Lcode_mapping!J420</f>
        <v>DELAY RATE RESIDUALS(s, s per s)</v>
      </c>
      <c r="J420" t="str">
        <f>Lcode_mapping!K420</f>
        <v>Obs</v>
      </c>
      <c r="K420" t="str">
        <f>Lcode_mapping!L420</f>
        <v>-</v>
      </c>
      <c r="L420" t="str">
        <f>Lcode_mapping!M420</f>
        <v>I</v>
      </c>
      <c r="M420" t="str">
        <f>Lcode_mapping!N420</f>
        <v>-</v>
      </c>
      <c r="N420" t="str">
        <f>Lcode_mapping!O420</f>
        <v>OBSOLETE</v>
      </c>
      <c r="O420" t="str">
        <f>Lcode_mapping!P420</f>
        <v>-</v>
      </c>
      <c r="P420" t="str">
        <f>Lcode_mapping!Q420</f>
        <v>-</v>
      </c>
      <c r="Q420" t="str">
        <f>Lcode_mapping!R420</f>
        <v>-</v>
      </c>
      <c r="R420" t="str">
        <f>Lcode_mapping!S420</f>
        <v>-</v>
      </c>
      <c r="S420" t="str">
        <f>Lcode_mapping!T420</f>
        <v>-</v>
      </c>
      <c r="T420" t="str">
        <f>Lcode_mapping!U420</f>
        <v>-</v>
      </c>
      <c r="U420" t="str">
        <f>Lcode_mapping!V420</f>
        <v>-</v>
      </c>
      <c r="V420" t="str">
        <f>Lcode_mapping!W420</f>
        <v>-</v>
      </c>
    </row>
    <row r="421" spans="1:22" ht="15" customHeight="1" x14ac:dyDescent="0.25">
      <c r="A421">
        <f>Lcode_mapping!A421</f>
        <v>69</v>
      </c>
      <c r="B421">
        <f>Lcode_mapping!B421</f>
        <v>2</v>
      </c>
      <c r="C421" t="str">
        <f>Lcode_mapping!D421</f>
        <v>PHCALSTS</v>
      </c>
      <c r="D421">
        <f>Lcode_mapping!E421</f>
        <v>2</v>
      </c>
      <c r="E421">
        <f>Lcode_mapping!F421</f>
        <v>1</v>
      </c>
      <c r="F421">
        <f>Lcode_mapping!G421</f>
        <v>1</v>
      </c>
      <c r="G421" t="str">
        <f>Lcode_mapping!H421</f>
        <v>I</v>
      </c>
      <c r="H421">
        <f>Lcode_mapping!I421</f>
        <v>1</v>
      </c>
      <c r="I421" t="str">
        <f>Lcode_mapping!J421</f>
        <v>Phase cal status: 0/1/2 .</v>
      </c>
      <c r="J421" t="str">
        <f>Lcode_mapping!K421</f>
        <v>Obs</v>
      </c>
      <c r="K421" t="str">
        <f>Lcode_mapping!L421</f>
        <v>-</v>
      </c>
      <c r="L421" t="str">
        <f>Lcode_mapping!M421</f>
        <v>I</v>
      </c>
      <c r="M421" t="str">
        <f>Lcode_mapping!N421</f>
        <v>-</v>
      </c>
      <c r="N421" t="str">
        <f>Lcode_mapping!O421</f>
        <v>OBSOLETE</v>
      </c>
      <c r="O421" t="str">
        <f>Lcode_mapping!P421</f>
        <v>-</v>
      </c>
      <c r="P421" t="str">
        <f>Lcode_mapping!Q421</f>
        <v>-</v>
      </c>
      <c r="Q421" t="str">
        <f>Lcode_mapping!R421</f>
        <v>-</v>
      </c>
      <c r="R421" t="str">
        <f>Lcode_mapping!S421</f>
        <v>-</v>
      </c>
      <c r="S421" t="str">
        <f>Lcode_mapping!T421</f>
        <v>-</v>
      </c>
      <c r="T421" t="str">
        <f>Lcode_mapping!U421</f>
        <v>-</v>
      </c>
      <c r="U421" t="str">
        <f>Lcode_mapping!V421</f>
        <v>-</v>
      </c>
      <c r="V421" t="str">
        <f>Lcode_mapping!W421</f>
        <v>-</v>
      </c>
    </row>
    <row r="422" spans="1:22" ht="15" customHeight="1" x14ac:dyDescent="0.25">
      <c r="A422">
        <f>Lcode_mapping!A422</f>
        <v>78</v>
      </c>
      <c r="B422">
        <f>Lcode_mapping!B422</f>
        <v>2</v>
      </c>
      <c r="C422" t="str">
        <f>Lcode_mapping!D422</f>
        <v>RAT FRQS</v>
      </c>
      <c r="D422">
        <f>Lcode_mapping!E422</f>
        <v>1</v>
      </c>
      <c r="E422">
        <f>Lcode_mapping!F422</f>
        <v>1</v>
      </c>
      <c r="F422">
        <f>Lcode_mapping!G422</f>
        <v>1</v>
      </c>
      <c r="G422" t="str">
        <f>Lcode_mapping!H422</f>
        <v>R</v>
      </c>
      <c r="H422">
        <f>Lcode_mapping!I422</f>
        <v>1</v>
      </c>
      <c r="I422" t="str">
        <f>Lcode_mapping!J422</f>
        <v>ALIAS OF REF FREQ.</v>
      </c>
      <c r="J422" t="str">
        <f>Lcode_mapping!K422</f>
        <v>Obs</v>
      </c>
      <c r="K422" t="str">
        <f>Lcode_mapping!L422</f>
        <v>-</v>
      </c>
      <c r="L422" t="str">
        <f>Lcode_mapping!M422</f>
        <v>I</v>
      </c>
      <c r="M422" t="str">
        <f>Lcode_mapping!N422</f>
        <v>-</v>
      </c>
      <c r="N422" t="str">
        <f>Lcode_mapping!O422</f>
        <v>OBSOLETE</v>
      </c>
      <c r="O422" t="str">
        <f>Lcode_mapping!P422</f>
        <v>-</v>
      </c>
      <c r="P422" t="str">
        <f>Lcode_mapping!Q422</f>
        <v>-</v>
      </c>
      <c r="Q422" t="str">
        <f>Lcode_mapping!R422</f>
        <v>-</v>
      </c>
      <c r="R422" t="str">
        <f>Lcode_mapping!S422</f>
        <v>-</v>
      </c>
      <c r="S422" t="str">
        <f>Lcode_mapping!T422</f>
        <v>-</v>
      </c>
      <c r="T422" t="str">
        <f>Lcode_mapping!U422</f>
        <v>-</v>
      </c>
      <c r="U422" t="str">
        <f>Lcode_mapping!V422</f>
        <v>-</v>
      </c>
      <c r="V422" t="str">
        <f>Lcode_mapping!W422</f>
        <v>-</v>
      </c>
    </row>
    <row r="423" spans="1:22" ht="15" customHeight="1" x14ac:dyDescent="0.25">
      <c r="A423">
        <f>Lcode_mapping!A423</f>
        <v>83</v>
      </c>
      <c r="B423">
        <f>Lcode_mapping!B423</f>
        <v>2</v>
      </c>
      <c r="C423" t="str">
        <f>Lcode_mapping!D423</f>
        <v>SITCODES</v>
      </c>
      <c r="D423">
        <f>Lcode_mapping!E423</f>
        <v>2</v>
      </c>
      <c r="E423">
        <f>Lcode_mapping!F423</f>
        <v>1</v>
      </c>
      <c r="F423">
        <f>Lcode_mapping!G423</f>
        <v>1</v>
      </c>
      <c r="G423" t="str">
        <f>Lcode_mapping!H423</f>
        <v>A</v>
      </c>
      <c r="H423">
        <f>Lcode_mapping!I423</f>
        <v>1</v>
      </c>
      <c r="I423" t="str">
        <f>Lcode_mapping!J423</f>
        <v>Two-letters site codes .</v>
      </c>
      <c r="J423" t="str">
        <f>Lcode_mapping!K423</f>
        <v>Obs</v>
      </c>
      <c r="K423" t="str">
        <f>Lcode_mapping!L423</f>
        <v>-</v>
      </c>
      <c r="L423" t="str">
        <f>Lcode_mapping!M423</f>
        <v>I</v>
      </c>
      <c r="M423" t="str">
        <f>Lcode_mapping!N423</f>
        <v>-</v>
      </c>
      <c r="N423" t="str">
        <f>Lcode_mapping!O423</f>
        <v>OBSOLETE</v>
      </c>
      <c r="O423" t="str">
        <f>Lcode_mapping!P423</f>
        <v>-</v>
      </c>
      <c r="P423" t="str">
        <f>Lcode_mapping!Q423</f>
        <v>-</v>
      </c>
      <c r="Q423" t="str">
        <f>Lcode_mapping!R423</f>
        <v>-</v>
      </c>
      <c r="R423" t="str">
        <f>Lcode_mapping!S423</f>
        <v>-</v>
      </c>
      <c r="S423" t="str">
        <f>Lcode_mapping!T423</f>
        <v>-</v>
      </c>
      <c r="T423" t="str">
        <f>Lcode_mapping!U423</f>
        <v>-</v>
      </c>
      <c r="U423" t="str">
        <f>Lcode_mapping!V423</f>
        <v>-</v>
      </c>
      <c r="V423" t="str">
        <f>Lcode_mapping!W423</f>
        <v>-</v>
      </c>
    </row>
    <row r="424" spans="1:22" ht="15" customHeight="1" x14ac:dyDescent="0.25">
      <c r="A424">
        <f>Lcode_mapping!A424</f>
        <v>94</v>
      </c>
      <c r="B424">
        <f>Lcode_mapping!B424</f>
        <v>2</v>
      </c>
      <c r="C424" t="str">
        <f>Lcode_mapping!D424</f>
        <v>UNCALFLG</v>
      </c>
      <c r="D424">
        <f>Lcode_mapping!E424</f>
        <v>1</v>
      </c>
      <c r="E424">
        <f>Lcode_mapping!F424</f>
        <v>1</v>
      </c>
      <c r="F424">
        <f>Lcode_mapping!G424</f>
        <v>1</v>
      </c>
      <c r="G424" t="str">
        <f>Lcode_mapping!H424</f>
        <v>I</v>
      </c>
      <c r="H424">
        <f>Lcode_mapping!I424</f>
        <v>2</v>
      </c>
      <c r="I424" t="str">
        <f>Lcode_mapping!J424</f>
        <v>Delay+rate uncal if flag=1.</v>
      </c>
      <c r="J424" t="str">
        <f>Lcode_mapping!K424</f>
        <v>Obs</v>
      </c>
      <c r="K424" t="str">
        <f>Lcode_mapping!L424</f>
        <v>-</v>
      </c>
      <c r="L424" t="str">
        <f>Lcode_mapping!M424</f>
        <v>I</v>
      </c>
      <c r="M424" t="str">
        <f>Lcode_mapping!N424</f>
        <v>-</v>
      </c>
      <c r="N424" t="str">
        <f>Lcode_mapping!O424</f>
        <v>OBSOLETE</v>
      </c>
      <c r="O424" t="str">
        <f>Lcode_mapping!P424</f>
        <v>-</v>
      </c>
      <c r="P424" t="str">
        <f>Lcode_mapping!Q424</f>
        <v>-</v>
      </c>
      <c r="Q424" t="str">
        <f>Lcode_mapping!R424</f>
        <v>-</v>
      </c>
      <c r="R424" t="str">
        <f>Lcode_mapping!S424</f>
        <v>-</v>
      </c>
      <c r="S424" t="str">
        <f>Lcode_mapping!T424</f>
        <v>-</v>
      </c>
      <c r="T424" t="str">
        <f>Lcode_mapping!U424</f>
        <v>-</v>
      </c>
      <c r="U424" t="str">
        <f>Lcode_mapping!V424</f>
        <v>-</v>
      </c>
      <c r="V424" t="str">
        <f>Lcode_mapping!W424</f>
        <v>-</v>
      </c>
    </row>
    <row r="425" spans="1:22" ht="15" customHeight="1" x14ac:dyDescent="0.25">
      <c r="A425">
        <f>Lcode_mapping!A425</f>
        <v>95</v>
      </c>
      <c r="B425">
        <f>Lcode_mapping!B425</f>
        <v>2</v>
      </c>
      <c r="C425" t="str">
        <f>Lcode_mapping!D425</f>
        <v>USER_REC</v>
      </c>
      <c r="D425">
        <f>Lcode_mapping!E425</f>
        <v>1</v>
      </c>
      <c r="E425">
        <f>Lcode_mapping!F425</f>
        <v>1</v>
      </c>
      <c r="F425">
        <f>Lcode_mapping!G425</f>
        <v>1</v>
      </c>
      <c r="G425" t="str">
        <f>Lcode_mapping!H425</f>
        <v>J</v>
      </c>
      <c r="H425">
        <f>Lcode_mapping!I425</f>
        <v>5</v>
      </c>
      <c r="I425" t="str">
        <f>Lcode_mapping!J425</f>
        <v>User observation recovery status</v>
      </c>
      <c r="J425" t="str">
        <f>Lcode_mapping!K425</f>
        <v>Obs</v>
      </c>
      <c r="K425" t="str">
        <f>Lcode_mapping!L425</f>
        <v>-</v>
      </c>
      <c r="L425" t="str">
        <f>Lcode_mapping!M425</f>
        <v>I</v>
      </c>
      <c r="M425" t="str">
        <f>Lcode_mapping!N425</f>
        <v>-</v>
      </c>
      <c r="N425" t="str">
        <f>Lcode_mapping!O425</f>
        <v>OBSOLETE</v>
      </c>
      <c r="O425" t="str">
        <f>Lcode_mapping!P425</f>
        <v>-</v>
      </c>
      <c r="P425" t="str">
        <f>Lcode_mapping!Q425</f>
        <v>-</v>
      </c>
      <c r="Q425" t="str">
        <f>Lcode_mapping!R425</f>
        <v>-</v>
      </c>
      <c r="R425" t="str">
        <f>Lcode_mapping!S425</f>
        <v>-</v>
      </c>
      <c r="S425" t="str">
        <f>Lcode_mapping!T425</f>
        <v>-</v>
      </c>
      <c r="T425" t="str">
        <f>Lcode_mapping!U425</f>
        <v>-</v>
      </c>
      <c r="U425" t="str">
        <f>Lcode_mapping!V425</f>
        <v>-</v>
      </c>
      <c r="V425" t="str">
        <f>Lcode_mapping!W425</f>
        <v>-</v>
      </c>
    </row>
    <row r="426" spans="1:22" ht="15" customHeight="1" x14ac:dyDescent="0.25">
      <c r="A426">
        <f>Lcode_mapping!A426</f>
        <v>96</v>
      </c>
      <c r="B426">
        <f>Lcode_mapping!B426</f>
        <v>2</v>
      </c>
      <c r="C426" t="str">
        <f>Lcode_mapping!D426</f>
        <v>USER_SUP</v>
      </c>
      <c r="D426">
        <f>Lcode_mapping!E426</f>
        <v>1</v>
      </c>
      <c r="E426">
        <f>Lcode_mapping!F426</f>
        <v>1</v>
      </c>
      <c r="F426">
        <f>Lcode_mapping!G426</f>
        <v>1</v>
      </c>
      <c r="G426" t="str">
        <f>Lcode_mapping!H426</f>
        <v>J</v>
      </c>
      <c r="H426">
        <f>Lcode_mapping!I426</f>
        <v>5</v>
      </c>
      <c r="I426" t="str">
        <f>Lcode_mapping!J426</f>
        <v>User observation suppression sts</v>
      </c>
      <c r="J426" t="str">
        <f>Lcode_mapping!K426</f>
        <v>Obs</v>
      </c>
      <c r="K426" t="str">
        <f>Lcode_mapping!L426</f>
        <v>-</v>
      </c>
      <c r="L426" t="str">
        <f>Lcode_mapping!M426</f>
        <v>I</v>
      </c>
      <c r="M426" t="str">
        <f>Lcode_mapping!N426</f>
        <v>-</v>
      </c>
      <c r="N426" t="str">
        <f>Lcode_mapping!O426</f>
        <v>OBSOLETE</v>
      </c>
      <c r="O426" t="str">
        <f>Lcode_mapping!P426</f>
        <v>-</v>
      </c>
      <c r="P426" t="str">
        <f>Lcode_mapping!Q426</f>
        <v>-</v>
      </c>
      <c r="Q426" t="str">
        <f>Lcode_mapping!R426</f>
        <v>-</v>
      </c>
      <c r="R426" t="str">
        <f>Lcode_mapping!S426</f>
        <v>-</v>
      </c>
      <c r="S426" t="str">
        <f>Lcode_mapping!T426</f>
        <v>-</v>
      </c>
      <c r="T426" t="str">
        <f>Lcode_mapping!U426</f>
        <v>-</v>
      </c>
      <c r="U426" t="str">
        <f>Lcode_mapping!V426</f>
        <v>-</v>
      </c>
      <c r="V426" t="str">
        <f>Lcode_mapping!W426</f>
        <v>-</v>
      </c>
    </row>
    <row r="427" spans="1:22" ht="15" customHeight="1" x14ac:dyDescent="0.25">
      <c r="A427">
        <f>Lcode_mapping!A427</f>
        <v>97</v>
      </c>
      <c r="B427">
        <f>Lcode_mapping!B427</f>
        <v>2</v>
      </c>
      <c r="C427" t="str">
        <f>Lcode_mapping!D427</f>
        <v>UTC TAG4</v>
      </c>
      <c r="D427">
        <f>Lcode_mapping!E427</f>
        <v>6</v>
      </c>
      <c r="E427">
        <f>Lcode_mapping!F427</f>
        <v>1</v>
      </c>
      <c r="F427">
        <f>Lcode_mapping!G427</f>
        <v>1</v>
      </c>
      <c r="G427" t="str">
        <f>Lcode_mapping!H427</f>
        <v>I</v>
      </c>
      <c r="H427">
        <f>Lcode_mapping!I427</f>
        <v>1</v>
      </c>
      <c r="I427" t="str">
        <f>Lcode_mapping!J427</f>
        <v>Epoch UTC YMDHMS (4 digit year).</v>
      </c>
      <c r="J427" t="str">
        <f>Lcode_mapping!K427</f>
        <v>Obs</v>
      </c>
      <c r="K427" t="str">
        <f>Lcode_mapping!L427</f>
        <v>Duplicate</v>
      </c>
      <c r="L427" t="str">
        <f>Lcode_mapping!M427</f>
        <v>I</v>
      </c>
      <c r="M427" t="str">
        <f>Lcode_mapping!N427</f>
        <v>-</v>
      </c>
      <c r="N427" t="str">
        <f>Lcode_mapping!O427</f>
        <v>OBSOLETE</v>
      </c>
      <c r="O427" t="str">
        <f>Lcode_mapping!P427</f>
        <v>-</v>
      </c>
      <c r="P427" t="str">
        <f>Lcode_mapping!Q427</f>
        <v>-</v>
      </c>
      <c r="Q427" t="str">
        <f>Lcode_mapping!R427</f>
        <v>-</v>
      </c>
      <c r="R427" t="str">
        <f>Lcode_mapping!S427</f>
        <v>-</v>
      </c>
      <c r="S427" t="str">
        <f>Lcode_mapping!T427</f>
        <v>-</v>
      </c>
      <c r="T427" t="str">
        <f>Lcode_mapping!U427</f>
        <v>-</v>
      </c>
      <c r="U427" t="str">
        <f>Lcode_mapping!V427</f>
        <v>-</v>
      </c>
      <c r="V427" t="str">
        <f>Lcode_mapping!W427</f>
        <v>-</v>
      </c>
    </row>
    <row r="428" spans="1:22" ht="15" customHeight="1" x14ac:dyDescent="0.25">
      <c r="A428">
        <f>Lcode_mapping!A428</f>
        <v>3</v>
      </c>
      <c r="B428">
        <f>Lcode_mapping!B428</f>
        <v>1</v>
      </c>
      <c r="C428" t="str">
        <f>Lcode_mapping!D428</f>
        <v>ACCELGRV</v>
      </c>
      <c r="D428">
        <f>Lcode_mapping!E428</f>
        <v>1</v>
      </c>
      <c r="E428">
        <f>Lcode_mapping!F428</f>
        <v>1</v>
      </c>
      <c r="F428">
        <f>Lcode_mapping!G428</f>
        <v>1</v>
      </c>
      <c r="G428" t="str">
        <f>Lcode_mapping!H428</f>
        <v>R</v>
      </c>
      <c r="H428">
        <f>Lcode_mapping!I428</f>
        <v>1</v>
      </c>
      <c r="I428" t="str">
        <f>Lcode_mapping!J428</f>
        <v>Accel grav at erth surface m/s^2</v>
      </c>
      <c r="J428" t="str">
        <f>Lcode_mapping!K428</f>
        <v>Session</v>
      </c>
      <c r="K428" t="str">
        <f>Lcode_mapping!L428</f>
        <v>Constant</v>
      </c>
      <c r="L428" t="str">
        <f>Lcode_mapping!M428</f>
        <v>I</v>
      </c>
      <c r="M428" t="str">
        <f>Lcode_mapping!N428</f>
        <v>-</v>
      </c>
      <c r="N428" t="str">
        <f>Lcode_mapping!O428</f>
        <v>OBSOLETE</v>
      </c>
      <c r="O428" t="str">
        <f>Lcode_mapping!P428</f>
        <v>-</v>
      </c>
      <c r="P428" t="str">
        <f>Lcode_mapping!Q428</f>
        <v>-</v>
      </c>
      <c r="Q428" t="str">
        <f>Lcode_mapping!R428</f>
        <v>-</v>
      </c>
      <c r="R428" t="str">
        <f>Lcode_mapping!S428</f>
        <v>-</v>
      </c>
      <c r="S428" t="str">
        <f>Lcode_mapping!T428</f>
        <v>-</v>
      </c>
      <c r="T428" t="str">
        <f>Lcode_mapping!U428</f>
        <v>-</v>
      </c>
      <c r="U428" t="str">
        <f>Lcode_mapping!V428</f>
        <v>-</v>
      </c>
      <c r="V428" t="str">
        <f>Lcode_mapping!W428</f>
        <v>-</v>
      </c>
    </row>
    <row r="429" spans="1:22" ht="15" customHeight="1" x14ac:dyDescent="0.25">
      <c r="A429">
        <f>Lcode_mapping!A429</f>
        <v>5</v>
      </c>
      <c r="B429">
        <f>Lcode_mapping!B429</f>
        <v>1</v>
      </c>
      <c r="C429" t="str">
        <f>Lcode_mapping!D429</f>
        <v>ATM FL 1</v>
      </c>
      <c r="D429">
        <f>Lcode_mapping!E429</f>
        <v>1</v>
      </c>
      <c r="E429">
        <f>Lcode_mapping!F429</f>
        <v>1</v>
      </c>
      <c r="F429">
        <f>Lcode_mapping!G429</f>
        <v>1</v>
      </c>
      <c r="G429" t="str">
        <f>Lcode_mapping!H429</f>
        <v>I</v>
      </c>
      <c r="H429">
        <f>Lcode_mapping!I429</f>
        <v>2</v>
      </c>
      <c r="I429" t="str">
        <f>Lcode_mapping!J429</f>
        <v>List of atmosphere flags</v>
      </c>
      <c r="J429" t="str">
        <f>Lcode_mapping!K429</f>
        <v>Session</v>
      </c>
      <c r="K429" t="str">
        <f>Lcode_mapping!L429</f>
        <v>obsolete</v>
      </c>
      <c r="L429" t="str">
        <f>Lcode_mapping!M429</f>
        <v>I</v>
      </c>
      <c r="M429" t="str">
        <f>Lcode_mapping!N429</f>
        <v>-</v>
      </c>
      <c r="N429" t="str">
        <f>Lcode_mapping!O429</f>
        <v>OBSOLETE</v>
      </c>
      <c r="O429" t="str">
        <f>Lcode_mapping!P429</f>
        <v>-</v>
      </c>
      <c r="P429" t="str">
        <f>Lcode_mapping!Q429</f>
        <v>-</v>
      </c>
      <c r="Q429" t="str">
        <f>Lcode_mapping!R429</f>
        <v>-</v>
      </c>
      <c r="R429" t="str">
        <f>Lcode_mapping!S429</f>
        <v>-</v>
      </c>
      <c r="S429" t="str">
        <f>Lcode_mapping!T429</f>
        <v>-</v>
      </c>
      <c r="T429" t="str">
        <f>Lcode_mapping!U429</f>
        <v>-</v>
      </c>
      <c r="U429" t="str">
        <f>Lcode_mapping!V429</f>
        <v>-</v>
      </c>
      <c r="V429" t="str">
        <f>Lcode_mapping!W429</f>
        <v>-</v>
      </c>
    </row>
    <row r="430" spans="1:22" ht="15" customHeight="1" x14ac:dyDescent="0.25">
      <c r="A430">
        <f>Lcode_mapping!A430</f>
        <v>6</v>
      </c>
      <c r="B430">
        <f>Lcode_mapping!B430</f>
        <v>1</v>
      </c>
      <c r="C430" t="str">
        <f>Lcode_mapping!D430</f>
        <v>ATM FL 2</v>
      </c>
      <c r="D430">
        <f>Lcode_mapping!E430</f>
        <v>1</v>
      </c>
      <c r="E430">
        <f>Lcode_mapping!F430</f>
        <v>1</v>
      </c>
      <c r="F430">
        <f>Lcode_mapping!G430</f>
        <v>1</v>
      </c>
      <c r="G430" t="str">
        <f>Lcode_mapping!H430</f>
        <v>I</v>
      </c>
      <c r="H430">
        <f>Lcode_mapping!I430</f>
        <v>2</v>
      </c>
      <c r="I430" t="str">
        <f>Lcode_mapping!J430</f>
        <v>List of atmosphere flags</v>
      </c>
      <c r="J430" t="str">
        <f>Lcode_mapping!K430</f>
        <v>Session</v>
      </c>
      <c r="K430" t="str">
        <f>Lcode_mapping!L430</f>
        <v>obsolete</v>
      </c>
      <c r="L430" t="str">
        <f>Lcode_mapping!M430</f>
        <v>I</v>
      </c>
      <c r="M430" t="str">
        <f>Lcode_mapping!N430</f>
        <v>-</v>
      </c>
      <c r="N430" t="str">
        <f>Lcode_mapping!O430</f>
        <v>OBSOLETE</v>
      </c>
      <c r="O430" t="str">
        <f>Lcode_mapping!P430</f>
        <v>-</v>
      </c>
      <c r="P430" t="str">
        <f>Lcode_mapping!Q430</f>
        <v>-</v>
      </c>
      <c r="Q430" t="str">
        <f>Lcode_mapping!R430</f>
        <v>-</v>
      </c>
      <c r="R430" t="str">
        <f>Lcode_mapping!S430</f>
        <v>-</v>
      </c>
      <c r="S430" t="str">
        <f>Lcode_mapping!T430</f>
        <v>-</v>
      </c>
      <c r="T430" t="str">
        <f>Lcode_mapping!U430</f>
        <v>-</v>
      </c>
      <c r="U430" t="str">
        <f>Lcode_mapping!V430</f>
        <v>-</v>
      </c>
      <c r="V430" t="str">
        <f>Lcode_mapping!W430</f>
        <v>-</v>
      </c>
    </row>
    <row r="431" spans="1:22" ht="15" customHeight="1" x14ac:dyDescent="0.25">
      <c r="A431">
        <f>Lcode_mapping!A431</f>
        <v>7</v>
      </c>
      <c r="B431">
        <f>Lcode_mapping!B431</f>
        <v>1</v>
      </c>
      <c r="C431" t="str">
        <f>Lcode_mapping!D431</f>
        <v>ATM FL 3</v>
      </c>
      <c r="D431">
        <f>Lcode_mapping!E431</f>
        <v>1</v>
      </c>
      <c r="E431">
        <f>Lcode_mapping!F431</f>
        <v>1</v>
      </c>
      <c r="F431">
        <f>Lcode_mapping!G431</f>
        <v>1</v>
      </c>
      <c r="G431" t="str">
        <f>Lcode_mapping!H431</f>
        <v>I</v>
      </c>
      <c r="H431">
        <f>Lcode_mapping!I431</f>
        <v>2</v>
      </c>
      <c r="I431" t="str">
        <f>Lcode_mapping!J431</f>
        <v>List of atmosphere flags</v>
      </c>
      <c r="J431" t="str">
        <f>Lcode_mapping!K431</f>
        <v>Session</v>
      </c>
      <c r="K431" t="str">
        <f>Lcode_mapping!L431</f>
        <v>obsolete</v>
      </c>
      <c r="L431" t="str">
        <f>Lcode_mapping!M431</f>
        <v>I</v>
      </c>
      <c r="M431" t="str">
        <f>Lcode_mapping!N431</f>
        <v>-</v>
      </c>
      <c r="N431" t="str">
        <f>Lcode_mapping!O431</f>
        <v>OBSOLETE</v>
      </c>
      <c r="O431" t="str">
        <f>Lcode_mapping!P431</f>
        <v>-</v>
      </c>
      <c r="P431" t="str">
        <f>Lcode_mapping!Q431</f>
        <v>-</v>
      </c>
      <c r="Q431" t="str">
        <f>Lcode_mapping!R431</f>
        <v>-</v>
      </c>
      <c r="R431" t="str">
        <f>Lcode_mapping!S431</f>
        <v>-</v>
      </c>
      <c r="S431" t="str">
        <f>Lcode_mapping!T431</f>
        <v>-</v>
      </c>
      <c r="T431" t="str">
        <f>Lcode_mapping!U431</f>
        <v>-</v>
      </c>
      <c r="U431" t="str">
        <f>Lcode_mapping!V431</f>
        <v>-</v>
      </c>
      <c r="V431" t="str">
        <f>Lcode_mapping!W431</f>
        <v>-</v>
      </c>
    </row>
    <row r="432" spans="1:22" ht="15" customHeight="1" x14ac:dyDescent="0.25">
      <c r="A432">
        <f>Lcode_mapping!A432</f>
        <v>8</v>
      </c>
      <c r="B432">
        <f>Lcode_mapping!B432</f>
        <v>1</v>
      </c>
      <c r="C432" t="str">
        <f>Lcode_mapping!D432</f>
        <v>ATM FL 4</v>
      </c>
      <c r="D432">
        <f>Lcode_mapping!E432</f>
        <v>1</v>
      </c>
      <c r="E432">
        <f>Lcode_mapping!F432</f>
        <v>1</v>
      </c>
      <c r="F432">
        <f>Lcode_mapping!G432</f>
        <v>1</v>
      </c>
      <c r="G432" t="str">
        <f>Lcode_mapping!H432</f>
        <v>I</v>
      </c>
      <c r="H432">
        <f>Lcode_mapping!I432</f>
        <v>2</v>
      </c>
      <c r="I432" t="str">
        <f>Lcode_mapping!J432</f>
        <v>List of atmosphere flags</v>
      </c>
      <c r="J432" t="str">
        <f>Lcode_mapping!K432</f>
        <v>Session</v>
      </c>
      <c r="K432" t="str">
        <f>Lcode_mapping!L432</f>
        <v>obsolete</v>
      </c>
      <c r="L432" t="str">
        <f>Lcode_mapping!M432</f>
        <v>I</v>
      </c>
      <c r="M432" t="str">
        <f>Lcode_mapping!N432</f>
        <v>-</v>
      </c>
      <c r="N432" t="str">
        <f>Lcode_mapping!O432</f>
        <v>OBSOLETE</v>
      </c>
      <c r="O432" t="str">
        <f>Lcode_mapping!P432</f>
        <v>-</v>
      </c>
      <c r="P432" t="str">
        <f>Lcode_mapping!Q432</f>
        <v>-</v>
      </c>
      <c r="Q432" t="str">
        <f>Lcode_mapping!R432</f>
        <v>-</v>
      </c>
      <c r="R432" t="str">
        <f>Lcode_mapping!S432</f>
        <v>-</v>
      </c>
      <c r="S432" t="str">
        <f>Lcode_mapping!T432</f>
        <v>-</v>
      </c>
      <c r="T432" t="str">
        <f>Lcode_mapping!U432</f>
        <v>-</v>
      </c>
      <c r="U432" t="str">
        <f>Lcode_mapping!V432</f>
        <v>-</v>
      </c>
      <c r="V432" t="str">
        <f>Lcode_mapping!W432</f>
        <v>-</v>
      </c>
    </row>
    <row r="433" spans="1:22" ht="15" customHeight="1" x14ac:dyDescent="0.25">
      <c r="A433">
        <f>Lcode_mapping!A433</f>
        <v>9</v>
      </c>
      <c r="B433">
        <f>Lcode_mapping!B433</f>
        <v>1</v>
      </c>
      <c r="C433" t="str">
        <f>Lcode_mapping!D433</f>
        <v>ATM FL 5</v>
      </c>
      <c r="D433">
        <f>Lcode_mapping!E433</f>
        <v>1</v>
      </c>
      <c r="E433">
        <f>Lcode_mapping!F433</f>
        <v>1</v>
      </c>
      <c r="F433">
        <f>Lcode_mapping!G433</f>
        <v>1</v>
      </c>
      <c r="G433" t="str">
        <f>Lcode_mapping!H433</f>
        <v>I</v>
      </c>
      <c r="H433">
        <f>Lcode_mapping!I433</f>
        <v>2</v>
      </c>
      <c r="I433" t="str">
        <f>Lcode_mapping!J433</f>
        <v>List of atmosphere flags</v>
      </c>
      <c r="J433" t="str">
        <f>Lcode_mapping!K433</f>
        <v>Session</v>
      </c>
      <c r="K433" t="str">
        <f>Lcode_mapping!L433</f>
        <v>obsolete</v>
      </c>
      <c r="L433" t="str">
        <f>Lcode_mapping!M433</f>
        <v>I</v>
      </c>
      <c r="M433" t="str">
        <f>Lcode_mapping!N433</f>
        <v>-</v>
      </c>
      <c r="N433" t="str">
        <f>Lcode_mapping!O433</f>
        <v>OBSOLETE</v>
      </c>
      <c r="O433" t="str">
        <f>Lcode_mapping!P433</f>
        <v>-</v>
      </c>
      <c r="P433" t="str">
        <f>Lcode_mapping!Q433</f>
        <v>-</v>
      </c>
      <c r="Q433" t="str">
        <f>Lcode_mapping!R433</f>
        <v>-</v>
      </c>
      <c r="R433" t="str">
        <f>Lcode_mapping!S433</f>
        <v>-</v>
      </c>
      <c r="S433" t="str">
        <f>Lcode_mapping!T433</f>
        <v>-</v>
      </c>
      <c r="T433" t="str">
        <f>Lcode_mapping!U433</f>
        <v>-</v>
      </c>
      <c r="U433" t="str">
        <f>Lcode_mapping!V433</f>
        <v>-</v>
      </c>
      <c r="V433" t="str">
        <f>Lcode_mapping!W433</f>
        <v>-</v>
      </c>
    </row>
    <row r="434" spans="1:22" ht="15" customHeight="1" x14ac:dyDescent="0.25">
      <c r="A434">
        <f>Lcode_mapping!A434</f>
        <v>10</v>
      </c>
      <c r="B434">
        <f>Lcode_mapping!B434</f>
        <v>1</v>
      </c>
      <c r="C434" t="str">
        <f>Lcode_mapping!D434</f>
        <v>ATM FL 6</v>
      </c>
      <c r="D434">
        <f>Lcode_mapping!E434</f>
        <v>1</v>
      </c>
      <c r="E434">
        <f>Lcode_mapping!F434</f>
        <v>1</v>
      </c>
      <c r="F434">
        <f>Lcode_mapping!G434</f>
        <v>1</v>
      </c>
      <c r="G434" t="str">
        <f>Lcode_mapping!H434</f>
        <v>I</v>
      </c>
      <c r="H434">
        <f>Lcode_mapping!I434</f>
        <v>2</v>
      </c>
      <c r="I434" t="str">
        <f>Lcode_mapping!J434</f>
        <v>List of atmosphere flags</v>
      </c>
      <c r="J434" t="str">
        <f>Lcode_mapping!K434</f>
        <v>Session</v>
      </c>
      <c r="K434" t="str">
        <f>Lcode_mapping!L434</f>
        <v>obsolete</v>
      </c>
      <c r="L434" t="str">
        <f>Lcode_mapping!M434</f>
        <v>I</v>
      </c>
      <c r="M434" t="str">
        <f>Lcode_mapping!N434</f>
        <v>-</v>
      </c>
      <c r="N434" t="str">
        <f>Lcode_mapping!O434</f>
        <v>OBSOLETE</v>
      </c>
      <c r="O434" t="str">
        <f>Lcode_mapping!P434</f>
        <v>-</v>
      </c>
      <c r="P434" t="str">
        <f>Lcode_mapping!Q434</f>
        <v>-</v>
      </c>
      <c r="Q434" t="str">
        <f>Lcode_mapping!R434</f>
        <v>-</v>
      </c>
      <c r="R434" t="str">
        <f>Lcode_mapping!S434</f>
        <v>-</v>
      </c>
      <c r="S434" t="str">
        <f>Lcode_mapping!T434</f>
        <v>-</v>
      </c>
      <c r="T434" t="str">
        <f>Lcode_mapping!U434</f>
        <v>-</v>
      </c>
      <c r="U434" t="str">
        <f>Lcode_mapping!V434</f>
        <v>-</v>
      </c>
      <c r="V434" t="str">
        <f>Lcode_mapping!W434</f>
        <v>-</v>
      </c>
    </row>
    <row r="435" spans="1:22" ht="15" customHeight="1" x14ac:dyDescent="0.25">
      <c r="A435">
        <f>Lcode_mapping!A435</f>
        <v>11</v>
      </c>
      <c r="B435">
        <f>Lcode_mapping!B435</f>
        <v>1</v>
      </c>
      <c r="C435" t="str">
        <f>Lcode_mapping!D435</f>
        <v>ATM FL 7</v>
      </c>
      <c r="D435">
        <f>Lcode_mapping!E435</f>
        <v>1</v>
      </c>
      <c r="E435">
        <f>Lcode_mapping!F435</f>
        <v>1</v>
      </c>
      <c r="F435">
        <f>Lcode_mapping!G435</f>
        <v>1</v>
      </c>
      <c r="G435" t="str">
        <f>Lcode_mapping!H435</f>
        <v>I</v>
      </c>
      <c r="H435">
        <f>Lcode_mapping!I435</f>
        <v>2</v>
      </c>
      <c r="I435" t="str">
        <f>Lcode_mapping!J435</f>
        <v>List of atmosphere flags</v>
      </c>
      <c r="J435" t="str">
        <f>Lcode_mapping!K435</f>
        <v>Session</v>
      </c>
      <c r="K435" t="str">
        <f>Lcode_mapping!L435</f>
        <v>obsolete</v>
      </c>
      <c r="L435" t="str">
        <f>Lcode_mapping!M435</f>
        <v>I</v>
      </c>
      <c r="M435" t="str">
        <f>Lcode_mapping!N435</f>
        <v>-</v>
      </c>
      <c r="N435" t="str">
        <f>Lcode_mapping!O435</f>
        <v>OBSOLETE</v>
      </c>
      <c r="O435" t="str">
        <f>Lcode_mapping!P435</f>
        <v>-</v>
      </c>
      <c r="P435" t="str">
        <f>Lcode_mapping!Q435</f>
        <v>-</v>
      </c>
      <c r="Q435" t="str">
        <f>Lcode_mapping!R435</f>
        <v>-</v>
      </c>
      <c r="R435" t="str">
        <f>Lcode_mapping!S435</f>
        <v>-</v>
      </c>
      <c r="S435" t="str">
        <f>Lcode_mapping!T435</f>
        <v>-</v>
      </c>
      <c r="T435" t="str">
        <f>Lcode_mapping!U435</f>
        <v>-</v>
      </c>
      <c r="U435" t="str">
        <f>Lcode_mapping!V435</f>
        <v>-</v>
      </c>
      <c r="V435" t="str">
        <f>Lcode_mapping!W435</f>
        <v>-</v>
      </c>
    </row>
    <row r="436" spans="1:22" ht="15" customHeight="1" x14ac:dyDescent="0.25">
      <c r="A436">
        <f>Lcode_mapping!A436</f>
        <v>12</v>
      </c>
      <c r="B436">
        <f>Lcode_mapping!B436</f>
        <v>1</v>
      </c>
      <c r="C436" t="str">
        <f>Lcode_mapping!D436</f>
        <v>ATM FL 8</v>
      </c>
      <c r="D436">
        <f>Lcode_mapping!E436</f>
        <v>1</v>
      </c>
      <c r="E436">
        <f>Lcode_mapping!F436</f>
        <v>1</v>
      </c>
      <c r="F436">
        <f>Lcode_mapping!G436</f>
        <v>1</v>
      </c>
      <c r="G436" t="str">
        <f>Lcode_mapping!H436</f>
        <v>I</v>
      </c>
      <c r="H436">
        <f>Lcode_mapping!I436</f>
        <v>2</v>
      </c>
      <c r="I436" t="str">
        <f>Lcode_mapping!J436</f>
        <v>List of atmosphere flags</v>
      </c>
      <c r="J436" t="str">
        <f>Lcode_mapping!K436</f>
        <v>Session</v>
      </c>
      <c r="K436" t="str">
        <f>Lcode_mapping!L436</f>
        <v>obsolete</v>
      </c>
      <c r="L436" t="str">
        <f>Lcode_mapping!M436</f>
        <v>I</v>
      </c>
      <c r="M436" t="str">
        <f>Lcode_mapping!N436</f>
        <v>-</v>
      </c>
      <c r="N436" t="str">
        <f>Lcode_mapping!O436</f>
        <v>OBSOLETE</v>
      </c>
      <c r="O436" t="str">
        <f>Lcode_mapping!P436</f>
        <v>-</v>
      </c>
      <c r="P436" t="str">
        <f>Lcode_mapping!Q436</f>
        <v>-</v>
      </c>
      <c r="Q436" t="str">
        <f>Lcode_mapping!R436</f>
        <v>-</v>
      </c>
      <c r="R436" t="str">
        <f>Lcode_mapping!S436</f>
        <v>-</v>
      </c>
      <c r="S436" t="str">
        <f>Lcode_mapping!T436</f>
        <v>-</v>
      </c>
      <c r="T436" t="str">
        <f>Lcode_mapping!U436</f>
        <v>-</v>
      </c>
      <c r="U436" t="str">
        <f>Lcode_mapping!V436</f>
        <v>-</v>
      </c>
      <c r="V436" t="str">
        <f>Lcode_mapping!W436</f>
        <v>-</v>
      </c>
    </row>
    <row r="437" spans="1:22" ht="15" customHeight="1" x14ac:dyDescent="0.25">
      <c r="A437">
        <f>Lcode_mapping!A437</f>
        <v>13</v>
      </c>
      <c r="B437">
        <f>Lcode_mapping!B437</f>
        <v>1</v>
      </c>
      <c r="C437" t="str">
        <f>Lcode_mapping!D437</f>
        <v>ATMEPO 1</v>
      </c>
      <c r="D437">
        <f>Lcode_mapping!E437</f>
        <v>1</v>
      </c>
      <c r="E437">
        <f>Lcode_mapping!F437</f>
        <v>1</v>
      </c>
      <c r="F437">
        <f>Lcode_mapping!G437</f>
        <v>1</v>
      </c>
      <c r="G437" t="str">
        <f>Lcode_mapping!H437</f>
        <v>R</v>
      </c>
      <c r="H437">
        <f>Lcode_mapping!I437</f>
        <v>1</v>
      </c>
      <c r="I437" t="str">
        <f>Lcode_mapping!J437</f>
        <v>Atmosphere epochs -  J.D.s</v>
      </c>
      <c r="J437" t="str">
        <f>Lcode_mapping!K437</f>
        <v>Session</v>
      </c>
      <c r="K437" t="str">
        <f>Lcode_mapping!L437</f>
        <v>obsolete</v>
      </c>
      <c r="L437" t="str">
        <f>Lcode_mapping!M437</f>
        <v>I</v>
      </c>
      <c r="M437" t="str">
        <f>Lcode_mapping!N437</f>
        <v>-</v>
      </c>
      <c r="N437" t="str">
        <f>Lcode_mapping!O437</f>
        <v>OBSOLETE</v>
      </c>
      <c r="O437" t="str">
        <f>Lcode_mapping!P437</f>
        <v>-</v>
      </c>
      <c r="P437" t="str">
        <f>Lcode_mapping!Q437</f>
        <v>-</v>
      </c>
      <c r="Q437" t="str">
        <f>Lcode_mapping!R437</f>
        <v>-</v>
      </c>
      <c r="R437" t="str">
        <f>Lcode_mapping!S437</f>
        <v>-</v>
      </c>
      <c r="S437" t="str">
        <f>Lcode_mapping!T437</f>
        <v>-</v>
      </c>
      <c r="T437" t="str">
        <f>Lcode_mapping!U437</f>
        <v>-</v>
      </c>
      <c r="U437" t="str">
        <f>Lcode_mapping!V437</f>
        <v>-</v>
      </c>
      <c r="V437" t="str">
        <f>Lcode_mapping!W437</f>
        <v>-</v>
      </c>
    </row>
    <row r="438" spans="1:22" ht="15" customHeight="1" x14ac:dyDescent="0.25">
      <c r="A438">
        <f>Lcode_mapping!A438</f>
        <v>14</v>
      </c>
      <c r="B438">
        <f>Lcode_mapping!B438</f>
        <v>1</v>
      </c>
      <c r="C438" t="str">
        <f>Lcode_mapping!D438</f>
        <v>ATMEPO 2</v>
      </c>
      <c r="D438">
        <f>Lcode_mapping!E438</f>
        <v>1</v>
      </c>
      <c r="E438">
        <f>Lcode_mapping!F438</f>
        <v>1</v>
      </c>
      <c r="F438">
        <f>Lcode_mapping!G438</f>
        <v>1</v>
      </c>
      <c r="G438" t="str">
        <f>Lcode_mapping!H438</f>
        <v>R</v>
      </c>
      <c r="H438">
        <f>Lcode_mapping!I438</f>
        <v>1</v>
      </c>
      <c r="I438" t="str">
        <f>Lcode_mapping!J438</f>
        <v>Atmosphere epochs -  J.D.s</v>
      </c>
      <c r="J438" t="str">
        <f>Lcode_mapping!K438</f>
        <v>Session</v>
      </c>
      <c r="K438" t="str">
        <f>Lcode_mapping!L438</f>
        <v>obsolete</v>
      </c>
      <c r="L438" t="str">
        <f>Lcode_mapping!M438</f>
        <v>I</v>
      </c>
      <c r="M438" t="str">
        <f>Lcode_mapping!N438</f>
        <v>-</v>
      </c>
      <c r="N438" t="str">
        <f>Lcode_mapping!O438</f>
        <v>OBSOLETE</v>
      </c>
      <c r="O438" t="str">
        <f>Lcode_mapping!P438</f>
        <v>-</v>
      </c>
      <c r="P438" t="str">
        <f>Lcode_mapping!Q438</f>
        <v>-</v>
      </c>
      <c r="Q438" t="str">
        <f>Lcode_mapping!R438</f>
        <v>-</v>
      </c>
      <c r="R438" t="str">
        <f>Lcode_mapping!S438</f>
        <v>-</v>
      </c>
      <c r="S438" t="str">
        <f>Lcode_mapping!T438</f>
        <v>-</v>
      </c>
      <c r="T438" t="str">
        <f>Lcode_mapping!U438</f>
        <v>-</v>
      </c>
      <c r="U438" t="str">
        <f>Lcode_mapping!V438</f>
        <v>-</v>
      </c>
      <c r="V438" t="str">
        <f>Lcode_mapping!W438</f>
        <v>-</v>
      </c>
    </row>
    <row r="439" spans="1:22" ht="15" customHeight="1" x14ac:dyDescent="0.25">
      <c r="A439">
        <f>Lcode_mapping!A439</f>
        <v>15</v>
      </c>
      <c r="B439">
        <f>Lcode_mapping!B439</f>
        <v>1</v>
      </c>
      <c r="C439" t="str">
        <f>Lcode_mapping!D439</f>
        <v>ATMEPO 3</v>
      </c>
      <c r="D439">
        <f>Lcode_mapping!E439</f>
        <v>1</v>
      </c>
      <c r="E439">
        <f>Lcode_mapping!F439</f>
        <v>1</v>
      </c>
      <c r="F439">
        <f>Lcode_mapping!G439</f>
        <v>1</v>
      </c>
      <c r="G439" t="str">
        <f>Lcode_mapping!H439</f>
        <v>R</v>
      </c>
      <c r="H439">
        <f>Lcode_mapping!I439</f>
        <v>1</v>
      </c>
      <c r="I439" t="str">
        <f>Lcode_mapping!J439</f>
        <v>Atmosphere epochs -  J.D.s</v>
      </c>
      <c r="J439" t="str">
        <f>Lcode_mapping!K439</f>
        <v>Session</v>
      </c>
      <c r="K439" t="str">
        <f>Lcode_mapping!L439</f>
        <v>obsolete</v>
      </c>
      <c r="L439" t="str">
        <f>Lcode_mapping!M439</f>
        <v>I</v>
      </c>
      <c r="M439" t="str">
        <f>Lcode_mapping!N439</f>
        <v>-</v>
      </c>
      <c r="N439" t="str">
        <f>Lcode_mapping!O439</f>
        <v>OBSOLETE</v>
      </c>
      <c r="O439" t="str">
        <f>Lcode_mapping!P439</f>
        <v>-</v>
      </c>
      <c r="P439" t="str">
        <f>Lcode_mapping!Q439</f>
        <v>-</v>
      </c>
      <c r="Q439" t="str">
        <f>Lcode_mapping!R439</f>
        <v>-</v>
      </c>
      <c r="R439" t="str">
        <f>Lcode_mapping!S439</f>
        <v>-</v>
      </c>
      <c r="S439" t="str">
        <f>Lcode_mapping!T439</f>
        <v>-</v>
      </c>
      <c r="T439" t="str">
        <f>Lcode_mapping!U439</f>
        <v>-</v>
      </c>
      <c r="U439" t="str">
        <f>Lcode_mapping!V439</f>
        <v>-</v>
      </c>
      <c r="V439" t="str">
        <f>Lcode_mapping!W439</f>
        <v>-</v>
      </c>
    </row>
    <row r="440" spans="1:22" ht="15" customHeight="1" x14ac:dyDescent="0.25">
      <c r="A440">
        <f>Lcode_mapping!A440</f>
        <v>16</v>
      </c>
      <c r="B440">
        <f>Lcode_mapping!B440</f>
        <v>1</v>
      </c>
      <c r="C440" t="str">
        <f>Lcode_mapping!D440</f>
        <v>ATMEPO 4</v>
      </c>
      <c r="D440">
        <f>Lcode_mapping!E440</f>
        <v>1</v>
      </c>
      <c r="E440">
        <f>Lcode_mapping!F440</f>
        <v>1</v>
      </c>
      <c r="F440">
        <f>Lcode_mapping!G440</f>
        <v>1</v>
      </c>
      <c r="G440" t="str">
        <f>Lcode_mapping!H440</f>
        <v>R</v>
      </c>
      <c r="H440">
        <f>Lcode_mapping!I440</f>
        <v>1</v>
      </c>
      <c r="I440" t="str">
        <f>Lcode_mapping!J440</f>
        <v>Atmosphere epochs -  J.D.s</v>
      </c>
      <c r="J440" t="str">
        <f>Lcode_mapping!K440</f>
        <v>Session</v>
      </c>
      <c r="K440" t="str">
        <f>Lcode_mapping!L440</f>
        <v>obsolete</v>
      </c>
      <c r="L440" t="str">
        <f>Lcode_mapping!M440</f>
        <v>I</v>
      </c>
      <c r="M440" t="str">
        <f>Lcode_mapping!N440</f>
        <v>-</v>
      </c>
      <c r="N440" t="str">
        <f>Lcode_mapping!O440</f>
        <v>OBSOLETE</v>
      </c>
      <c r="O440" t="str">
        <f>Lcode_mapping!P440</f>
        <v>-</v>
      </c>
      <c r="P440" t="str">
        <f>Lcode_mapping!Q440</f>
        <v>-</v>
      </c>
      <c r="Q440" t="str">
        <f>Lcode_mapping!R440</f>
        <v>-</v>
      </c>
      <c r="R440" t="str">
        <f>Lcode_mapping!S440</f>
        <v>-</v>
      </c>
      <c r="S440" t="str">
        <f>Lcode_mapping!T440</f>
        <v>-</v>
      </c>
      <c r="T440" t="str">
        <f>Lcode_mapping!U440</f>
        <v>-</v>
      </c>
      <c r="U440" t="str">
        <f>Lcode_mapping!V440</f>
        <v>-</v>
      </c>
      <c r="V440" t="str">
        <f>Lcode_mapping!W440</f>
        <v>-</v>
      </c>
    </row>
    <row r="441" spans="1:22" ht="15" customHeight="1" x14ac:dyDescent="0.25">
      <c r="A441">
        <f>Lcode_mapping!A441</f>
        <v>17</v>
      </c>
      <c r="B441">
        <f>Lcode_mapping!B441</f>
        <v>1</v>
      </c>
      <c r="C441" t="str">
        <f>Lcode_mapping!D441</f>
        <v>ATMEPO 5</v>
      </c>
      <c r="D441">
        <f>Lcode_mapping!E441</f>
        <v>1</v>
      </c>
      <c r="E441">
        <f>Lcode_mapping!F441</f>
        <v>1</v>
      </c>
      <c r="F441">
        <f>Lcode_mapping!G441</f>
        <v>1</v>
      </c>
      <c r="G441" t="str">
        <f>Lcode_mapping!H441</f>
        <v>R</v>
      </c>
      <c r="H441">
        <f>Lcode_mapping!I441</f>
        <v>1</v>
      </c>
      <c r="I441" t="str">
        <f>Lcode_mapping!J441</f>
        <v>Atmosphere epochs -  J.D.s</v>
      </c>
      <c r="J441" t="str">
        <f>Lcode_mapping!K441</f>
        <v>Session</v>
      </c>
      <c r="K441" t="str">
        <f>Lcode_mapping!L441</f>
        <v>obsolete</v>
      </c>
      <c r="L441" t="str">
        <f>Lcode_mapping!M441</f>
        <v>I</v>
      </c>
      <c r="M441" t="str">
        <f>Lcode_mapping!N441</f>
        <v>-</v>
      </c>
      <c r="N441" t="str">
        <f>Lcode_mapping!O441</f>
        <v>OBSOLETE</v>
      </c>
      <c r="O441" t="str">
        <f>Lcode_mapping!P441</f>
        <v>-</v>
      </c>
      <c r="P441" t="str">
        <f>Lcode_mapping!Q441</f>
        <v>-</v>
      </c>
      <c r="Q441" t="str">
        <f>Lcode_mapping!R441</f>
        <v>-</v>
      </c>
      <c r="R441" t="str">
        <f>Lcode_mapping!S441</f>
        <v>-</v>
      </c>
      <c r="S441" t="str">
        <f>Lcode_mapping!T441</f>
        <v>-</v>
      </c>
      <c r="T441" t="str">
        <f>Lcode_mapping!U441</f>
        <v>-</v>
      </c>
      <c r="U441" t="str">
        <f>Lcode_mapping!V441</f>
        <v>-</v>
      </c>
      <c r="V441" t="str">
        <f>Lcode_mapping!W441</f>
        <v>-</v>
      </c>
    </row>
    <row r="442" spans="1:22" ht="15" customHeight="1" x14ac:dyDescent="0.25">
      <c r="A442">
        <f>Lcode_mapping!A442</f>
        <v>18</v>
      </c>
      <c r="B442">
        <f>Lcode_mapping!B442</f>
        <v>1</v>
      </c>
      <c r="C442" t="str">
        <f>Lcode_mapping!D442</f>
        <v>ATMEPO 6</v>
      </c>
      <c r="D442">
        <f>Lcode_mapping!E442</f>
        <v>1</v>
      </c>
      <c r="E442">
        <f>Lcode_mapping!F442</f>
        <v>1</v>
      </c>
      <c r="F442">
        <f>Lcode_mapping!G442</f>
        <v>1</v>
      </c>
      <c r="G442" t="str">
        <f>Lcode_mapping!H442</f>
        <v>R</v>
      </c>
      <c r="H442">
        <f>Lcode_mapping!I442</f>
        <v>1</v>
      </c>
      <c r="I442" t="str">
        <f>Lcode_mapping!J442</f>
        <v>Atmosphere epochs -  J.D.s</v>
      </c>
      <c r="J442" t="str">
        <f>Lcode_mapping!K442</f>
        <v>Session</v>
      </c>
      <c r="K442" t="str">
        <f>Lcode_mapping!L442</f>
        <v>obsolete</v>
      </c>
      <c r="L442" t="str">
        <f>Lcode_mapping!M442</f>
        <v>I</v>
      </c>
      <c r="M442" t="str">
        <f>Lcode_mapping!N442</f>
        <v>-</v>
      </c>
      <c r="N442" t="str">
        <f>Lcode_mapping!O442</f>
        <v>OBSOLETE</v>
      </c>
      <c r="O442" t="str">
        <f>Lcode_mapping!P442</f>
        <v>-</v>
      </c>
      <c r="P442" t="str">
        <f>Lcode_mapping!Q442</f>
        <v>-</v>
      </c>
      <c r="Q442" t="str">
        <f>Lcode_mapping!R442</f>
        <v>-</v>
      </c>
      <c r="R442" t="str">
        <f>Lcode_mapping!S442</f>
        <v>-</v>
      </c>
      <c r="S442" t="str">
        <f>Lcode_mapping!T442</f>
        <v>-</v>
      </c>
      <c r="T442" t="str">
        <f>Lcode_mapping!U442</f>
        <v>-</v>
      </c>
      <c r="U442" t="str">
        <f>Lcode_mapping!V442</f>
        <v>-</v>
      </c>
      <c r="V442" t="str">
        <f>Lcode_mapping!W442</f>
        <v>-</v>
      </c>
    </row>
    <row r="443" spans="1:22" ht="15" customHeight="1" x14ac:dyDescent="0.25">
      <c r="A443">
        <f>Lcode_mapping!A443</f>
        <v>19</v>
      </c>
      <c r="B443">
        <f>Lcode_mapping!B443</f>
        <v>1</v>
      </c>
      <c r="C443" t="str">
        <f>Lcode_mapping!D443</f>
        <v>ATMEPO 7</v>
      </c>
      <c r="D443">
        <f>Lcode_mapping!E443</f>
        <v>1</v>
      </c>
      <c r="E443">
        <f>Lcode_mapping!F443</f>
        <v>1</v>
      </c>
      <c r="F443">
        <f>Lcode_mapping!G443</f>
        <v>1</v>
      </c>
      <c r="G443" t="str">
        <f>Lcode_mapping!H443</f>
        <v>R</v>
      </c>
      <c r="H443">
        <f>Lcode_mapping!I443</f>
        <v>1</v>
      </c>
      <c r="I443" t="str">
        <f>Lcode_mapping!J443</f>
        <v>Atmosphere epochs -  J.D.s</v>
      </c>
      <c r="J443" t="str">
        <f>Lcode_mapping!K443</f>
        <v>Session</v>
      </c>
      <c r="K443" t="str">
        <f>Lcode_mapping!L443</f>
        <v>obsolete</v>
      </c>
      <c r="L443" t="str">
        <f>Lcode_mapping!M443</f>
        <v>I</v>
      </c>
      <c r="M443" t="str">
        <f>Lcode_mapping!N443</f>
        <v>-</v>
      </c>
      <c r="N443" t="str">
        <f>Lcode_mapping!O443</f>
        <v>OBSOLETE</v>
      </c>
      <c r="O443" t="str">
        <f>Lcode_mapping!P443</f>
        <v>-</v>
      </c>
      <c r="P443" t="str">
        <f>Lcode_mapping!Q443</f>
        <v>-</v>
      </c>
      <c r="Q443" t="str">
        <f>Lcode_mapping!R443</f>
        <v>-</v>
      </c>
      <c r="R443" t="str">
        <f>Lcode_mapping!S443</f>
        <v>-</v>
      </c>
      <c r="S443" t="str">
        <f>Lcode_mapping!T443</f>
        <v>-</v>
      </c>
      <c r="T443" t="str">
        <f>Lcode_mapping!U443</f>
        <v>-</v>
      </c>
      <c r="U443" t="str">
        <f>Lcode_mapping!V443</f>
        <v>-</v>
      </c>
      <c r="V443" t="str">
        <f>Lcode_mapping!W443</f>
        <v>-</v>
      </c>
    </row>
    <row r="444" spans="1:22" ht="15" customHeight="1" x14ac:dyDescent="0.25">
      <c r="A444">
        <f>Lcode_mapping!A444</f>
        <v>20</v>
      </c>
      <c r="B444">
        <f>Lcode_mapping!B444</f>
        <v>1</v>
      </c>
      <c r="C444" t="str">
        <f>Lcode_mapping!D444</f>
        <v>ATMEPO 8</v>
      </c>
      <c r="D444">
        <f>Lcode_mapping!E444</f>
        <v>1</v>
      </c>
      <c r="E444">
        <f>Lcode_mapping!F444</f>
        <v>1</v>
      </c>
      <c r="F444">
        <f>Lcode_mapping!G444</f>
        <v>1</v>
      </c>
      <c r="G444" t="str">
        <f>Lcode_mapping!H444</f>
        <v>R</v>
      </c>
      <c r="H444">
        <f>Lcode_mapping!I444</f>
        <v>1</v>
      </c>
      <c r="I444" t="str">
        <f>Lcode_mapping!J444</f>
        <v>Atmosphere epochs -  J.D.s</v>
      </c>
      <c r="J444" t="str">
        <f>Lcode_mapping!K444</f>
        <v>Session</v>
      </c>
      <c r="K444" t="str">
        <f>Lcode_mapping!L444</f>
        <v>obsolete</v>
      </c>
      <c r="L444" t="str">
        <f>Lcode_mapping!M444</f>
        <v>I</v>
      </c>
      <c r="M444" t="str">
        <f>Lcode_mapping!N444</f>
        <v>-</v>
      </c>
      <c r="N444" t="str">
        <f>Lcode_mapping!O444</f>
        <v>OBSOLETE</v>
      </c>
      <c r="O444" t="str">
        <f>Lcode_mapping!P444</f>
        <v>-</v>
      </c>
      <c r="P444" t="str">
        <f>Lcode_mapping!Q444</f>
        <v>-</v>
      </c>
      <c r="Q444" t="str">
        <f>Lcode_mapping!R444</f>
        <v>-</v>
      </c>
      <c r="R444" t="str">
        <f>Lcode_mapping!S444</f>
        <v>-</v>
      </c>
      <c r="S444" t="str">
        <f>Lcode_mapping!T444</f>
        <v>-</v>
      </c>
      <c r="T444" t="str">
        <f>Lcode_mapping!U444</f>
        <v>-</v>
      </c>
      <c r="U444" t="str">
        <f>Lcode_mapping!V444</f>
        <v>-</v>
      </c>
      <c r="V444" t="str">
        <f>Lcode_mapping!W444</f>
        <v>-</v>
      </c>
    </row>
    <row r="445" spans="1:22" ht="15" customHeight="1" x14ac:dyDescent="0.25">
      <c r="A445">
        <f>Lcode_mapping!A445</f>
        <v>22</v>
      </c>
      <c r="B445">
        <f>Lcode_mapping!B445</f>
        <v>1</v>
      </c>
      <c r="C445" t="str">
        <f>Lcode_mapping!D445</f>
        <v>BAROCALS</v>
      </c>
      <c r="D445">
        <f>Lcode_mapping!E445</f>
        <v>2</v>
      </c>
      <c r="E445">
        <f>Lcode_mapping!F445</f>
        <v>1</v>
      </c>
      <c r="F445">
        <f>Lcode_mapping!G445</f>
        <v>1</v>
      </c>
      <c r="G445" t="str">
        <f>Lcode_mapping!H445</f>
        <v>R</v>
      </c>
      <c r="H445">
        <f>Lcode_mapping!I445</f>
        <v>1</v>
      </c>
      <c r="I445" t="str">
        <f>Lcode_mapping!J445</f>
        <v>Baro offset (mbar) and Ht. (m)</v>
      </c>
      <c r="J445" t="str">
        <f>Lcode_mapping!K445</f>
        <v>Session</v>
      </c>
      <c r="K445" t="str">
        <f>Lcode_mapping!L445</f>
        <v>-</v>
      </c>
      <c r="L445" t="str">
        <f>Lcode_mapping!M445</f>
        <v>I</v>
      </c>
      <c r="M445" t="str">
        <f>Lcode_mapping!N445</f>
        <v>-</v>
      </c>
      <c r="N445" t="str">
        <f>Lcode_mapping!O445</f>
        <v>OBSOLETE</v>
      </c>
      <c r="O445" t="str">
        <f>Lcode_mapping!P445</f>
        <v>-</v>
      </c>
      <c r="P445" t="str">
        <f>Lcode_mapping!Q445</f>
        <v>-</v>
      </c>
      <c r="Q445" t="str">
        <f>Lcode_mapping!R445</f>
        <v>-</v>
      </c>
      <c r="R445" t="str">
        <f>Lcode_mapping!S445</f>
        <v>-</v>
      </c>
      <c r="S445" t="str">
        <f>Lcode_mapping!T445</f>
        <v>-</v>
      </c>
      <c r="T445" t="str">
        <f>Lcode_mapping!U445</f>
        <v>-</v>
      </c>
      <c r="U445" t="str">
        <f>Lcode_mapping!V445</f>
        <v>-</v>
      </c>
      <c r="V445" t="str">
        <f>Lcode_mapping!W445</f>
        <v>-</v>
      </c>
    </row>
    <row r="446" spans="1:22" ht="15" customHeight="1" x14ac:dyDescent="0.25">
      <c r="A446">
        <f>Lcode_mapping!A446</f>
        <v>23</v>
      </c>
      <c r="B446">
        <f>Lcode_mapping!B446</f>
        <v>1</v>
      </c>
      <c r="C446" t="str">
        <f>Lcode_mapping!D446</f>
        <v>BARONAME</v>
      </c>
      <c r="D446">
        <f>Lcode_mapping!E446</f>
        <v>4</v>
      </c>
      <c r="E446">
        <f>Lcode_mapping!F446</f>
        <v>1</v>
      </c>
      <c r="F446">
        <f>Lcode_mapping!G446</f>
        <v>1</v>
      </c>
      <c r="G446" t="str">
        <f>Lcode_mapping!H446</f>
        <v>A</v>
      </c>
      <c r="H446">
        <f>Lcode_mapping!I446</f>
        <v>3</v>
      </c>
      <c r="I446" t="str">
        <f>Lcode_mapping!J446</f>
        <v>Names for barometer calibrations</v>
      </c>
      <c r="J446" t="str">
        <f>Lcode_mapping!K446</f>
        <v>Session</v>
      </c>
      <c r="K446" t="str">
        <f>Lcode_mapping!L446</f>
        <v>-</v>
      </c>
      <c r="L446" t="str">
        <f>Lcode_mapping!M446</f>
        <v>I</v>
      </c>
      <c r="M446" t="str">
        <f>Lcode_mapping!N446</f>
        <v>-</v>
      </c>
      <c r="N446" t="str">
        <f>Lcode_mapping!O446</f>
        <v>OBSOLETE</v>
      </c>
      <c r="O446" t="str">
        <f>Lcode_mapping!P446</f>
        <v>-</v>
      </c>
      <c r="P446" t="str">
        <f>Lcode_mapping!Q446</f>
        <v>-</v>
      </c>
      <c r="Q446" t="str">
        <f>Lcode_mapping!R446</f>
        <v>-</v>
      </c>
      <c r="R446" t="str">
        <f>Lcode_mapping!S446</f>
        <v>-</v>
      </c>
      <c r="S446" t="str">
        <f>Lcode_mapping!T446</f>
        <v>-</v>
      </c>
      <c r="T446" t="str">
        <f>Lcode_mapping!U446</f>
        <v>-</v>
      </c>
      <c r="U446" t="str">
        <f>Lcode_mapping!V446</f>
        <v>-</v>
      </c>
      <c r="V446" t="str">
        <f>Lcode_mapping!W446</f>
        <v>-</v>
      </c>
    </row>
    <row r="447" spans="1:22" ht="15" customHeight="1" x14ac:dyDescent="0.25">
      <c r="A447">
        <f>Lcode_mapping!A447</f>
        <v>24</v>
      </c>
      <c r="B447">
        <f>Lcode_mapping!B447</f>
        <v>1</v>
      </c>
      <c r="C447" t="str">
        <f>Lcode_mapping!D447</f>
        <v>BATCHCNT</v>
      </c>
      <c r="D447">
        <f>Lcode_mapping!E447</f>
        <v>2</v>
      </c>
      <c r="E447">
        <f>Lcode_mapping!F447</f>
        <v>1</v>
      </c>
      <c r="F447">
        <f>Lcode_mapping!G447</f>
        <v>1</v>
      </c>
      <c r="G447" t="str">
        <f>Lcode_mapping!H447</f>
        <v>A</v>
      </c>
      <c r="H447">
        <f>Lcode_mapping!I447</f>
        <v>4</v>
      </c>
      <c r="I447" t="str">
        <f>Lcode_mapping!J447</f>
        <v>Batchmode parms use flag.</v>
      </c>
      <c r="J447" t="str">
        <f>Lcode_mapping!K447</f>
        <v>Session</v>
      </c>
      <c r="K447" t="str">
        <f>Lcode_mapping!L447</f>
        <v>calc/solve</v>
      </c>
      <c r="L447" t="str">
        <f>Lcode_mapping!M447</f>
        <v>I</v>
      </c>
      <c r="M447" t="str">
        <f>Lcode_mapping!N447</f>
        <v>-</v>
      </c>
      <c r="N447" t="str">
        <f>Lcode_mapping!O447</f>
        <v>OBSOLETE</v>
      </c>
      <c r="O447" t="str">
        <f>Lcode_mapping!P447</f>
        <v>-</v>
      </c>
      <c r="P447" t="str">
        <f>Lcode_mapping!Q447</f>
        <v>-</v>
      </c>
      <c r="Q447" t="str">
        <f>Lcode_mapping!R447</f>
        <v>-</v>
      </c>
      <c r="R447" t="str">
        <f>Lcode_mapping!S447</f>
        <v>-</v>
      </c>
      <c r="S447" t="str">
        <f>Lcode_mapping!T447</f>
        <v>List of baseline dependent clocks</v>
      </c>
      <c r="T447" t="str">
        <f>Lcode_mapping!U447</f>
        <v>-</v>
      </c>
      <c r="U447" t="str">
        <f>Lcode_mapping!V447</f>
        <v>-</v>
      </c>
      <c r="V447" t="str">
        <f>Lcode_mapping!W447</f>
        <v>-</v>
      </c>
    </row>
    <row r="448" spans="1:22" ht="15" customHeight="1" x14ac:dyDescent="0.25">
      <c r="A448">
        <f>Lcode_mapping!A448</f>
        <v>25</v>
      </c>
      <c r="B448">
        <f>Lcode_mapping!B448</f>
        <v>1</v>
      </c>
      <c r="C448" t="str">
        <f>Lcode_mapping!D448</f>
        <v>CLCKEP 3</v>
      </c>
      <c r="D448">
        <f>Lcode_mapping!E448</f>
        <v>2</v>
      </c>
      <c r="E448">
        <f>Lcode_mapping!F448</f>
        <v>1</v>
      </c>
      <c r="F448">
        <f>Lcode_mapping!G448</f>
        <v>1</v>
      </c>
      <c r="G448" t="str">
        <f>Lcode_mapping!H448</f>
        <v>R</v>
      </c>
      <c r="H448">
        <f>Lcode_mapping!I448</f>
        <v>1</v>
      </c>
      <c r="I448" t="str">
        <f>Lcode_mapping!J448</f>
        <v>Clock epochs (JD,fraction)</v>
      </c>
      <c r="J448" t="str">
        <f>Lcode_mapping!K448</f>
        <v>Session</v>
      </c>
      <c r="K448" t="str">
        <f>Lcode_mapping!L448</f>
        <v>obsolete</v>
      </c>
      <c r="L448" t="str">
        <f>Lcode_mapping!M448</f>
        <v>I</v>
      </c>
      <c r="M448" t="str">
        <f>Lcode_mapping!N448</f>
        <v>-</v>
      </c>
      <c r="N448" t="str">
        <f>Lcode_mapping!O448</f>
        <v>OBSOLETE</v>
      </c>
      <c r="O448" t="str">
        <f>Lcode_mapping!P448</f>
        <v>-</v>
      </c>
      <c r="P448" t="str">
        <f>Lcode_mapping!Q448</f>
        <v>-</v>
      </c>
      <c r="Q448" t="str">
        <f>Lcode_mapping!R448</f>
        <v>-</v>
      </c>
      <c r="R448" t="str">
        <f>Lcode_mapping!S448</f>
        <v>-</v>
      </c>
      <c r="S448" t="str">
        <f>Lcode_mapping!T448</f>
        <v>-</v>
      </c>
      <c r="T448" t="str">
        <f>Lcode_mapping!U448</f>
        <v>-</v>
      </c>
      <c r="U448" t="str">
        <f>Lcode_mapping!V448</f>
        <v>-</v>
      </c>
      <c r="V448" t="str">
        <f>Lcode_mapping!W448</f>
        <v>-</v>
      </c>
    </row>
    <row r="449" spans="1:22" ht="15" customHeight="1" x14ac:dyDescent="0.25">
      <c r="A449">
        <f>Lcode_mapping!A449</f>
        <v>26</v>
      </c>
      <c r="B449">
        <f>Lcode_mapping!B449</f>
        <v>1</v>
      </c>
      <c r="C449" t="str">
        <f>Lcode_mapping!D449</f>
        <v>CLCKEP 4</v>
      </c>
      <c r="D449">
        <f>Lcode_mapping!E449</f>
        <v>2</v>
      </c>
      <c r="E449">
        <f>Lcode_mapping!F449</f>
        <v>2</v>
      </c>
      <c r="F449">
        <f>Lcode_mapping!G449</f>
        <v>1</v>
      </c>
      <c r="G449" t="str">
        <f>Lcode_mapping!H449</f>
        <v>R</v>
      </c>
      <c r="H449">
        <f>Lcode_mapping!I449</f>
        <v>1</v>
      </c>
      <c r="I449" t="str">
        <f>Lcode_mapping!J449</f>
        <v>Clock epochs (JD,fraction)</v>
      </c>
      <c r="J449" t="str">
        <f>Lcode_mapping!K449</f>
        <v>Session</v>
      </c>
      <c r="K449" t="str">
        <f>Lcode_mapping!L449</f>
        <v>obsolete</v>
      </c>
      <c r="L449" t="str">
        <f>Lcode_mapping!M449</f>
        <v>I</v>
      </c>
      <c r="M449" t="str">
        <f>Lcode_mapping!N449</f>
        <v>-</v>
      </c>
      <c r="N449" t="str">
        <f>Lcode_mapping!O449</f>
        <v>OBSOLETE</v>
      </c>
      <c r="O449" t="str">
        <f>Lcode_mapping!P449</f>
        <v>-</v>
      </c>
      <c r="P449" t="str">
        <f>Lcode_mapping!Q449</f>
        <v>-</v>
      </c>
      <c r="Q449" t="str">
        <f>Lcode_mapping!R449</f>
        <v>-</v>
      </c>
      <c r="R449" t="str">
        <f>Lcode_mapping!S449</f>
        <v>-</v>
      </c>
      <c r="S449" t="str">
        <f>Lcode_mapping!T449</f>
        <v>-</v>
      </c>
      <c r="T449" t="str">
        <f>Lcode_mapping!U449</f>
        <v>-</v>
      </c>
      <c r="U449" t="str">
        <f>Lcode_mapping!V449</f>
        <v>-</v>
      </c>
      <c r="V449" t="str">
        <f>Lcode_mapping!W449</f>
        <v>-</v>
      </c>
    </row>
    <row r="450" spans="1:22" ht="15" customHeight="1" x14ac:dyDescent="0.25">
      <c r="A450">
        <f>Lcode_mapping!A450</f>
        <v>27</v>
      </c>
      <c r="B450">
        <f>Lcode_mapping!B450</f>
        <v>1</v>
      </c>
      <c r="C450" t="str">
        <f>Lcode_mapping!D450</f>
        <v>CLCKEP 5</v>
      </c>
      <c r="D450">
        <f>Lcode_mapping!E450</f>
        <v>2</v>
      </c>
      <c r="E450">
        <f>Lcode_mapping!F450</f>
        <v>1</v>
      </c>
      <c r="F450">
        <f>Lcode_mapping!G450</f>
        <v>1</v>
      </c>
      <c r="G450" t="str">
        <f>Lcode_mapping!H450</f>
        <v>R</v>
      </c>
      <c r="H450">
        <f>Lcode_mapping!I450</f>
        <v>1</v>
      </c>
      <c r="I450" t="str">
        <f>Lcode_mapping!J450</f>
        <v>Clock epochs (JD,fraction)</v>
      </c>
      <c r="J450" t="str">
        <f>Lcode_mapping!K450</f>
        <v>Session</v>
      </c>
      <c r="K450" t="str">
        <f>Lcode_mapping!L450</f>
        <v>obsolete</v>
      </c>
      <c r="L450" t="str">
        <f>Lcode_mapping!M450</f>
        <v>I</v>
      </c>
      <c r="M450" t="str">
        <f>Lcode_mapping!N450</f>
        <v>-</v>
      </c>
      <c r="N450" t="str">
        <f>Lcode_mapping!O450</f>
        <v>OBSOLETE</v>
      </c>
      <c r="O450" t="str">
        <f>Lcode_mapping!P450</f>
        <v>-</v>
      </c>
      <c r="P450" t="str">
        <f>Lcode_mapping!Q450</f>
        <v>-</v>
      </c>
      <c r="Q450" t="str">
        <f>Lcode_mapping!R450</f>
        <v>-</v>
      </c>
      <c r="R450" t="str">
        <f>Lcode_mapping!S450</f>
        <v>-</v>
      </c>
      <c r="S450" t="str">
        <f>Lcode_mapping!T450</f>
        <v>-</v>
      </c>
      <c r="T450" t="str">
        <f>Lcode_mapping!U450</f>
        <v>-</v>
      </c>
      <c r="U450" t="str">
        <f>Lcode_mapping!V450</f>
        <v>-</v>
      </c>
      <c r="V450" t="str">
        <f>Lcode_mapping!W450</f>
        <v>-</v>
      </c>
    </row>
    <row r="451" spans="1:22" ht="15" customHeight="1" x14ac:dyDescent="0.25">
      <c r="A451">
        <f>Lcode_mapping!A451</f>
        <v>28</v>
      </c>
      <c r="B451">
        <f>Lcode_mapping!B451</f>
        <v>1</v>
      </c>
      <c r="C451" t="str">
        <f>Lcode_mapping!D451</f>
        <v>CLCKEP 6</v>
      </c>
      <c r="D451">
        <f>Lcode_mapping!E451</f>
        <v>2</v>
      </c>
      <c r="E451">
        <f>Lcode_mapping!F451</f>
        <v>1</v>
      </c>
      <c r="F451">
        <f>Lcode_mapping!G451</f>
        <v>1</v>
      </c>
      <c r="G451" t="str">
        <f>Lcode_mapping!H451</f>
        <v>R</v>
      </c>
      <c r="H451">
        <f>Lcode_mapping!I451</f>
        <v>1</v>
      </c>
      <c r="I451" t="str">
        <f>Lcode_mapping!J451</f>
        <v>Clock epochs (JD,fraction)</v>
      </c>
      <c r="J451" t="str">
        <f>Lcode_mapping!K451</f>
        <v>Session</v>
      </c>
      <c r="K451" t="str">
        <f>Lcode_mapping!L451</f>
        <v>obsolete</v>
      </c>
      <c r="L451" t="str">
        <f>Lcode_mapping!M451</f>
        <v>I</v>
      </c>
      <c r="M451" t="str">
        <f>Lcode_mapping!N451</f>
        <v>-</v>
      </c>
      <c r="N451" t="str">
        <f>Lcode_mapping!O451</f>
        <v>OBSOLETE</v>
      </c>
      <c r="O451" t="str">
        <f>Lcode_mapping!P451</f>
        <v>-</v>
      </c>
      <c r="P451" t="str">
        <f>Lcode_mapping!Q451</f>
        <v>-</v>
      </c>
      <c r="Q451" t="str">
        <f>Lcode_mapping!R451</f>
        <v>-</v>
      </c>
      <c r="R451" t="str">
        <f>Lcode_mapping!S451</f>
        <v>-</v>
      </c>
      <c r="S451" t="str">
        <f>Lcode_mapping!T451</f>
        <v>-</v>
      </c>
      <c r="T451" t="str">
        <f>Lcode_mapping!U451</f>
        <v>-</v>
      </c>
      <c r="U451" t="str">
        <f>Lcode_mapping!V451</f>
        <v>-</v>
      </c>
      <c r="V451" t="str">
        <f>Lcode_mapping!W451</f>
        <v>-</v>
      </c>
    </row>
    <row r="452" spans="1:22" ht="15" customHeight="1" x14ac:dyDescent="0.25">
      <c r="A452">
        <f>Lcode_mapping!A452</f>
        <v>29</v>
      </c>
      <c r="B452">
        <f>Lcode_mapping!B452</f>
        <v>1</v>
      </c>
      <c r="C452" t="str">
        <f>Lcode_mapping!D452</f>
        <v>CLCKEP 7</v>
      </c>
      <c r="D452">
        <f>Lcode_mapping!E452</f>
        <v>2</v>
      </c>
      <c r="E452">
        <f>Lcode_mapping!F452</f>
        <v>1</v>
      </c>
      <c r="F452">
        <f>Lcode_mapping!G452</f>
        <v>1</v>
      </c>
      <c r="G452" t="str">
        <f>Lcode_mapping!H452</f>
        <v>R</v>
      </c>
      <c r="H452">
        <f>Lcode_mapping!I452</f>
        <v>1</v>
      </c>
      <c r="I452" t="str">
        <f>Lcode_mapping!J452</f>
        <v>Clock epochs (JD,fraction)</v>
      </c>
      <c r="J452" t="str">
        <f>Lcode_mapping!K452</f>
        <v>Session</v>
      </c>
      <c r="K452" t="str">
        <f>Lcode_mapping!L452</f>
        <v>obsolete</v>
      </c>
      <c r="L452" t="str">
        <f>Lcode_mapping!M452</f>
        <v>I</v>
      </c>
      <c r="M452" t="str">
        <f>Lcode_mapping!N452</f>
        <v>-</v>
      </c>
      <c r="N452" t="str">
        <f>Lcode_mapping!O452</f>
        <v>OBSOLETE</v>
      </c>
      <c r="O452" t="str">
        <f>Lcode_mapping!P452</f>
        <v>-</v>
      </c>
      <c r="P452" t="str">
        <f>Lcode_mapping!Q452</f>
        <v>-</v>
      </c>
      <c r="Q452" t="str">
        <f>Lcode_mapping!R452</f>
        <v>-</v>
      </c>
      <c r="R452" t="str">
        <f>Lcode_mapping!S452</f>
        <v>-</v>
      </c>
      <c r="S452" t="str">
        <f>Lcode_mapping!T452</f>
        <v>-</v>
      </c>
      <c r="T452" t="str">
        <f>Lcode_mapping!U452</f>
        <v>-</v>
      </c>
      <c r="U452" t="str">
        <f>Lcode_mapping!V452</f>
        <v>-</v>
      </c>
      <c r="V452" t="str">
        <f>Lcode_mapping!W452</f>
        <v>-</v>
      </c>
    </row>
    <row r="453" spans="1:22" ht="15" customHeight="1" x14ac:dyDescent="0.25">
      <c r="A453">
        <f>Lcode_mapping!A453</f>
        <v>30</v>
      </c>
      <c r="B453">
        <f>Lcode_mapping!B453</f>
        <v>1</v>
      </c>
      <c r="C453" t="str">
        <f>Lcode_mapping!D453</f>
        <v>CLCKEP 8</v>
      </c>
      <c r="D453">
        <f>Lcode_mapping!E453</f>
        <v>2</v>
      </c>
      <c r="E453">
        <f>Lcode_mapping!F453</f>
        <v>1</v>
      </c>
      <c r="F453">
        <f>Lcode_mapping!G453</f>
        <v>1</v>
      </c>
      <c r="G453" t="str">
        <f>Lcode_mapping!H453</f>
        <v>R</v>
      </c>
      <c r="H453">
        <f>Lcode_mapping!I453</f>
        <v>1</v>
      </c>
      <c r="I453" t="str">
        <f>Lcode_mapping!J453</f>
        <v>Clock epochs (JD,fraction)</v>
      </c>
      <c r="J453" t="str">
        <f>Lcode_mapping!K453</f>
        <v>Session</v>
      </c>
      <c r="K453" t="str">
        <f>Lcode_mapping!L453</f>
        <v>obsolete</v>
      </c>
      <c r="L453" t="str">
        <f>Lcode_mapping!M453</f>
        <v>I</v>
      </c>
      <c r="M453" t="str">
        <f>Lcode_mapping!N453</f>
        <v>-</v>
      </c>
      <c r="N453" t="str">
        <f>Lcode_mapping!O453</f>
        <v>OBSOLETE</v>
      </c>
      <c r="O453" t="str">
        <f>Lcode_mapping!P453</f>
        <v>-</v>
      </c>
      <c r="P453" t="str">
        <f>Lcode_mapping!Q453</f>
        <v>-</v>
      </c>
      <c r="Q453" t="str">
        <f>Lcode_mapping!R453</f>
        <v>-</v>
      </c>
      <c r="R453" t="str">
        <f>Lcode_mapping!S453</f>
        <v>-</v>
      </c>
      <c r="S453" t="str">
        <f>Lcode_mapping!T453</f>
        <v>-</v>
      </c>
      <c r="T453" t="str">
        <f>Lcode_mapping!U453</f>
        <v>-</v>
      </c>
      <c r="U453" t="str">
        <f>Lcode_mapping!V453</f>
        <v>-</v>
      </c>
      <c r="V453" t="str">
        <f>Lcode_mapping!W453</f>
        <v>-</v>
      </c>
    </row>
    <row r="454" spans="1:22" ht="15" customHeight="1" x14ac:dyDescent="0.25">
      <c r="A454">
        <f>Lcode_mapping!A454</f>
        <v>31</v>
      </c>
      <c r="B454">
        <f>Lcode_mapping!B454</f>
        <v>1</v>
      </c>
      <c r="C454" t="str">
        <f>Lcode_mapping!D454</f>
        <v>CLCKFL 3</v>
      </c>
      <c r="D454">
        <f>Lcode_mapping!E454</f>
        <v>1</v>
      </c>
      <c r="E454">
        <f>Lcode_mapping!F454</f>
        <v>1</v>
      </c>
      <c r="F454">
        <f>Lcode_mapping!G454</f>
        <v>1</v>
      </c>
      <c r="G454" t="str">
        <f>Lcode_mapping!H454</f>
        <v>I</v>
      </c>
      <c r="H454">
        <f>Lcode_mapping!I454</f>
        <v>2</v>
      </c>
      <c r="I454" t="str">
        <f>Lcode_mapping!J454</f>
        <v>List of clock flags</v>
      </c>
      <c r="J454" t="str">
        <f>Lcode_mapping!K454</f>
        <v>Session</v>
      </c>
      <c r="K454" t="str">
        <f>Lcode_mapping!L454</f>
        <v>obsolete</v>
      </c>
      <c r="L454" t="str">
        <f>Lcode_mapping!M454</f>
        <v>I</v>
      </c>
      <c r="M454" t="str">
        <f>Lcode_mapping!N454</f>
        <v>-</v>
      </c>
      <c r="N454" t="str">
        <f>Lcode_mapping!O454</f>
        <v>OBSOLETE</v>
      </c>
      <c r="O454" t="str">
        <f>Lcode_mapping!P454</f>
        <v>-</v>
      </c>
      <c r="P454" t="str">
        <f>Lcode_mapping!Q454</f>
        <v>-</v>
      </c>
      <c r="Q454" t="str">
        <f>Lcode_mapping!R454</f>
        <v>-</v>
      </c>
      <c r="R454" t="str">
        <f>Lcode_mapping!S454</f>
        <v>-</v>
      </c>
      <c r="S454" t="str">
        <f>Lcode_mapping!T454</f>
        <v>-</v>
      </c>
      <c r="T454" t="str">
        <f>Lcode_mapping!U454</f>
        <v>-</v>
      </c>
      <c r="U454" t="str">
        <f>Lcode_mapping!V454</f>
        <v>-</v>
      </c>
      <c r="V454" t="str">
        <f>Lcode_mapping!W454</f>
        <v>-</v>
      </c>
    </row>
    <row r="455" spans="1:22" ht="15" customHeight="1" x14ac:dyDescent="0.25">
      <c r="A455">
        <f>Lcode_mapping!A455</f>
        <v>32</v>
      </c>
      <c r="B455">
        <f>Lcode_mapping!B455</f>
        <v>1</v>
      </c>
      <c r="C455" t="str">
        <f>Lcode_mapping!D455</f>
        <v>CLCKFL 4</v>
      </c>
      <c r="D455">
        <f>Lcode_mapping!E455</f>
        <v>2</v>
      </c>
      <c r="E455">
        <f>Lcode_mapping!F455</f>
        <v>1</v>
      </c>
      <c r="F455">
        <f>Lcode_mapping!G455</f>
        <v>1</v>
      </c>
      <c r="G455" t="str">
        <f>Lcode_mapping!H455</f>
        <v>I</v>
      </c>
      <c r="H455">
        <f>Lcode_mapping!I455</f>
        <v>2</v>
      </c>
      <c r="I455" t="str">
        <f>Lcode_mapping!J455</f>
        <v>List of clock flags</v>
      </c>
      <c r="J455" t="str">
        <f>Lcode_mapping!K455</f>
        <v>Session</v>
      </c>
      <c r="K455" t="str">
        <f>Lcode_mapping!L455</f>
        <v>obsolete</v>
      </c>
      <c r="L455" t="str">
        <f>Lcode_mapping!M455</f>
        <v>I</v>
      </c>
      <c r="M455" t="str">
        <f>Lcode_mapping!N455</f>
        <v>-</v>
      </c>
      <c r="N455" t="str">
        <f>Lcode_mapping!O455</f>
        <v>OBSOLETE</v>
      </c>
      <c r="O455" t="str">
        <f>Lcode_mapping!P455</f>
        <v>-</v>
      </c>
      <c r="P455" t="str">
        <f>Lcode_mapping!Q455</f>
        <v>-</v>
      </c>
      <c r="Q455" t="str">
        <f>Lcode_mapping!R455</f>
        <v>-</v>
      </c>
      <c r="R455" t="str">
        <f>Lcode_mapping!S455</f>
        <v>-</v>
      </c>
      <c r="S455" t="str">
        <f>Lcode_mapping!T455</f>
        <v>-</v>
      </c>
      <c r="T455" t="str">
        <f>Lcode_mapping!U455</f>
        <v>-</v>
      </c>
      <c r="U455" t="str">
        <f>Lcode_mapping!V455</f>
        <v>-</v>
      </c>
      <c r="V455" t="str">
        <f>Lcode_mapping!W455</f>
        <v>-</v>
      </c>
    </row>
    <row r="456" spans="1:22" ht="15" customHeight="1" x14ac:dyDescent="0.25">
      <c r="A456">
        <f>Lcode_mapping!A456</f>
        <v>33</v>
      </c>
      <c r="B456">
        <f>Lcode_mapping!B456</f>
        <v>1</v>
      </c>
      <c r="C456" t="str">
        <f>Lcode_mapping!D456</f>
        <v>CLCKFL 5</v>
      </c>
      <c r="D456">
        <f>Lcode_mapping!E456</f>
        <v>1</v>
      </c>
      <c r="E456">
        <f>Lcode_mapping!F456</f>
        <v>1</v>
      </c>
      <c r="F456">
        <f>Lcode_mapping!G456</f>
        <v>1</v>
      </c>
      <c r="G456" t="str">
        <f>Lcode_mapping!H456</f>
        <v>I</v>
      </c>
      <c r="H456">
        <f>Lcode_mapping!I456</f>
        <v>2</v>
      </c>
      <c r="I456" t="str">
        <f>Lcode_mapping!J456</f>
        <v>List of clock flags</v>
      </c>
      <c r="J456" t="str">
        <f>Lcode_mapping!K456</f>
        <v>Session</v>
      </c>
      <c r="K456" t="str">
        <f>Lcode_mapping!L456</f>
        <v>obsolete</v>
      </c>
      <c r="L456" t="str">
        <f>Lcode_mapping!M456</f>
        <v>I</v>
      </c>
      <c r="M456" t="str">
        <f>Lcode_mapping!N456</f>
        <v>-</v>
      </c>
      <c r="N456" t="str">
        <f>Lcode_mapping!O456</f>
        <v>OBSOLETE</v>
      </c>
      <c r="O456" t="str">
        <f>Lcode_mapping!P456</f>
        <v>-</v>
      </c>
      <c r="P456" t="str">
        <f>Lcode_mapping!Q456</f>
        <v>-</v>
      </c>
      <c r="Q456" t="str">
        <f>Lcode_mapping!R456</f>
        <v>-</v>
      </c>
      <c r="R456" t="str">
        <f>Lcode_mapping!S456</f>
        <v>-</v>
      </c>
      <c r="S456" t="str">
        <f>Lcode_mapping!T456</f>
        <v>-</v>
      </c>
      <c r="T456" t="str">
        <f>Lcode_mapping!U456</f>
        <v>-</v>
      </c>
      <c r="U456" t="str">
        <f>Lcode_mapping!V456</f>
        <v>-</v>
      </c>
      <c r="V456" t="str">
        <f>Lcode_mapping!W456</f>
        <v>-</v>
      </c>
    </row>
    <row r="457" spans="1:22" ht="15" customHeight="1" x14ac:dyDescent="0.25">
      <c r="A457">
        <f>Lcode_mapping!A457</f>
        <v>34</v>
      </c>
      <c r="B457">
        <f>Lcode_mapping!B457</f>
        <v>1</v>
      </c>
      <c r="C457" t="str">
        <f>Lcode_mapping!D457</f>
        <v>CLCKFL 6</v>
      </c>
      <c r="D457">
        <f>Lcode_mapping!E457</f>
        <v>1</v>
      </c>
      <c r="E457">
        <f>Lcode_mapping!F457</f>
        <v>1</v>
      </c>
      <c r="F457">
        <f>Lcode_mapping!G457</f>
        <v>1</v>
      </c>
      <c r="G457" t="str">
        <f>Lcode_mapping!H457</f>
        <v>I</v>
      </c>
      <c r="H457">
        <f>Lcode_mapping!I457</f>
        <v>2</v>
      </c>
      <c r="I457" t="str">
        <f>Lcode_mapping!J457</f>
        <v>List of clock flags</v>
      </c>
      <c r="J457" t="str">
        <f>Lcode_mapping!K457</f>
        <v>Session</v>
      </c>
      <c r="K457" t="str">
        <f>Lcode_mapping!L457</f>
        <v>obsolete</v>
      </c>
      <c r="L457" t="str">
        <f>Lcode_mapping!M457</f>
        <v>I</v>
      </c>
      <c r="M457" t="str">
        <f>Lcode_mapping!N457</f>
        <v>-</v>
      </c>
      <c r="N457" t="str">
        <f>Lcode_mapping!O457</f>
        <v>OBSOLETE</v>
      </c>
      <c r="O457" t="str">
        <f>Lcode_mapping!P457</f>
        <v>-</v>
      </c>
      <c r="P457" t="str">
        <f>Lcode_mapping!Q457</f>
        <v>-</v>
      </c>
      <c r="Q457" t="str">
        <f>Lcode_mapping!R457</f>
        <v>-</v>
      </c>
      <c r="R457" t="str">
        <f>Lcode_mapping!S457</f>
        <v>-</v>
      </c>
      <c r="S457" t="str">
        <f>Lcode_mapping!T457</f>
        <v>-</v>
      </c>
      <c r="T457" t="str">
        <f>Lcode_mapping!U457</f>
        <v>-</v>
      </c>
      <c r="U457" t="str">
        <f>Lcode_mapping!V457</f>
        <v>-</v>
      </c>
      <c r="V457" t="str">
        <f>Lcode_mapping!W457</f>
        <v>-</v>
      </c>
    </row>
    <row r="458" spans="1:22" ht="15" customHeight="1" x14ac:dyDescent="0.25">
      <c r="A458">
        <f>Lcode_mapping!A458</f>
        <v>35</v>
      </c>
      <c r="B458">
        <f>Lcode_mapping!B458</f>
        <v>1</v>
      </c>
      <c r="C458" t="str">
        <f>Lcode_mapping!D458</f>
        <v>CLCKFL 7</v>
      </c>
      <c r="D458">
        <f>Lcode_mapping!E458</f>
        <v>1</v>
      </c>
      <c r="E458">
        <f>Lcode_mapping!F458</f>
        <v>1</v>
      </c>
      <c r="F458">
        <f>Lcode_mapping!G458</f>
        <v>1</v>
      </c>
      <c r="G458" t="str">
        <f>Lcode_mapping!H458</f>
        <v>I</v>
      </c>
      <c r="H458">
        <f>Lcode_mapping!I458</f>
        <v>2</v>
      </c>
      <c r="I458" t="str">
        <f>Lcode_mapping!J458</f>
        <v>List of clock flags</v>
      </c>
      <c r="J458" t="str">
        <f>Lcode_mapping!K458</f>
        <v>Session</v>
      </c>
      <c r="K458" t="str">
        <f>Lcode_mapping!L458</f>
        <v>obsolete</v>
      </c>
      <c r="L458" t="str">
        <f>Lcode_mapping!M458</f>
        <v>I</v>
      </c>
      <c r="M458" t="str">
        <f>Lcode_mapping!N458</f>
        <v>-</v>
      </c>
      <c r="N458" t="str">
        <f>Lcode_mapping!O458</f>
        <v>OBSOLETE</v>
      </c>
      <c r="O458" t="str">
        <f>Lcode_mapping!P458</f>
        <v>-</v>
      </c>
      <c r="P458" t="str">
        <f>Lcode_mapping!Q458</f>
        <v>-</v>
      </c>
      <c r="Q458" t="str">
        <f>Lcode_mapping!R458</f>
        <v>-</v>
      </c>
      <c r="R458" t="str">
        <f>Lcode_mapping!S458</f>
        <v>-</v>
      </c>
      <c r="S458" t="str">
        <f>Lcode_mapping!T458</f>
        <v>-</v>
      </c>
      <c r="T458" t="str">
        <f>Lcode_mapping!U458</f>
        <v>-</v>
      </c>
      <c r="U458" t="str">
        <f>Lcode_mapping!V458</f>
        <v>-</v>
      </c>
      <c r="V458" t="str">
        <f>Lcode_mapping!W458</f>
        <v>-</v>
      </c>
    </row>
    <row r="459" spans="1:22" ht="15" customHeight="1" x14ac:dyDescent="0.25">
      <c r="A459">
        <f>Lcode_mapping!A459</f>
        <v>36</v>
      </c>
      <c r="B459">
        <f>Lcode_mapping!B459</f>
        <v>1</v>
      </c>
      <c r="C459" t="str">
        <f>Lcode_mapping!D459</f>
        <v>CLCKFL 8</v>
      </c>
      <c r="D459">
        <f>Lcode_mapping!E459</f>
        <v>1</v>
      </c>
      <c r="E459">
        <f>Lcode_mapping!F459</f>
        <v>1</v>
      </c>
      <c r="F459">
        <f>Lcode_mapping!G459</f>
        <v>1</v>
      </c>
      <c r="G459" t="str">
        <f>Lcode_mapping!H459</f>
        <v>I</v>
      </c>
      <c r="H459">
        <f>Lcode_mapping!I459</f>
        <v>2</v>
      </c>
      <c r="I459" t="str">
        <f>Lcode_mapping!J459</f>
        <v>List of clock flags</v>
      </c>
      <c r="J459" t="str">
        <f>Lcode_mapping!K459</f>
        <v>Session</v>
      </c>
      <c r="K459" t="str">
        <f>Lcode_mapping!L459</f>
        <v>obsolete</v>
      </c>
      <c r="L459" t="str">
        <f>Lcode_mapping!M459</f>
        <v>I</v>
      </c>
      <c r="M459" t="str">
        <f>Lcode_mapping!N459</f>
        <v>-</v>
      </c>
      <c r="N459" t="str">
        <f>Lcode_mapping!O459</f>
        <v>OBSOLETE</v>
      </c>
      <c r="O459" t="str">
        <f>Lcode_mapping!P459</f>
        <v>-</v>
      </c>
      <c r="P459" t="str">
        <f>Lcode_mapping!Q459</f>
        <v>-</v>
      </c>
      <c r="Q459" t="str">
        <f>Lcode_mapping!R459</f>
        <v>-</v>
      </c>
      <c r="R459" t="str">
        <f>Lcode_mapping!S459</f>
        <v>-</v>
      </c>
      <c r="S459" t="str">
        <f>Lcode_mapping!T459</f>
        <v>-</v>
      </c>
      <c r="T459" t="str">
        <f>Lcode_mapping!U459</f>
        <v>-</v>
      </c>
      <c r="U459" t="str">
        <f>Lcode_mapping!V459</f>
        <v>-</v>
      </c>
      <c r="V459" t="str">
        <f>Lcode_mapping!W459</f>
        <v>-</v>
      </c>
    </row>
    <row r="460" spans="1:22" ht="15" customHeight="1" x14ac:dyDescent="0.25">
      <c r="A460">
        <f>Lcode_mapping!A460</f>
        <v>39</v>
      </c>
      <c r="B460">
        <f>Lcode_mapping!B460</f>
        <v>1</v>
      </c>
      <c r="C460" t="str">
        <f>Lcode_mapping!D460</f>
        <v>DELTFLAG</v>
      </c>
      <c r="D460">
        <f>Lcode_mapping!E460</f>
        <v>1</v>
      </c>
      <c r="E460">
        <f>Lcode_mapping!F460</f>
        <v>1</v>
      </c>
      <c r="F460">
        <f>Lcode_mapping!G460</f>
        <v>1</v>
      </c>
      <c r="G460" t="str">
        <f>Lcode_mapping!H460</f>
        <v>I</v>
      </c>
      <c r="H460">
        <f>Lcode_mapping!I460</f>
        <v>0</v>
      </c>
      <c r="I460" t="str">
        <f>Lcode_mapping!J460</f>
        <v xml:space="preserve">Delay type  1=grp  2=phs. </v>
      </c>
      <c r="J460" t="str">
        <f>Lcode_mapping!K460</f>
        <v>Session</v>
      </c>
      <c r="K460" t="str">
        <f>Lcode_mapping!L460</f>
        <v>-</v>
      </c>
      <c r="L460" t="str">
        <f>Lcode_mapping!M460</f>
        <v>i</v>
      </c>
      <c r="M460" t="str">
        <f>Lcode_mapping!N460</f>
        <v>-</v>
      </c>
      <c r="N460" t="str">
        <f>Lcode_mapping!O460</f>
        <v>OBSOLETE</v>
      </c>
      <c r="O460" t="str">
        <f>Lcode_mapping!P460</f>
        <v>-</v>
      </c>
      <c r="P460" t="str">
        <f>Lcode_mapping!Q460</f>
        <v>-</v>
      </c>
      <c r="Q460" t="str">
        <f>Lcode_mapping!R460</f>
        <v>-</v>
      </c>
      <c r="R460" t="str">
        <f>Lcode_mapping!S460</f>
        <v>-</v>
      </c>
      <c r="S460" t="str">
        <f>Lcode_mapping!T460</f>
        <v>-</v>
      </c>
      <c r="T460" t="str">
        <f>Lcode_mapping!U460</f>
        <v>-</v>
      </c>
      <c r="U460" t="str">
        <f>Lcode_mapping!V460</f>
        <v>-</v>
      </c>
      <c r="V460" t="str">
        <f>Lcode_mapping!W460</f>
        <v>-</v>
      </c>
    </row>
    <row r="461" spans="1:22" ht="15" customHeight="1" x14ac:dyDescent="0.25">
      <c r="A461">
        <f>Lcode_mapping!A461</f>
        <v>41</v>
      </c>
      <c r="B461">
        <f>Lcode_mapping!B461</f>
        <v>1</v>
      </c>
      <c r="C461" t="str">
        <f>Lcode_mapping!D461</f>
        <v>DNP DATA</v>
      </c>
      <c r="D461">
        <f>Lcode_mapping!E461</f>
        <v>1</v>
      </c>
      <c r="E461">
        <f>Lcode_mapping!F461</f>
        <v>1</v>
      </c>
      <c r="F461">
        <f>Lcode_mapping!G461</f>
        <v>1</v>
      </c>
      <c r="G461" t="str">
        <f>Lcode_mapping!H461</f>
        <v>R</v>
      </c>
      <c r="H461">
        <f>Lcode_mapping!I461</f>
        <v>1</v>
      </c>
      <c r="I461" t="str">
        <f>Lcode_mapping!J461</f>
        <v>Diurnal polar motion scale fact.</v>
      </c>
      <c r="J461" t="str">
        <f>Lcode_mapping!K461</f>
        <v>Session</v>
      </c>
      <c r="K461" t="str">
        <f>Lcode_mapping!L461</f>
        <v>-</v>
      </c>
      <c r="L461" t="str">
        <f>Lcode_mapping!M461</f>
        <v>I</v>
      </c>
      <c r="M461" t="str">
        <f>Lcode_mapping!N461</f>
        <v>-</v>
      </c>
      <c r="N461" t="str">
        <f>Lcode_mapping!O461</f>
        <v>OBSOLETE</v>
      </c>
      <c r="O461" t="str">
        <f>Lcode_mapping!P461</f>
        <v>-</v>
      </c>
      <c r="P461" t="str">
        <f>Lcode_mapping!Q461</f>
        <v>-</v>
      </c>
      <c r="Q461" t="str">
        <f>Lcode_mapping!R461</f>
        <v>-</v>
      </c>
      <c r="R461" t="str">
        <f>Lcode_mapping!S461</f>
        <v>-</v>
      </c>
      <c r="S461" t="str">
        <f>Lcode_mapping!T461</f>
        <v>-</v>
      </c>
      <c r="T461" t="str">
        <f>Lcode_mapping!U461</f>
        <v>-</v>
      </c>
      <c r="U461" t="str">
        <f>Lcode_mapping!V461</f>
        <v>-</v>
      </c>
      <c r="V461" t="str">
        <f>Lcode_mapping!W461</f>
        <v>-</v>
      </c>
    </row>
    <row r="462" spans="1:22" ht="15" customHeight="1" x14ac:dyDescent="0.25">
      <c r="A462">
        <f>Lcode_mapping!A462</f>
        <v>42</v>
      </c>
      <c r="B462">
        <f>Lcode_mapping!B462</f>
        <v>1</v>
      </c>
      <c r="C462" t="str">
        <f>Lcode_mapping!D462</f>
        <v>EARTHRAD</v>
      </c>
      <c r="D462">
        <f>Lcode_mapping!E462</f>
        <v>1</v>
      </c>
      <c r="E462">
        <f>Lcode_mapping!F462</f>
        <v>1</v>
      </c>
      <c r="F462">
        <f>Lcode_mapping!G462</f>
        <v>1</v>
      </c>
      <c r="G462" t="str">
        <f>Lcode_mapping!H462</f>
        <v>R</v>
      </c>
      <c r="H462">
        <f>Lcode_mapping!I462</f>
        <v>1</v>
      </c>
      <c r="I462" t="str">
        <f>Lcode_mapping!J462</f>
        <v>Earth's equatorial radius (m).</v>
      </c>
      <c r="J462" t="str">
        <f>Lcode_mapping!K462</f>
        <v>Session</v>
      </c>
      <c r="K462" t="str">
        <f>Lcode_mapping!L462</f>
        <v>Constant</v>
      </c>
      <c r="L462" t="str">
        <f>Lcode_mapping!M462</f>
        <v>I</v>
      </c>
      <c r="M462" t="str">
        <f>Lcode_mapping!N462</f>
        <v>-</v>
      </c>
      <c r="N462" t="str">
        <f>Lcode_mapping!O462</f>
        <v>OBSOLETE</v>
      </c>
      <c r="O462" t="str">
        <f>Lcode_mapping!P462</f>
        <v>-</v>
      </c>
      <c r="P462" t="str">
        <f>Lcode_mapping!Q462</f>
        <v>-</v>
      </c>
      <c r="Q462" t="str">
        <f>Lcode_mapping!R462</f>
        <v>-</v>
      </c>
      <c r="R462" t="str">
        <f>Lcode_mapping!S462</f>
        <v>-</v>
      </c>
      <c r="S462" t="str">
        <f>Lcode_mapping!T462</f>
        <v>constant</v>
      </c>
      <c r="T462" t="str">
        <f>Lcode_mapping!U462</f>
        <v>-</v>
      </c>
      <c r="U462" t="str">
        <f>Lcode_mapping!V462</f>
        <v>-</v>
      </c>
      <c r="V462" t="str">
        <f>Lcode_mapping!W462</f>
        <v>-</v>
      </c>
    </row>
    <row r="463" spans="1:22" ht="15" customHeight="1" x14ac:dyDescent="0.25">
      <c r="A463">
        <f>Lcode_mapping!A463</f>
        <v>43</v>
      </c>
      <c r="B463">
        <f>Lcode_mapping!B463</f>
        <v>1</v>
      </c>
      <c r="C463" t="str">
        <f>Lcode_mapping!D463</f>
        <v>E-FLAT</v>
      </c>
      <c r="D463">
        <f>Lcode_mapping!E463</f>
        <v>1</v>
      </c>
      <c r="E463">
        <f>Lcode_mapping!F463</f>
        <v>1</v>
      </c>
      <c r="F463">
        <f>Lcode_mapping!G463</f>
        <v>1</v>
      </c>
      <c r="G463" t="str">
        <f>Lcode_mapping!H463</f>
        <v>R</v>
      </c>
      <c r="H463">
        <f>Lcode_mapping!I463</f>
        <v>1</v>
      </c>
      <c r="I463" t="str">
        <f>Lcode_mapping!J463</f>
        <v>Earth flattening con (unitless).</v>
      </c>
      <c r="J463" t="str">
        <f>Lcode_mapping!K463</f>
        <v>Session</v>
      </c>
      <c r="K463" t="str">
        <f>Lcode_mapping!L463</f>
        <v>Constant</v>
      </c>
      <c r="L463" t="str">
        <f>Lcode_mapping!M463</f>
        <v>I</v>
      </c>
      <c r="M463" t="str">
        <f>Lcode_mapping!N463</f>
        <v>-</v>
      </c>
      <c r="N463" t="str">
        <f>Lcode_mapping!O463</f>
        <v>OBSOLETE</v>
      </c>
      <c r="O463" t="str">
        <f>Lcode_mapping!P463</f>
        <v>-</v>
      </c>
      <c r="P463" t="str">
        <f>Lcode_mapping!Q463</f>
        <v>-</v>
      </c>
      <c r="Q463" t="str">
        <f>Lcode_mapping!R463</f>
        <v>-</v>
      </c>
      <c r="R463" t="str">
        <f>Lcode_mapping!S463</f>
        <v>-</v>
      </c>
      <c r="S463" t="str">
        <f>Lcode_mapping!T463</f>
        <v>-</v>
      </c>
      <c r="T463" t="str">
        <f>Lcode_mapping!U463</f>
        <v>-</v>
      </c>
      <c r="U463" t="str">
        <f>Lcode_mapping!V463</f>
        <v>-</v>
      </c>
      <c r="V463" t="str">
        <f>Lcode_mapping!W463</f>
        <v>-</v>
      </c>
    </row>
    <row r="464" spans="1:22" ht="15" customHeight="1" x14ac:dyDescent="0.25">
      <c r="A464">
        <f>Lcode_mapping!A464</f>
        <v>44</v>
      </c>
      <c r="B464">
        <f>Lcode_mapping!B464</f>
        <v>1</v>
      </c>
      <c r="C464" t="str">
        <f>Lcode_mapping!D464</f>
        <v>EL-CUT</v>
      </c>
      <c r="D464">
        <f>Lcode_mapping!E464</f>
        <v>8</v>
      </c>
      <c r="E464">
        <f>Lcode_mapping!F464</f>
        <v>1</v>
      </c>
      <c r="F464">
        <f>Lcode_mapping!G464</f>
        <v>1</v>
      </c>
      <c r="G464" t="str">
        <f>Lcode_mapping!H464</f>
        <v>A</v>
      </c>
      <c r="H464">
        <f>Lcode_mapping!I464</f>
        <v>4</v>
      </c>
      <c r="I464" t="str">
        <f>Lcode_mapping!J464</f>
        <v>Solution elevation cutoff data.</v>
      </c>
      <c r="J464" t="str">
        <f>Lcode_mapping!K464</f>
        <v>Session</v>
      </c>
      <c r="K464" t="str">
        <f>Lcode_mapping!L464</f>
        <v>-</v>
      </c>
      <c r="L464" t="str">
        <f>Lcode_mapping!M464</f>
        <v>I</v>
      </c>
      <c r="M464" t="str">
        <f>Lcode_mapping!N464</f>
        <v>-</v>
      </c>
      <c r="N464" t="str">
        <f>Lcode_mapping!O464</f>
        <v>OBSOLETE</v>
      </c>
      <c r="O464" t="str">
        <f>Lcode_mapping!P464</f>
        <v>-</v>
      </c>
      <c r="P464" t="str">
        <f>Lcode_mapping!Q464</f>
        <v>-</v>
      </c>
      <c r="Q464" t="str">
        <f>Lcode_mapping!R464</f>
        <v>-</v>
      </c>
      <c r="R464" t="str">
        <f>Lcode_mapping!S464</f>
        <v>-</v>
      </c>
      <c r="S464" t="str">
        <f>Lcode_mapping!T464</f>
        <v>-</v>
      </c>
      <c r="T464" t="str">
        <f>Lcode_mapping!U464</f>
        <v>-</v>
      </c>
      <c r="U464" t="str">
        <f>Lcode_mapping!V464</f>
        <v>-</v>
      </c>
      <c r="V464" t="str">
        <f>Lcode_mapping!W464</f>
        <v>-</v>
      </c>
    </row>
    <row r="465" spans="1:22" ht="15" customHeight="1" x14ac:dyDescent="0.25">
      <c r="A465">
        <f>Lcode_mapping!A465</f>
        <v>45</v>
      </c>
      <c r="B465">
        <f>Lcode_mapping!B465</f>
        <v>1</v>
      </c>
      <c r="C465" t="str">
        <f>Lcode_mapping!D465</f>
        <v>EMS/MMS</v>
      </c>
      <c r="D465">
        <f>Lcode_mapping!E465</f>
        <v>1</v>
      </c>
      <c r="E465">
        <f>Lcode_mapping!F465</f>
        <v>1</v>
      </c>
      <c r="F465">
        <f>Lcode_mapping!G465</f>
        <v>1</v>
      </c>
      <c r="G465" t="str">
        <f>Lcode_mapping!H465</f>
        <v>R</v>
      </c>
      <c r="H465">
        <f>Lcode_mapping!I465</f>
        <v>1</v>
      </c>
      <c r="I465" t="str">
        <f>Lcode_mapping!J465</f>
        <v>The Earth-Moon mass ratio.</v>
      </c>
      <c r="J465" t="str">
        <f>Lcode_mapping!K465</f>
        <v>Session</v>
      </c>
      <c r="K465" t="str">
        <f>Lcode_mapping!L465</f>
        <v>Constant</v>
      </c>
      <c r="L465" t="str">
        <f>Lcode_mapping!M465</f>
        <v>I</v>
      </c>
      <c r="M465" t="str">
        <f>Lcode_mapping!N465</f>
        <v>-</v>
      </c>
      <c r="N465" t="str">
        <f>Lcode_mapping!O465</f>
        <v>OBSOLETE</v>
      </c>
      <c r="O465" t="str">
        <f>Lcode_mapping!P465</f>
        <v>-</v>
      </c>
      <c r="P465" t="str">
        <f>Lcode_mapping!Q465</f>
        <v>-</v>
      </c>
      <c r="Q465" t="str">
        <f>Lcode_mapping!R465</f>
        <v>-</v>
      </c>
      <c r="R465" t="str">
        <f>Lcode_mapping!S465</f>
        <v>-</v>
      </c>
      <c r="S465" t="str">
        <f>Lcode_mapping!T465</f>
        <v>-</v>
      </c>
      <c r="T465" t="str">
        <f>Lcode_mapping!U465</f>
        <v>-</v>
      </c>
      <c r="U465" t="str">
        <f>Lcode_mapping!V465</f>
        <v>-</v>
      </c>
      <c r="V465" t="str">
        <f>Lcode_mapping!W465</f>
        <v>-</v>
      </c>
    </row>
    <row r="466" spans="1:22" ht="15" customHeight="1" x14ac:dyDescent="0.25">
      <c r="A466">
        <f>Lcode_mapping!A466</f>
        <v>46</v>
      </c>
      <c r="B466">
        <f>Lcode_mapping!B466</f>
        <v>1</v>
      </c>
      <c r="C466" t="str">
        <f>Lcode_mapping!D466</f>
        <v>EOPSCALE</v>
      </c>
      <c r="D466">
        <f>Lcode_mapping!E466</f>
        <v>4</v>
      </c>
      <c r="E466">
        <f>Lcode_mapping!F466</f>
        <v>1</v>
      </c>
      <c r="F466">
        <f>Lcode_mapping!G466</f>
        <v>1</v>
      </c>
      <c r="G466" t="str">
        <f>Lcode_mapping!H466</f>
        <v>A</v>
      </c>
      <c r="H466">
        <f>Lcode_mapping!I466</f>
        <v>5</v>
      </c>
      <c r="I466" t="str">
        <f>Lcode_mapping!J466</f>
        <v>Time scale of EOP table epochs.</v>
      </c>
      <c r="J466" t="str">
        <f>Lcode_mapping!K466</f>
        <v>Session</v>
      </c>
      <c r="K466" t="str">
        <f>Lcode_mapping!L466</f>
        <v>-</v>
      </c>
      <c r="L466" t="str">
        <f>Lcode_mapping!M466</f>
        <v>I</v>
      </c>
      <c r="M466" t="str">
        <f>Lcode_mapping!N466</f>
        <v>-</v>
      </c>
      <c r="N466" t="str">
        <f>Lcode_mapping!O466</f>
        <v>OBSOLETE</v>
      </c>
      <c r="O466" t="str">
        <f>Lcode_mapping!P466</f>
        <v>-</v>
      </c>
      <c r="P466" t="str">
        <f>Lcode_mapping!Q466</f>
        <v>-</v>
      </c>
      <c r="Q466" t="str">
        <f>Lcode_mapping!R466</f>
        <v>-</v>
      </c>
      <c r="R466" t="str">
        <f>Lcode_mapping!S466</f>
        <v>-</v>
      </c>
      <c r="S466" t="str">
        <f>Lcode_mapping!T466</f>
        <v>-</v>
      </c>
      <c r="T466" t="str">
        <f>Lcode_mapping!U466</f>
        <v>-</v>
      </c>
      <c r="U466" t="str">
        <f>Lcode_mapping!V466</f>
        <v>-</v>
      </c>
      <c r="V466" t="str">
        <f>Lcode_mapping!W466</f>
        <v>-</v>
      </c>
    </row>
    <row r="467" spans="1:22" ht="15" customHeight="1" x14ac:dyDescent="0.25">
      <c r="A467">
        <f>Lcode_mapping!A467</f>
        <v>47</v>
      </c>
      <c r="B467">
        <f>Lcode_mapping!B467</f>
        <v>1</v>
      </c>
      <c r="C467" t="str">
        <f>Lcode_mapping!D467</f>
        <v>EPHEPOCH</v>
      </c>
      <c r="D467">
        <f>Lcode_mapping!E467</f>
        <v>1</v>
      </c>
      <c r="E467">
        <f>Lcode_mapping!F467</f>
        <v>1</v>
      </c>
      <c r="F467">
        <f>Lcode_mapping!G467</f>
        <v>1</v>
      </c>
      <c r="G467" t="str">
        <f>Lcode_mapping!H467</f>
        <v>I</v>
      </c>
      <c r="H467">
        <f>Lcode_mapping!I467</f>
        <v>2</v>
      </c>
      <c r="I467" t="str">
        <f>Lcode_mapping!J467</f>
        <v>JPL EPOCH 1950 or 2000 .</v>
      </c>
      <c r="J467" t="str">
        <f>Lcode_mapping!K467</f>
        <v>Session</v>
      </c>
      <c r="K467" t="str">
        <f>Lcode_mapping!L467</f>
        <v>-</v>
      </c>
      <c r="L467" t="str">
        <f>Lcode_mapping!M467</f>
        <v>I</v>
      </c>
      <c r="M467" t="str">
        <f>Lcode_mapping!N467</f>
        <v>-</v>
      </c>
      <c r="N467" t="str">
        <f>Lcode_mapping!O467</f>
        <v>OBSOLETE</v>
      </c>
      <c r="O467" t="str">
        <f>Lcode_mapping!P467</f>
        <v>-</v>
      </c>
      <c r="P467" t="str">
        <f>Lcode_mapping!Q467</f>
        <v>-</v>
      </c>
      <c r="Q467" t="str">
        <f>Lcode_mapping!R467</f>
        <v>-</v>
      </c>
      <c r="R467" t="str">
        <f>Lcode_mapping!S467</f>
        <v>-</v>
      </c>
      <c r="S467" t="str">
        <f>Lcode_mapping!T467</f>
        <v>-</v>
      </c>
      <c r="T467" t="str">
        <f>Lcode_mapping!U467</f>
        <v>-</v>
      </c>
      <c r="U467" t="str">
        <f>Lcode_mapping!V467</f>
        <v>-</v>
      </c>
      <c r="V467" t="str">
        <f>Lcode_mapping!W467</f>
        <v>-</v>
      </c>
    </row>
    <row r="468" spans="1:22" ht="15" customHeight="1" x14ac:dyDescent="0.25">
      <c r="A468">
        <f>Lcode_mapping!A468</f>
        <v>48</v>
      </c>
      <c r="B468">
        <f>Lcode_mapping!B468</f>
        <v>1</v>
      </c>
      <c r="C468" t="str">
        <f>Lcode_mapping!D468</f>
        <v>EPNAMES</v>
      </c>
      <c r="D468">
        <f>Lcode_mapping!E468</f>
        <v>4</v>
      </c>
      <c r="E468">
        <f>Lcode_mapping!F468</f>
        <v>3</v>
      </c>
      <c r="F468">
        <f>Lcode_mapping!G468</f>
        <v>1</v>
      </c>
      <c r="G468" t="str">
        <f>Lcode_mapping!H468</f>
        <v>A</v>
      </c>
      <c r="H468">
        <f>Lcode_mapping!I468</f>
        <v>3</v>
      </c>
      <c r="I468" t="str">
        <f>Lcode_mapping!J468</f>
        <v>Site names for clock-atm epochs</v>
      </c>
      <c r="J468" t="str">
        <f>Lcode_mapping!K468</f>
        <v>Session</v>
      </c>
      <c r="K468" t="str">
        <f>Lcode_mapping!L468</f>
        <v>-</v>
      </c>
      <c r="L468" t="str">
        <f>Lcode_mapping!M468</f>
        <v>I</v>
      </c>
      <c r="M468" t="str">
        <f>Lcode_mapping!N468</f>
        <v>-</v>
      </c>
      <c r="N468" t="str">
        <f>Lcode_mapping!O468</f>
        <v>OBSOLETE</v>
      </c>
      <c r="O468" t="str">
        <f>Lcode_mapping!P468</f>
        <v>-</v>
      </c>
      <c r="P468" t="str">
        <f>Lcode_mapping!Q468</f>
        <v>-</v>
      </c>
      <c r="Q468" t="str">
        <f>Lcode_mapping!R468</f>
        <v>-</v>
      </c>
      <c r="R468" t="str">
        <f>Lcode_mapping!S468</f>
        <v>-</v>
      </c>
      <c r="S468" t="str">
        <f>Lcode_mapping!T468</f>
        <v>-</v>
      </c>
      <c r="T468" t="str">
        <f>Lcode_mapping!U468</f>
        <v>-</v>
      </c>
      <c r="U468" t="str">
        <f>Lcode_mapping!V468</f>
        <v>-</v>
      </c>
      <c r="V468" t="str">
        <f>Lcode_mapping!W468</f>
        <v>-</v>
      </c>
    </row>
    <row r="469" spans="1:22" ht="15" customHeight="1" x14ac:dyDescent="0.25">
      <c r="A469">
        <f>Lcode_mapping!A469</f>
        <v>50</v>
      </c>
      <c r="B469">
        <f>Lcode_mapping!B469</f>
        <v>1</v>
      </c>
      <c r="C469" t="str">
        <f>Lcode_mapping!D469</f>
        <v>GAUSS</v>
      </c>
      <c r="D469">
        <f>Lcode_mapping!E469</f>
        <v>1</v>
      </c>
      <c r="E469">
        <f>Lcode_mapping!F469</f>
        <v>1</v>
      </c>
      <c r="F469">
        <f>Lcode_mapping!G469</f>
        <v>1</v>
      </c>
      <c r="G469" t="str">
        <f>Lcode_mapping!H469</f>
        <v>R</v>
      </c>
      <c r="H469">
        <f>Lcode_mapping!I469</f>
        <v>1</v>
      </c>
      <c r="I469" t="str">
        <f>Lcode_mapping!J469</f>
        <v>Gauss's constant (rad).</v>
      </c>
      <c r="J469" t="str">
        <f>Lcode_mapping!K469</f>
        <v>Session</v>
      </c>
      <c r="K469" t="str">
        <f>Lcode_mapping!L469</f>
        <v>Constant</v>
      </c>
      <c r="L469" t="str">
        <f>Lcode_mapping!M469</f>
        <v>I</v>
      </c>
      <c r="M469" t="str">
        <f>Lcode_mapping!N469</f>
        <v>-</v>
      </c>
      <c r="N469" t="str">
        <f>Lcode_mapping!O469</f>
        <v>OBSOLETE</v>
      </c>
      <c r="O469" t="str">
        <f>Lcode_mapping!P469</f>
        <v>-</v>
      </c>
      <c r="P469" t="str">
        <f>Lcode_mapping!Q469</f>
        <v>-</v>
      </c>
      <c r="Q469" t="str">
        <f>Lcode_mapping!R469</f>
        <v>-</v>
      </c>
      <c r="R469" t="str">
        <f>Lcode_mapping!S469</f>
        <v>-</v>
      </c>
      <c r="S469" t="str">
        <f>Lcode_mapping!T469</f>
        <v>-</v>
      </c>
      <c r="T469" t="str">
        <f>Lcode_mapping!U469</f>
        <v>-</v>
      </c>
      <c r="U469" t="str">
        <f>Lcode_mapping!V469</f>
        <v>-</v>
      </c>
      <c r="V469" t="str">
        <f>Lcode_mapping!W469</f>
        <v>-</v>
      </c>
    </row>
    <row r="470" spans="1:22" ht="15" customHeight="1" x14ac:dyDescent="0.25">
      <c r="A470">
        <f>Lcode_mapping!A470</f>
        <v>51</v>
      </c>
      <c r="B470">
        <f>Lcode_mapping!B470</f>
        <v>1</v>
      </c>
      <c r="C470" t="str">
        <f>Lcode_mapping!D470</f>
        <v>GMEARTH</v>
      </c>
      <c r="D470">
        <f>Lcode_mapping!E470</f>
        <v>1</v>
      </c>
      <c r="E470">
        <f>Lcode_mapping!F470</f>
        <v>1</v>
      </c>
      <c r="F470">
        <f>Lcode_mapping!G470</f>
        <v>1</v>
      </c>
      <c r="G470" t="str">
        <f>Lcode_mapping!H470</f>
        <v>R</v>
      </c>
      <c r="H470">
        <f>Lcode_mapping!I470</f>
        <v>1</v>
      </c>
      <c r="I470" t="str">
        <f>Lcode_mapping!J470</f>
        <v>GM of the Earth (m^3/sec^2).</v>
      </c>
      <c r="J470" t="str">
        <f>Lcode_mapping!K470</f>
        <v>Session</v>
      </c>
      <c r="K470" t="str">
        <f>Lcode_mapping!L470</f>
        <v>Constant</v>
      </c>
      <c r="L470" t="str">
        <f>Lcode_mapping!M470</f>
        <v>I</v>
      </c>
      <c r="M470" t="str">
        <f>Lcode_mapping!N470</f>
        <v>-</v>
      </c>
      <c r="N470" t="str">
        <f>Lcode_mapping!O470</f>
        <v>OBSOLETE</v>
      </c>
      <c r="O470" t="str">
        <f>Lcode_mapping!P470</f>
        <v>-</v>
      </c>
      <c r="P470" t="str">
        <f>Lcode_mapping!Q470</f>
        <v>-</v>
      </c>
      <c r="Q470" t="str">
        <f>Lcode_mapping!R470</f>
        <v>-</v>
      </c>
      <c r="R470" t="str">
        <f>Lcode_mapping!S470</f>
        <v>-</v>
      </c>
      <c r="S470" t="str">
        <f>Lcode_mapping!T470</f>
        <v>-</v>
      </c>
      <c r="T470" t="str">
        <f>Lcode_mapping!U470</f>
        <v>-</v>
      </c>
      <c r="U470" t="str">
        <f>Lcode_mapping!V470</f>
        <v>-</v>
      </c>
      <c r="V470" t="str">
        <f>Lcode_mapping!W470</f>
        <v>-</v>
      </c>
    </row>
    <row r="471" spans="1:22" ht="15" customHeight="1" x14ac:dyDescent="0.25">
      <c r="A471">
        <f>Lcode_mapping!A471</f>
        <v>52</v>
      </c>
      <c r="B471">
        <f>Lcode_mapping!B471</f>
        <v>1</v>
      </c>
      <c r="C471" t="str">
        <f>Lcode_mapping!D471</f>
        <v>GMMOON</v>
      </c>
      <c r="D471">
        <f>Lcode_mapping!E471</f>
        <v>1</v>
      </c>
      <c r="E471">
        <f>Lcode_mapping!F471</f>
        <v>1</v>
      </c>
      <c r="F471">
        <f>Lcode_mapping!G471</f>
        <v>1</v>
      </c>
      <c r="G471" t="str">
        <f>Lcode_mapping!H471</f>
        <v>R</v>
      </c>
      <c r="H471">
        <f>Lcode_mapping!I471</f>
        <v>1</v>
      </c>
      <c r="I471" t="str">
        <f>Lcode_mapping!J471</f>
        <v>GM of the Moon (m^3/sec^2).</v>
      </c>
      <c r="J471" t="str">
        <f>Lcode_mapping!K471</f>
        <v>Session</v>
      </c>
      <c r="K471" t="str">
        <f>Lcode_mapping!L471</f>
        <v>Constant</v>
      </c>
      <c r="L471" t="str">
        <f>Lcode_mapping!M471</f>
        <v>I</v>
      </c>
      <c r="M471" t="str">
        <f>Lcode_mapping!N471</f>
        <v>-</v>
      </c>
      <c r="N471" t="str">
        <f>Lcode_mapping!O471</f>
        <v>OBSOLETE</v>
      </c>
      <c r="O471" t="str">
        <f>Lcode_mapping!P471</f>
        <v>-</v>
      </c>
      <c r="P471" t="str">
        <f>Lcode_mapping!Q471</f>
        <v>-</v>
      </c>
      <c r="Q471" t="str">
        <f>Lcode_mapping!R471</f>
        <v>-</v>
      </c>
      <c r="R471" t="str">
        <f>Lcode_mapping!S471</f>
        <v>-</v>
      </c>
      <c r="S471" t="str">
        <f>Lcode_mapping!T471</f>
        <v>-</v>
      </c>
      <c r="T471" t="str">
        <f>Lcode_mapping!U471</f>
        <v>-</v>
      </c>
      <c r="U471" t="str">
        <f>Lcode_mapping!V471</f>
        <v>-</v>
      </c>
      <c r="V471" t="str">
        <f>Lcode_mapping!W471</f>
        <v>-</v>
      </c>
    </row>
    <row r="472" spans="1:22" ht="15" customHeight="1" x14ac:dyDescent="0.25">
      <c r="A472">
        <f>Lcode_mapping!A472</f>
        <v>53</v>
      </c>
      <c r="B472">
        <f>Lcode_mapping!B472</f>
        <v>1</v>
      </c>
      <c r="C472" t="str">
        <f>Lcode_mapping!D472</f>
        <v>GMSUN</v>
      </c>
      <c r="D472">
        <f>Lcode_mapping!E472</f>
        <v>1</v>
      </c>
      <c r="E472">
        <f>Lcode_mapping!F472</f>
        <v>1</v>
      </c>
      <c r="F472">
        <f>Lcode_mapping!G472</f>
        <v>1</v>
      </c>
      <c r="G472" t="str">
        <f>Lcode_mapping!H472</f>
        <v>R</v>
      </c>
      <c r="H472">
        <f>Lcode_mapping!I472</f>
        <v>1</v>
      </c>
      <c r="I472" t="str">
        <f>Lcode_mapping!J472</f>
        <v>GM of the Sun (m^3/sec^2).</v>
      </c>
      <c r="J472" t="str">
        <f>Lcode_mapping!K472</f>
        <v>Session</v>
      </c>
      <c r="K472" t="str">
        <f>Lcode_mapping!L472</f>
        <v>Constant</v>
      </c>
      <c r="L472" t="str">
        <f>Lcode_mapping!M472</f>
        <v>I</v>
      </c>
      <c r="M472" t="str">
        <f>Lcode_mapping!N472</f>
        <v>-</v>
      </c>
      <c r="N472" t="str">
        <f>Lcode_mapping!O472</f>
        <v>OBSOLETE</v>
      </c>
      <c r="O472" t="str">
        <f>Lcode_mapping!P472</f>
        <v>-</v>
      </c>
      <c r="P472" t="str">
        <f>Lcode_mapping!Q472</f>
        <v>-</v>
      </c>
      <c r="Q472" t="str">
        <f>Lcode_mapping!R472</f>
        <v>-</v>
      </c>
      <c r="R472" t="str">
        <f>Lcode_mapping!S472</f>
        <v>-</v>
      </c>
      <c r="S472" t="str">
        <f>Lcode_mapping!T472</f>
        <v>-</v>
      </c>
      <c r="T472" t="str">
        <f>Lcode_mapping!U472</f>
        <v>-</v>
      </c>
      <c r="U472" t="str">
        <f>Lcode_mapping!V472</f>
        <v>-</v>
      </c>
      <c r="V472" t="str">
        <f>Lcode_mapping!W472</f>
        <v>-</v>
      </c>
    </row>
    <row r="473" spans="1:22" ht="15" customHeight="1" x14ac:dyDescent="0.25">
      <c r="A473">
        <f>Lcode_mapping!A473</f>
        <v>54</v>
      </c>
      <c r="B473">
        <f>Lcode_mapping!B473</f>
        <v>1</v>
      </c>
      <c r="C473" t="str">
        <f>Lcode_mapping!D473</f>
        <v>HALF PI</v>
      </c>
      <c r="D473">
        <f>Lcode_mapping!E473</f>
        <v>1</v>
      </c>
      <c r="E473">
        <f>Lcode_mapping!F473</f>
        <v>1</v>
      </c>
      <c r="F473">
        <f>Lcode_mapping!G473</f>
        <v>1</v>
      </c>
      <c r="G473" t="str">
        <f>Lcode_mapping!H473</f>
        <v>R</v>
      </c>
      <c r="H473">
        <f>Lcode_mapping!I473</f>
        <v>1</v>
      </c>
      <c r="I473" t="str">
        <f>Lcode_mapping!J473</f>
        <v>Half pi - to 17 digits accuracy.</v>
      </c>
      <c r="J473" t="str">
        <f>Lcode_mapping!K473</f>
        <v>Session</v>
      </c>
      <c r="K473" t="str">
        <f>Lcode_mapping!L473</f>
        <v>Constant</v>
      </c>
      <c r="L473" t="str">
        <f>Lcode_mapping!M473</f>
        <v>I</v>
      </c>
      <c r="M473" t="str">
        <f>Lcode_mapping!N473</f>
        <v>-</v>
      </c>
      <c r="N473" t="str">
        <f>Lcode_mapping!O473</f>
        <v>OBSOLETE</v>
      </c>
      <c r="O473" t="str">
        <f>Lcode_mapping!P473</f>
        <v>-</v>
      </c>
      <c r="P473" t="str">
        <f>Lcode_mapping!Q473</f>
        <v>-</v>
      </c>
      <c r="Q473" t="str">
        <f>Lcode_mapping!R473</f>
        <v>-</v>
      </c>
      <c r="R473" t="str">
        <f>Lcode_mapping!S473</f>
        <v>-</v>
      </c>
      <c r="S473" t="str">
        <f>Lcode_mapping!T473</f>
        <v>-</v>
      </c>
      <c r="T473" t="str">
        <f>Lcode_mapping!U473</f>
        <v>-</v>
      </c>
      <c r="U473" t="str">
        <f>Lcode_mapping!V473</f>
        <v>-</v>
      </c>
      <c r="V473" t="str">
        <f>Lcode_mapping!W473</f>
        <v>-</v>
      </c>
    </row>
    <row r="474" spans="1:22" ht="15" customHeight="1" x14ac:dyDescent="0.25">
      <c r="A474">
        <f>Lcode_mapping!A474</f>
        <v>57</v>
      </c>
      <c r="B474">
        <f>Lcode_mapping!B474</f>
        <v>1</v>
      </c>
      <c r="C474" t="str">
        <f>Lcode_mapping!D474</f>
        <v>LIMSTOPS</v>
      </c>
      <c r="D474">
        <f>Lcode_mapping!E474</f>
        <v>2</v>
      </c>
      <c r="E474">
        <f>Lcode_mapping!F474</f>
        <v>2</v>
      </c>
      <c r="F474">
        <f>Lcode_mapping!G474</f>
        <v>3</v>
      </c>
      <c r="G474" t="str">
        <f>Lcode_mapping!H474</f>
        <v>R</v>
      </c>
      <c r="H474">
        <f>Lcode_mapping!I474</f>
        <v>1</v>
      </c>
      <c r="I474" t="str">
        <f>Lcode_mapping!J474</f>
        <v>Antenna limit stops (deg).</v>
      </c>
      <c r="J474" t="str">
        <f>Lcode_mapping!K474</f>
        <v>Session</v>
      </c>
      <c r="K474" t="str">
        <f>Lcode_mapping!L474</f>
        <v>-</v>
      </c>
      <c r="L474" t="str">
        <f>Lcode_mapping!M474</f>
        <v>I</v>
      </c>
      <c r="M474" t="str">
        <f>Lcode_mapping!N474</f>
        <v>-</v>
      </c>
      <c r="N474" t="str">
        <f>Lcode_mapping!O474</f>
        <v>OBSOLETE</v>
      </c>
      <c r="O474" t="str">
        <f>Lcode_mapping!P474</f>
        <v>-</v>
      </c>
      <c r="P474" t="str">
        <f>Lcode_mapping!Q474</f>
        <v>-</v>
      </c>
      <c r="Q474" t="str">
        <f>Lcode_mapping!R474</f>
        <v>-</v>
      </c>
      <c r="R474" t="str">
        <f>Lcode_mapping!S474</f>
        <v>-</v>
      </c>
      <c r="S474" t="str">
        <f>Lcode_mapping!T474</f>
        <v>-</v>
      </c>
      <c r="T474" t="str">
        <f>Lcode_mapping!U474</f>
        <v>-</v>
      </c>
      <c r="U474" t="str">
        <f>Lcode_mapping!V474</f>
        <v>-</v>
      </c>
      <c r="V474" t="str">
        <f>Lcode_mapping!W474</f>
        <v>-</v>
      </c>
    </row>
    <row r="475" spans="1:22" ht="15" customHeight="1" x14ac:dyDescent="0.25">
      <c r="A475">
        <f>Lcode_mapping!A475</f>
        <v>61</v>
      </c>
      <c r="B475">
        <f>Lcode_mapping!B475</f>
        <v>1</v>
      </c>
      <c r="C475" t="str">
        <f>Lcode_mapping!D475</f>
        <v>MARISTAT</v>
      </c>
      <c r="D475">
        <f>Lcode_mapping!E475</f>
        <v>4</v>
      </c>
      <c r="E475">
        <f>Lcode_mapping!F475</f>
        <v>4</v>
      </c>
      <c r="F475">
        <f>Lcode_mapping!G475</f>
        <v>1</v>
      </c>
      <c r="G475" t="str">
        <f>Lcode_mapping!H475</f>
        <v>A</v>
      </c>
      <c r="H475">
        <f>Lcode_mapping!I475</f>
        <v>3</v>
      </c>
      <c r="I475" t="str">
        <f>Lcode_mapping!J475</f>
        <v>Stations with Marini calib</v>
      </c>
      <c r="J475" t="str">
        <f>Lcode_mapping!K475</f>
        <v>Session</v>
      </c>
      <c r="K475" t="str">
        <f>Lcode_mapping!L475</f>
        <v>obsolete</v>
      </c>
      <c r="L475" t="str">
        <f>Lcode_mapping!M475</f>
        <v>I</v>
      </c>
      <c r="M475" t="str">
        <f>Lcode_mapping!N475</f>
        <v>-</v>
      </c>
      <c r="N475" t="str">
        <f>Lcode_mapping!O475</f>
        <v>OBSOLETE</v>
      </c>
      <c r="O475" t="str">
        <f>Lcode_mapping!P475</f>
        <v>-</v>
      </c>
      <c r="P475" t="str">
        <f>Lcode_mapping!Q475</f>
        <v>-</v>
      </c>
      <c r="Q475" t="str">
        <f>Lcode_mapping!R475</f>
        <v>-</v>
      </c>
      <c r="R475" t="str">
        <f>Lcode_mapping!S475</f>
        <v>-</v>
      </c>
      <c r="S475" t="str">
        <f>Lcode_mapping!T475</f>
        <v>-</v>
      </c>
      <c r="T475" t="str">
        <f>Lcode_mapping!U475</f>
        <v>-</v>
      </c>
      <c r="U475" t="str">
        <f>Lcode_mapping!V475</f>
        <v>-</v>
      </c>
      <c r="V475" t="str">
        <f>Lcode_mapping!W475</f>
        <v>-</v>
      </c>
    </row>
    <row r="476" spans="1:22" ht="15" customHeight="1" x14ac:dyDescent="0.25">
      <c r="A476">
        <f>Lcode_mapping!A476</f>
        <v>62</v>
      </c>
      <c r="B476">
        <f>Lcode_mapping!B476</f>
        <v>1</v>
      </c>
      <c r="C476" t="str">
        <f>Lcode_mapping!D476</f>
        <v>MCALNAMS</v>
      </c>
      <c r="D476">
        <f>Lcode_mapping!E476</f>
        <v>4</v>
      </c>
      <c r="E476">
        <f>Lcode_mapping!F476</f>
        <v>15</v>
      </c>
      <c r="F476">
        <f>Lcode_mapping!G476</f>
        <v>1</v>
      </c>
      <c r="G476" t="str">
        <f>Lcode_mapping!H476</f>
        <v>A</v>
      </c>
      <c r="H476">
        <f>Lcode_mapping!I476</f>
        <v>4</v>
      </c>
      <c r="I476" t="str">
        <f>Lcode_mapping!J476</f>
        <v>Mode calibrations names</v>
      </c>
      <c r="J476" t="str">
        <f>Lcode_mapping!K476</f>
        <v>Session</v>
      </c>
      <c r="K476" t="str">
        <f>Lcode_mapping!L476</f>
        <v>calc/solve</v>
      </c>
      <c r="L476" t="str">
        <f>Lcode_mapping!M476</f>
        <v>I</v>
      </c>
      <c r="M476" t="str">
        <f>Lcode_mapping!N476</f>
        <v>-</v>
      </c>
      <c r="N476" t="str">
        <f>Lcode_mapping!O476</f>
        <v>OBSOLETE</v>
      </c>
      <c r="O476" t="str">
        <f>Lcode_mapping!P476</f>
        <v>-</v>
      </c>
      <c r="P476" t="str">
        <f>Lcode_mapping!Q476</f>
        <v>-</v>
      </c>
      <c r="Q476" t="str">
        <f>Lcode_mapping!R476</f>
        <v>-</v>
      </c>
      <c r="R476" t="str">
        <f>Lcode_mapping!S476</f>
        <v>-</v>
      </c>
      <c r="S476" t="str">
        <f>Lcode_mapping!T476</f>
        <v>-</v>
      </c>
      <c r="T476" t="str">
        <f>Lcode_mapping!U476</f>
        <v>-</v>
      </c>
      <c r="U476" t="str">
        <f>Lcode_mapping!V476</f>
        <v>-</v>
      </c>
      <c r="V476" t="str">
        <f>Lcode_mapping!W476</f>
        <v>-</v>
      </c>
    </row>
    <row r="477" spans="1:22" ht="15" customHeight="1" x14ac:dyDescent="0.25">
      <c r="A477">
        <f>Lcode_mapping!A477</f>
        <v>63</v>
      </c>
      <c r="B477">
        <f>Lcode_mapping!B477</f>
        <v>1</v>
      </c>
      <c r="C477" t="str">
        <f>Lcode_mapping!D477</f>
        <v>MCALSTAT</v>
      </c>
      <c r="D477">
        <f>Lcode_mapping!E477</f>
        <v>2</v>
      </c>
      <c r="E477">
        <f>Lcode_mapping!F477</f>
        <v>1</v>
      </c>
      <c r="F477">
        <f>Lcode_mapping!G477</f>
        <v>1</v>
      </c>
      <c r="G477" t="str">
        <f>Lcode_mapping!H477</f>
        <v>I</v>
      </c>
      <c r="H477">
        <f>Lcode_mapping!I477</f>
        <v>4</v>
      </c>
      <c r="I477" t="str">
        <f>Lcode_mapping!J477</f>
        <v>Mode calibrations status</v>
      </c>
      <c r="J477" t="str">
        <f>Lcode_mapping!K477</f>
        <v>Session</v>
      </c>
      <c r="K477" t="str">
        <f>Lcode_mapping!L477</f>
        <v>-</v>
      </c>
      <c r="L477" t="str">
        <f>Lcode_mapping!M477</f>
        <v>I</v>
      </c>
      <c r="M477" t="str">
        <f>Lcode_mapping!N477</f>
        <v>-</v>
      </c>
      <c r="N477" t="str">
        <f>Lcode_mapping!O477</f>
        <v>OBSOLETE</v>
      </c>
      <c r="O477" t="str">
        <f>Lcode_mapping!P477</f>
        <v>-</v>
      </c>
      <c r="P477" t="str">
        <f>Lcode_mapping!Q477</f>
        <v>-</v>
      </c>
      <c r="Q477" t="str">
        <f>Lcode_mapping!R477</f>
        <v>-</v>
      </c>
      <c r="R477" t="str">
        <f>Lcode_mapping!S477</f>
        <v>-</v>
      </c>
      <c r="S477" t="str">
        <f>Lcode_mapping!T477</f>
        <v>-</v>
      </c>
      <c r="T477" t="str">
        <f>Lcode_mapping!U477</f>
        <v>-</v>
      </c>
      <c r="U477" t="str">
        <f>Lcode_mapping!V477</f>
        <v>-</v>
      </c>
      <c r="V477" t="str">
        <f>Lcode_mapping!W477</f>
        <v>-</v>
      </c>
    </row>
    <row r="478" spans="1:22" ht="15" customHeight="1" x14ac:dyDescent="0.25">
      <c r="A478">
        <f>Lcode_mapping!A478</f>
        <v>64</v>
      </c>
      <c r="B478">
        <f>Lcode_mapping!B478</f>
        <v>1</v>
      </c>
      <c r="C478" t="str">
        <f>Lcode_mapping!D478</f>
        <v>MEANCABL</v>
      </c>
      <c r="D478">
        <f>Lcode_mapping!E478</f>
        <v>11</v>
      </c>
      <c r="E478">
        <f>Lcode_mapping!F478</f>
        <v>1</v>
      </c>
      <c r="F478">
        <f>Lcode_mapping!G478</f>
        <v>1</v>
      </c>
      <c r="G478" t="str">
        <f>Lcode_mapping!H478</f>
        <v>R</v>
      </c>
      <c r="H478">
        <f>Lcode_mapping!I478</f>
        <v>3</v>
      </c>
      <c r="I478" t="str">
        <f>Lcode_mapping!J478</f>
        <v>Mean cable calibration (seconds)</v>
      </c>
      <c r="J478" t="str">
        <f>Lcode_mapping!K478</f>
        <v>Session</v>
      </c>
      <c r="K478" t="str">
        <f>Lcode_mapping!L478</f>
        <v>-</v>
      </c>
      <c r="L478" t="str">
        <f>Lcode_mapping!M478</f>
        <v>I</v>
      </c>
      <c r="M478" t="str">
        <f>Lcode_mapping!N478</f>
        <v>-</v>
      </c>
      <c r="N478" t="str">
        <f>Lcode_mapping!O478</f>
        <v>OBSOLETE</v>
      </c>
      <c r="O478" t="str">
        <f>Lcode_mapping!P478</f>
        <v>-</v>
      </c>
      <c r="P478" t="str">
        <f>Lcode_mapping!Q478</f>
        <v>-</v>
      </c>
      <c r="Q478" t="str">
        <f>Lcode_mapping!R478</f>
        <v>-</v>
      </c>
      <c r="R478" t="str">
        <f>Lcode_mapping!S478</f>
        <v>-</v>
      </c>
      <c r="S478" t="str">
        <f>Lcode_mapping!T478</f>
        <v>-</v>
      </c>
      <c r="T478" t="str">
        <f>Lcode_mapping!U478</f>
        <v>-</v>
      </c>
      <c r="U478" t="str">
        <f>Lcode_mapping!V478</f>
        <v>-</v>
      </c>
      <c r="V478" t="str">
        <f>Lcode_mapping!W478</f>
        <v>-</v>
      </c>
    </row>
    <row r="479" spans="1:22" ht="15" customHeight="1" x14ac:dyDescent="0.25">
      <c r="A479">
        <f>Lcode_mapping!A479</f>
        <v>70</v>
      </c>
      <c r="B479">
        <f>Lcode_mapping!B479</f>
        <v>1</v>
      </c>
      <c r="C479" t="str">
        <f>Lcode_mapping!D479</f>
        <v>PI</v>
      </c>
      <c r="D479">
        <f>Lcode_mapping!E479</f>
        <v>1</v>
      </c>
      <c r="E479">
        <f>Lcode_mapping!F479</f>
        <v>1</v>
      </c>
      <c r="F479">
        <f>Lcode_mapping!G479</f>
        <v>1</v>
      </c>
      <c r="G479" t="str">
        <f>Lcode_mapping!H479</f>
        <v>R</v>
      </c>
      <c r="H479">
        <f>Lcode_mapping!I479</f>
        <v>1</v>
      </c>
      <c r="I479" t="str">
        <f>Lcode_mapping!J479</f>
        <v>Pi - to 17 digits accuracy.</v>
      </c>
      <c r="J479" t="str">
        <f>Lcode_mapping!K479</f>
        <v>Session</v>
      </c>
      <c r="K479" t="str">
        <f>Lcode_mapping!L479</f>
        <v>Constant</v>
      </c>
      <c r="L479" t="str">
        <f>Lcode_mapping!M479</f>
        <v>I</v>
      </c>
      <c r="M479" t="str">
        <f>Lcode_mapping!N479</f>
        <v>-</v>
      </c>
      <c r="N479" t="str">
        <f>Lcode_mapping!O479</f>
        <v>OBSOLETE</v>
      </c>
      <c r="O479" t="str">
        <f>Lcode_mapping!P479</f>
        <v>-</v>
      </c>
      <c r="P479" t="str">
        <f>Lcode_mapping!Q479</f>
        <v>-</v>
      </c>
      <c r="Q479" t="str">
        <f>Lcode_mapping!R479</f>
        <v>-</v>
      </c>
      <c r="R479" t="str">
        <f>Lcode_mapping!S479</f>
        <v>-</v>
      </c>
      <c r="S479" t="str">
        <f>Lcode_mapping!T479</f>
        <v>-</v>
      </c>
      <c r="T479" t="str">
        <f>Lcode_mapping!U479</f>
        <v>-</v>
      </c>
      <c r="U479" t="str">
        <f>Lcode_mapping!V479</f>
        <v>-</v>
      </c>
      <c r="V479" t="str">
        <f>Lcode_mapping!W479</f>
        <v>-</v>
      </c>
    </row>
    <row r="480" spans="1:22" ht="15" customHeight="1" x14ac:dyDescent="0.25">
      <c r="A480">
        <f>Lcode_mapping!A480</f>
        <v>71</v>
      </c>
      <c r="B480">
        <f>Lcode_mapping!B480</f>
        <v>1</v>
      </c>
      <c r="C480" t="str">
        <f>Lcode_mapping!D480</f>
        <v>PRT FLAG</v>
      </c>
      <c r="D480">
        <f>Lcode_mapping!E480</f>
        <v>1</v>
      </c>
      <c r="E480">
        <f>Lcode_mapping!F480</f>
        <v>1</v>
      </c>
      <c r="F480">
        <f>Lcode_mapping!G480</f>
        <v>1</v>
      </c>
      <c r="G480" t="str">
        <f>Lcode_mapping!H480</f>
        <v>I</v>
      </c>
      <c r="H480">
        <f>Lcode_mapping!I480</f>
        <v>4</v>
      </c>
      <c r="I480" t="str">
        <f>Lcode_mapping!J480</f>
        <v>Atmosphere partial to be applied</v>
      </c>
      <c r="J480" t="str">
        <f>Lcode_mapping!K480</f>
        <v>Session</v>
      </c>
      <c r="K480" t="str">
        <f>Lcode_mapping!L480</f>
        <v>-</v>
      </c>
      <c r="L480" t="str">
        <f>Lcode_mapping!M480</f>
        <v>I</v>
      </c>
      <c r="M480" t="str">
        <f>Lcode_mapping!N480</f>
        <v>-</v>
      </c>
      <c r="N480" t="str">
        <f>Lcode_mapping!O480</f>
        <v>OBSOLETE</v>
      </c>
      <c r="O480" t="str">
        <f>Lcode_mapping!P480</f>
        <v>-</v>
      </c>
      <c r="P480" t="str">
        <f>Lcode_mapping!Q480</f>
        <v>-</v>
      </c>
      <c r="Q480" t="str">
        <f>Lcode_mapping!R480</f>
        <v>-</v>
      </c>
      <c r="R480" t="str">
        <f>Lcode_mapping!S480</f>
        <v>-</v>
      </c>
      <c r="S480" t="str">
        <f>Lcode_mapping!T480</f>
        <v>-</v>
      </c>
      <c r="T480" t="str">
        <f>Lcode_mapping!U480</f>
        <v>-</v>
      </c>
      <c r="U480" t="str">
        <f>Lcode_mapping!V480</f>
        <v>-</v>
      </c>
      <c r="V480" t="str">
        <f>Lcode_mapping!W480</f>
        <v>-</v>
      </c>
    </row>
    <row r="481" spans="1:22" ht="15" customHeight="1" x14ac:dyDescent="0.25">
      <c r="A481">
        <f>Lcode_mapping!A481</f>
        <v>72</v>
      </c>
      <c r="B481">
        <f>Lcode_mapping!B481</f>
        <v>1</v>
      </c>
      <c r="C481" t="str">
        <f>Lcode_mapping!D481</f>
        <v>RAD ASEC</v>
      </c>
      <c r="D481">
        <f>Lcode_mapping!E481</f>
        <v>1</v>
      </c>
      <c r="E481">
        <f>Lcode_mapping!F481</f>
        <v>1</v>
      </c>
      <c r="F481">
        <f>Lcode_mapping!G481</f>
        <v>1</v>
      </c>
      <c r="G481" t="str">
        <f>Lcode_mapping!H481</f>
        <v>R</v>
      </c>
      <c r="H481">
        <f>Lcode_mapping!I481</f>
        <v>1</v>
      </c>
      <c r="I481" t="str">
        <f>Lcode_mapping!J481</f>
        <v>Radians per arc second .</v>
      </c>
      <c r="J481" t="str">
        <f>Lcode_mapping!K481</f>
        <v>Session</v>
      </c>
      <c r="K481" t="str">
        <f>Lcode_mapping!L481</f>
        <v>Constant</v>
      </c>
      <c r="L481" t="str">
        <f>Lcode_mapping!M481</f>
        <v>I</v>
      </c>
      <c r="M481" t="str">
        <f>Lcode_mapping!N481</f>
        <v>-</v>
      </c>
      <c r="N481" t="str">
        <f>Lcode_mapping!O481</f>
        <v>OBSOLETE</v>
      </c>
      <c r="O481" t="str">
        <f>Lcode_mapping!P481</f>
        <v>-</v>
      </c>
      <c r="P481" t="str">
        <f>Lcode_mapping!Q481</f>
        <v>-</v>
      </c>
      <c r="Q481" t="str">
        <f>Lcode_mapping!R481</f>
        <v>-</v>
      </c>
      <c r="R481" t="str">
        <f>Lcode_mapping!S481</f>
        <v>-</v>
      </c>
      <c r="S481" t="str">
        <f>Lcode_mapping!T481</f>
        <v>-</v>
      </c>
      <c r="T481" t="str">
        <f>Lcode_mapping!U481</f>
        <v>-</v>
      </c>
      <c r="U481" t="str">
        <f>Lcode_mapping!V481</f>
        <v>-</v>
      </c>
      <c r="V481" t="str">
        <f>Lcode_mapping!W481</f>
        <v>-</v>
      </c>
    </row>
    <row r="482" spans="1:22" ht="15" customHeight="1" x14ac:dyDescent="0.25">
      <c r="A482">
        <f>Lcode_mapping!A482</f>
        <v>73</v>
      </c>
      <c r="B482">
        <f>Lcode_mapping!B482</f>
        <v>1</v>
      </c>
      <c r="C482" t="str">
        <f>Lcode_mapping!D482</f>
        <v>RAD DEG</v>
      </c>
      <c r="D482">
        <f>Lcode_mapping!E482</f>
        <v>1</v>
      </c>
      <c r="E482">
        <f>Lcode_mapping!F482</f>
        <v>1</v>
      </c>
      <c r="F482">
        <f>Lcode_mapping!G482</f>
        <v>1</v>
      </c>
      <c r="G482" t="str">
        <f>Lcode_mapping!H482</f>
        <v>R</v>
      </c>
      <c r="H482">
        <f>Lcode_mapping!I482</f>
        <v>1</v>
      </c>
      <c r="I482" t="str">
        <f>Lcode_mapping!J482</f>
        <v>Radians per degree .</v>
      </c>
      <c r="J482" t="str">
        <f>Lcode_mapping!K482</f>
        <v>Session</v>
      </c>
      <c r="K482" t="str">
        <f>Lcode_mapping!L482</f>
        <v>Constant</v>
      </c>
      <c r="L482" t="str">
        <f>Lcode_mapping!M482</f>
        <v>I</v>
      </c>
      <c r="M482" t="str">
        <f>Lcode_mapping!N482</f>
        <v>-</v>
      </c>
      <c r="N482" t="str">
        <f>Lcode_mapping!O482</f>
        <v>OBSOLETE</v>
      </c>
      <c r="O482" t="str">
        <f>Lcode_mapping!P482</f>
        <v>-</v>
      </c>
      <c r="P482" t="str">
        <f>Lcode_mapping!Q482</f>
        <v>-</v>
      </c>
      <c r="Q482" t="str">
        <f>Lcode_mapping!R482</f>
        <v>-</v>
      </c>
      <c r="R482" t="str">
        <f>Lcode_mapping!S482</f>
        <v>-</v>
      </c>
      <c r="S482" t="str">
        <f>Lcode_mapping!T482</f>
        <v>-</v>
      </c>
      <c r="T482" t="str">
        <f>Lcode_mapping!U482</f>
        <v>-</v>
      </c>
      <c r="U482" t="str">
        <f>Lcode_mapping!V482</f>
        <v>-</v>
      </c>
      <c r="V482" t="str">
        <f>Lcode_mapping!W482</f>
        <v>-</v>
      </c>
    </row>
    <row r="483" spans="1:22" ht="15" customHeight="1" x14ac:dyDescent="0.25">
      <c r="A483">
        <f>Lcode_mapping!A483</f>
        <v>74</v>
      </c>
      <c r="B483">
        <f>Lcode_mapping!B483</f>
        <v>1</v>
      </c>
      <c r="C483" t="str">
        <f>Lcode_mapping!D483</f>
        <v>RAD TSEC</v>
      </c>
      <c r="D483">
        <f>Lcode_mapping!E483</f>
        <v>1</v>
      </c>
      <c r="E483">
        <f>Lcode_mapping!F483</f>
        <v>1</v>
      </c>
      <c r="F483">
        <f>Lcode_mapping!G483</f>
        <v>1</v>
      </c>
      <c r="G483" t="str">
        <f>Lcode_mapping!H483</f>
        <v>R</v>
      </c>
      <c r="H483">
        <f>Lcode_mapping!I483</f>
        <v>1</v>
      </c>
      <c r="I483" t="str">
        <f>Lcode_mapping!J483</f>
        <v>Radians per time second .</v>
      </c>
      <c r="J483" t="str">
        <f>Lcode_mapping!K483</f>
        <v>Session</v>
      </c>
      <c r="K483" t="str">
        <f>Lcode_mapping!L483</f>
        <v>Constant</v>
      </c>
      <c r="L483" t="str">
        <f>Lcode_mapping!M483</f>
        <v>I</v>
      </c>
      <c r="M483" t="str">
        <f>Lcode_mapping!N483</f>
        <v>-</v>
      </c>
      <c r="N483" t="str">
        <f>Lcode_mapping!O483</f>
        <v>OBSOLETE</v>
      </c>
      <c r="O483" t="str">
        <f>Lcode_mapping!P483</f>
        <v>-</v>
      </c>
      <c r="P483" t="str">
        <f>Lcode_mapping!Q483</f>
        <v>-</v>
      </c>
      <c r="Q483" t="str">
        <f>Lcode_mapping!R483</f>
        <v>-</v>
      </c>
      <c r="R483" t="str">
        <f>Lcode_mapping!S483</f>
        <v>-</v>
      </c>
      <c r="S483" t="str">
        <f>Lcode_mapping!T483</f>
        <v>-</v>
      </c>
      <c r="T483" t="str">
        <f>Lcode_mapping!U483</f>
        <v>-</v>
      </c>
      <c r="U483" t="str">
        <f>Lcode_mapping!V483</f>
        <v>-</v>
      </c>
      <c r="V483" t="str">
        <f>Lcode_mapping!W483</f>
        <v>-</v>
      </c>
    </row>
    <row r="484" spans="1:22" ht="15" customHeight="1" x14ac:dyDescent="0.25">
      <c r="A484">
        <f>Lcode_mapping!A484</f>
        <v>75</v>
      </c>
      <c r="B484">
        <f>Lcode_mapping!B484</f>
        <v>1</v>
      </c>
      <c r="C484" t="str">
        <f>Lcode_mapping!D484</f>
        <v>RAD/ASEC</v>
      </c>
      <c r="D484">
        <f>Lcode_mapping!E484</f>
        <v>1</v>
      </c>
      <c r="E484">
        <f>Lcode_mapping!F484</f>
        <v>1</v>
      </c>
      <c r="F484">
        <f>Lcode_mapping!G484</f>
        <v>1</v>
      </c>
      <c r="G484" t="str">
        <f>Lcode_mapping!H484</f>
        <v>R</v>
      </c>
      <c r="H484">
        <f>Lcode_mapping!I484</f>
        <v>1</v>
      </c>
      <c r="I484" t="str">
        <f>Lcode_mapping!J484</f>
        <v>Radians per arc second .</v>
      </c>
      <c r="J484" t="str">
        <f>Lcode_mapping!K484</f>
        <v>Session</v>
      </c>
      <c r="K484" t="str">
        <f>Lcode_mapping!L484</f>
        <v>Constant</v>
      </c>
      <c r="L484" t="str">
        <f>Lcode_mapping!M484</f>
        <v>I</v>
      </c>
      <c r="M484" t="str">
        <f>Lcode_mapping!N484</f>
        <v>-</v>
      </c>
      <c r="N484" t="str">
        <f>Lcode_mapping!O484</f>
        <v>OBSOLETE</v>
      </c>
      <c r="O484" t="str">
        <f>Lcode_mapping!P484</f>
        <v>-</v>
      </c>
      <c r="P484" t="str">
        <f>Lcode_mapping!Q484</f>
        <v>-</v>
      </c>
      <c r="Q484" t="str">
        <f>Lcode_mapping!R484</f>
        <v>-</v>
      </c>
      <c r="R484" t="str">
        <f>Lcode_mapping!S484</f>
        <v>-</v>
      </c>
      <c r="S484" t="str">
        <f>Lcode_mapping!T484</f>
        <v>-</v>
      </c>
      <c r="T484" t="str">
        <f>Lcode_mapping!U484</f>
        <v>-</v>
      </c>
      <c r="U484" t="str">
        <f>Lcode_mapping!V484</f>
        <v>-</v>
      </c>
      <c r="V484" t="str">
        <f>Lcode_mapping!W484</f>
        <v>-</v>
      </c>
    </row>
    <row r="485" spans="1:22" ht="15" customHeight="1" x14ac:dyDescent="0.25">
      <c r="A485">
        <f>Lcode_mapping!A485</f>
        <v>76</v>
      </c>
      <c r="B485">
        <f>Lcode_mapping!B485</f>
        <v>1</v>
      </c>
      <c r="C485" t="str">
        <f>Lcode_mapping!D485</f>
        <v>RAD/DEG</v>
      </c>
      <c r="D485">
        <f>Lcode_mapping!E485</f>
        <v>1</v>
      </c>
      <c r="E485">
        <f>Lcode_mapping!F485</f>
        <v>1</v>
      </c>
      <c r="F485">
        <f>Lcode_mapping!G485</f>
        <v>1</v>
      </c>
      <c r="G485" t="str">
        <f>Lcode_mapping!H485</f>
        <v>R</v>
      </c>
      <c r="H485">
        <f>Lcode_mapping!I485</f>
        <v>1</v>
      </c>
      <c r="I485" t="str">
        <f>Lcode_mapping!J485</f>
        <v>Number of radians per degree.</v>
      </c>
      <c r="J485" t="str">
        <f>Lcode_mapping!K485</f>
        <v>Session</v>
      </c>
      <c r="K485" t="str">
        <f>Lcode_mapping!L485</f>
        <v>Constant</v>
      </c>
      <c r="L485" t="str">
        <f>Lcode_mapping!M485</f>
        <v>I</v>
      </c>
      <c r="M485" t="str">
        <f>Lcode_mapping!N485</f>
        <v>-</v>
      </c>
      <c r="N485" t="str">
        <f>Lcode_mapping!O485</f>
        <v>OBSOLETE</v>
      </c>
      <c r="O485" t="str">
        <f>Lcode_mapping!P485</f>
        <v>-</v>
      </c>
      <c r="P485" t="str">
        <f>Lcode_mapping!Q485</f>
        <v>-</v>
      </c>
      <c r="Q485" t="str">
        <f>Lcode_mapping!R485</f>
        <v>-</v>
      </c>
      <c r="R485" t="str">
        <f>Lcode_mapping!S485</f>
        <v>-</v>
      </c>
      <c r="S485" t="str">
        <f>Lcode_mapping!T485</f>
        <v>-</v>
      </c>
      <c r="T485" t="str">
        <f>Lcode_mapping!U485</f>
        <v>-</v>
      </c>
      <c r="U485" t="str">
        <f>Lcode_mapping!V485</f>
        <v>-</v>
      </c>
      <c r="V485" t="str">
        <f>Lcode_mapping!W485</f>
        <v>-</v>
      </c>
    </row>
    <row r="486" spans="1:22" ht="15" customHeight="1" x14ac:dyDescent="0.25">
      <c r="A486">
        <f>Lcode_mapping!A486</f>
        <v>77</v>
      </c>
      <c r="B486">
        <f>Lcode_mapping!B486</f>
        <v>1</v>
      </c>
      <c r="C486" t="str">
        <f>Lcode_mapping!D486</f>
        <v>RAD/TSEC</v>
      </c>
      <c r="D486">
        <f>Lcode_mapping!E486</f>
        <v>1</v>
      </c>
      <c r="E486">
        <f>Lcode_mapping!F486</f>
        <v>1</v>
      </c>
      <c r="F486">
        <f>Lcode_mapping!G486</f>
        <v>1</v>
      </c>
      <c r="G486" t="str">
        <f>Lcode_mapping!H486</f>
        <v>R</v>
      </c>
      <c r="H486">
        <f>Lcode_mapping!I486</f>
        <v>1</v>
      </c>
      <c r="I486" t="str">
        <f>Lcode_mapping!J486</f>
        <v>Radians per time second .</v>
      </c>
      <c r="J486" t="str">
        <f>Lcode_mapping!K486</f>
        <v>Session</v>
      </c>
      <c r="K486" t="str">
        <f>Lcode_mapping!L486</f>
        <v>Constant</v>
      </c>
      <c r="L486" t="str">
        <f>Lcode_mapping!M486</f>
        <v>I</v>
      </c>
      <c r="M486" t="str">
        <f>Lcode_mapping!N486</f>
        <v>-</v>
      </c>
      <c r="N486" t="str">
        <f>Lcode_mapping!O486</f>
        <v>OBSOLETE</v>
      </c>
      <c r="O486" t="str">
        <f>Lcode_mapping!P486</f>
        <v>-</v>
      </c>
      <c r="P486" t="str">
        <f>Lcode_mapping!Q486</f>
        <v>-</v>
      </c>
      <c r="Q486" t="str">
        <f>Lcode_mapping!R486</f>
        <v>-</v>
      </c>
      <c r="R486" t="str">
        <f>Lcode_mapping!S486</f>
        <v>-</v>
      </c>
      <c r="S486" t="str">
        <f>Lcode_mapping!T486</f>
        <v>-</v>
      </c>
      <c r="T486" t="str">
        <f>Lcode_mapping!U486</f>
        <v>-</v>
      </c>
      <c r="U486" t="str">
        <f>Lcode_mapping!V486</f>
        <v>-</v>
      </c>
      <c r="V486" t="str">
        <f>Lcode_mapping!W486</f>
        <v>-</v>
      </c>
    </row>
    <row r="487" spans="1:22" ht="15" customHeight="1" x14ac:dyDescent="0.25">
      <c r="A487">
        <f>Lcode_mapping!A487</f>
        <v>79</v>
      </c>
      <c r="B487">
        <f>Lcode_mapping!B487</f>
        <v>1</v>
      </c>
      <c r="C487" t="str">
        <f>Lcode_mapping!D487</f>
        <v>ROTEPOCH</v>
      </c>
      <c r="D487">
        <f>Lcode_mapping!E487</f>
        <v>2</v>
      </c>
      <c r="E487">
        <f>Lcode_mapping!F487</f>
        <v>2</v>
      </c>
      <c r="F487">
        <f>Lcode_mapping!G487</f>
        <v>1</v>
      </c>
      <c r="G487" t="str">
        <f>Lcode_mapping!H487</f>
        <v>R</v>
      </c>
      <c r="H487">
        <f>Lcode_mapping!I487</f>
        <v>5</v>
      </c>
      <c r="I487" t="str">
        <f>Lcode_mapping!J487</f>
        <v>UT1 pole interp.reference epochs</v>
      </c>
      <c r="J487" t="str">
        <f>Lcode_mapping!K487</f>
        <v>Session</v>
      </c>
      <c r="K487" t="str">
        <f>Lcode_mapping!L487</f>
        <v>-</v>
      </c>
      <c r="L487" t="str">
        <f>Lcode_mapping!M487</f>
        <v>I</v>
      </c>
      <c r="M487" t="str">
        <f>Lcode_mapping!N487</f>
        <v>-</v>
      </c>
      <c r="N487" t="str">
        <f>Lcode_mapping!O487</f>
        <v>OBSOLETE</v>
      </c>
      <c r="O487" t="str">
        <f>Lcode_mapping!P487</f>
        <v>-</v>
      </c>
      <c r="P487" t="str">
        <f>Lcode_mapping!Q487</f>
        <v>-</v>
      </c>
      <c r="Q487" t="str">
        <f>Lcode_mapping!R487</f>
        <v>-</v>
      </c>
      <c r="R487" t="str">
        <f>Lcode_mapping!S487</f>
        <v>-</v>
      </c>
      <c r="S487" t="str">
        <f>Lcode_mapping!T487</f>
        <v>-</v>
      </c>
      <c r="T487" t="str">
        <f>Lcode_mapping!U487</f>
        <v>-</v>
      </c>
      <c r="U487" t="str">
        <f>Lcode_mapping!V487</f>
        <v>-</v>
      </c>
      <c r="V487" t="str">
        <f>Lcode_mapping!W487</f>
        <v>-</v>
      </c>
    </row>
    <row r="488" spans="1:22" ht="15" customHeight="1" x14ac:dyDescent="0.25">
      <c r="A488">
        <f>Lcode_mapping!A488</f>
        <v>80</v>
      </c>
      <c r="B488">
        <f>Lcode_mapping!B488</f>
        <v>1</v>
      </c>
      <c r="C488" t="str">
        <f>Lcode_mapping!D488</f>
        <v>S2FLAG</v>
      </c>
      <c r="D488">
        <f>Lcode_mapping!E488</f>
        <v>2</v>
      </c>
      <c r="E488">
        <f>Lcode_mapping!F488</f>
        <v>1</v>
      </c>
      <c r="F488">
        <f>Lcode_mapping!G488</f>
        <v>1</v>
      </c>
      <c r="G488" t="str">
        <f>Lcode_mapping!H488</f>
        <v>A</v>
      </c>
      <c r="H488">
        <f>Lcode_mapping!I488</f>
        <v>3</v>
      </c>
      <c r="I488" t="str">
        <f>Lcode_mapping!J488</f>
        <v>S2 or MKIII Flag</v>
      </c>
      <c r="J488" t="str">
        <f>Lcode_mapping!K488</f>
        <v>Session</v>
      </c>
      <c r="K488" t="str">
        <f>Lcode_mapping!L488</f>
        <v>-</v>
      </c>
      <c r="L488" t="str">
        <f>Lcode_mapping!M488</f>
        <v>I</v>
      </c>
      <c r="M488" t="str">
        <f>Lcode_mapping!N488</f>
        <v>-</v>
      </c>
      <c r="N488" t="str">
        <f>Lcode_mapping!O488</f>
        <v>OBSOLETE</v>
      </c>
      <c r="O488" t="str">
        <f>Lcode_mapping!P488</f>
        <v>-</v>
      </c>
      <c r="P488" t="str">
        <f>Lcode_mapping!Q488</f>
        <v>-</v>
      </c>
      <c r="Q488" t="str">
        <f>Lcode_mapping!R488</f>
        <v>-</v>
      </c>
      <c r="R488" t="str">
        <f>Lcode_mapping!S488</f>
        <v>-</v>
      </c>
      <c r="S488" t="str">
        <f>Lcode_mapping!T488</f>
        <v>-</v>
      </c>
      <c r="T488" t="str">
        <f>Lcode_mapping!U488</f>
        <v>-</v>
      </c>
      <c r="U488" t="str">
        <f>Lcode_mapping!V488</f>
        <v>-</v>
      </c>
      <c r="V488" t="str">
        <f>Lcode_mapping!W488</f>
        <v>-</v>
      </c>
    </row>
    <row r="489" spans="1:22" ht="15" customHeight="1" x14ac:dyDescent="0.25">
      <c r="A489">
        <f>Lcode_mapping!A489</f>
        <v>81</v>
      </c>
      <c r="B489">
        <f>Lcode_mapping!B489</f>
        <v>1</v>
      </c>
      <c r="C489" t="str">
        <f>Lcode_mapping!D489</f>
        <v>SIT ELEV</v>
      </c>
      <c r="D489">
        <f>Lcode_mapping!E489</f>
        <v>11</v>
      </c>
      <c r="E489">
        <f>Lcode_mapping!F489</f>
        <v>1</v>
      </c>
      <c r="F489">
        <f>Lcode_mapping!G489</f>
        <v>1</v>
      </c>
      <c r="G489" t="str">
        <f>Lcode_mapping!H489</f>
        <v>R</v>
      </c>
      <c r="H489">
        <f>Lcode_mapping!I489</f>
        <v>3</v>
      </c>
      <c r="I489" t="str">
        <f>Lcode_mapping!J489</f>
        <v>Height above ellipsoid (meters)</v>
      </c>
      <c r="J489" t="str">
        <f>Lcode_mapping!K489</f>
        <v>Session</v>
      </c>
      <c r="K489" t="str">
        <f>Lcode_mapping!L489</f>
        <v>redundant</v>
      </c>
      <c r="L489" t="str">
        <f>Lcode_mapping!M489</f>
        <v>I</v>
      </c>
      <c r="M489" t="str">
        <f>Lcode_mapping!N489</f>
        <v>-</v>
      </c>
      <c r="N489" t="str">
        <f>Lcode_mapping!O489</f>
        <v>OBSOLETE</v>
      </c>
      <c r="O489" t="str">
        <f>Lcode_mapping!P489</f>
        <v>-</v>
      </c>
      <c r="P489" t="str">
        <f>Lcode_mapping!Q489</f>
        <v>-</v>
      </c>
      <c r="Q489" t="str">
        <f>Lcode_mapping!R489</f>
        <v>-</v>
      </c>
      <c r="R489" t="str">
        <f>Lcode_mapping!S489</f>
        <v>-</v>
      </c>
      <c r="S489" t="str">
        <f>Lcode_mapping!T489</f>
        <v>-</v>
      </c>
      <c r="T489" t="str">
        <f>Lcode_mapping!U489</f>
        <v>-</v>
      </c>
      <c r="U489" t="str">
        <f>Lcode_mapping!V489</f>
        <v>-</v>
      </c>
      <c r="V489" t="str">
        <f>Lcode_mapping!W489</f>
        <v>-</v>
      </c>
    </row>
    <row r="490" spans="1:22" ht="15" customHeight="1" x14ac:dyDescent="0.25">
      <c r="A490">
        <f>Lcode_mapping!A490</f>
        <v>82</v>
      </c>
      <c r="B490">
        <f>Lcode_mapping!B490</f>
        <v>1</v>
      </c>
      <c r="C490" t="str">
        <f>Lcode_mapping!D490</f>
        <v>SIT_KILL</v>
      </c>
      <c r="D490">
        <f>Lcode_mapping!E490</f>
        <v>5</v>
      </c>
      <c r="E490">
        <f>Lcode_mapping!F490</f>
        <v>1</v>
      </c>
      <c r="F490">
        <f>Lcode_mapping!G490</f>
        <v>1</v>
      </c>
      <c r="G490" t="str">
        <f>Lcode_mapping!H490</f>
        <v>A</v>
      </c>
      <c r="H490">
        <f>Lcode_mapping!I490</f>
        <v>3</v>
      </c>
      <c r="I490" t="str">
        <f>Lcode_mapping!J490</f>
        <v>site_killer version date</v>
      </c>
      <c r="J490" t="str">
        <f>Lcode_mapping!K490</f>
        <v>Session</v>
      </c>
      <c r="K490" t="str">
        <f>Lcode_mapping!L490</f>
        <v>-</v>
      </c>
      <c r="L490" t="str">
        <f>Lcode_mapping!M490</f>
        <v>I</v>
      </c>
      <c r="M490" t="str">
        <f>Lcode_mapping!N490</f>
        <v>-</v>
      </c>
      <c r="N490" t="str">
        <f>Lcode_mapping!O490</f>
        <v>OBSOLETE</v>
      </c>
      <c r="O490" t="str">
        <f>Lcode_mapping!P490</f>
        <v>-</v>
      </c>
      <c r="P490" t="str">
        <f>Lcode_mapping!Q490</f>
        <v>-</v>
      </c>
      <c r="Q490" t="str">
        <f>Lcode_mapping!R490</f>
        <v>-</v>
      </c>
      <c r="R490" t="str">
        <f>Lcode_mapping!S490</f>
        <v>-</v>
      </c>
      <c r="S490" t="str">
        <f>Lcode_mapping!T490</f>
        <v>-</v>
      </c>
      <c r="T490" t="str">
        <f>Lcode_mapping!U490</f>
        <v>-</v>
      </c>
      <c r="U490" t="str">
        <f>Lcode_mapping!V490</f>
        <v>-</v>
      </c>
      <c r="V490" t="str">
        <f>Lcode_mapping!W490</f>
        <v>-</v>
      </c>
    </row>
    <row r="491" spans="1:22" ht="15" customHeight="1" x14ac:dyDescent="0.25">
      <c r="A491">
        <f>Lcode_mapping!A491</f>
        <v>84</v>
      </c>
      <c r="B491">
        <f>Lcode_mapping!B491</f>
        <v>1</v>
      </c>
      <c r="C491" t="str">
        <f>Lcode_mapping!D491</f>
        <v>SLEWRATS</v>
      </c>
      <c r="D491">
        <f>Lcode_mapping!E491</f>
        <v>2</v>
      </c>
      <c r="E491">
        <f>Lcode_mapping!F491</f>
        <v>3</v>
      </c>
      <c r="F491">
        <f>Lcode_mapping!G491</f>
        <v>1</v>
      </c>
      <c r="G491" t="str">
        <f>Lcode_mapping!H491</f>
        <v>R</v>
      </c>
      <c r="H491">
        <f>Lcode_mapping!I491</f>
        <v>1</v>
      </c>
      <c r="I491" t="str">
        <f>Lcode_mapping!J491</f>
        <v>Antenna slew rates (rad/sec).</v>
      </c>
      <c r="J491" t="str">
        <f>Lcode_mapping!K491</f>
        <v>Session</v>
      </c>
      <c r="K491" t="str">
        <f>Lcode_mapping!L491</f>
        <v>-</v>
      </c>
      <c r="L491" t="str">
        <f>Lcode_mapping!M491</f>
        <v>I</v>
      </c>
      <c r="M491" t="str">
        <f>Lcode_mapping!N491</f>
        <v>-</v>
      </c>
      <c r="N491" t="str">
        <f>Lcode_mapping!O491</f>
        <v>OBSOLETE</v>
      </c>
      <c r="O491" t="str">
        <f>Lcode_mapping!P491</f>
        <v>-</v>
      </c>
      <c r="P491" t="str">
        <f>Lcode_mapping!Q491</f>
        <v>-</v>
      </c>
      <c r="Q491" t="str">
        <f>Lcode_mapping!R491</f>
        <v>-</v>
      </c>
      <c r="R491" t="str">
        <f>Lcode_mapping!S491</f>
        <v>-</v>
      </c>
      <c r="S491" t="str">
        <f>Lcode_mapping!T491</f>
        <v>-</v>
      </c>
      <c r="T491" t="str">
        <f>Lcode_mapping!U491</f>
        <v>-</v>
      </c>
      <c r="U491" t="str">
        <f>Lcode_mapping!V491</f>
        <v>-</v>
      </c>
      <c r="V491" t="str">
        <f>Lcode_mapping!W491</f>
        <v>-</v>
      </c>
    </row>
    <row r="492" spans="1:22" ht="15" customHeight="1" x14ac:dyDescent="0.25">
      <c r="A492">
        <f>Lcode_mapping!A492</f>
        <v>85</v>
      </c>
      <c r="B492">
        <f>Lcode_mapping!B492</f>
        <v>1</v>
      </c>
      <c r="C492" t="str">
        <f>Lcode_mapping!D492</f>
        <v>SOL_DATA</v>
      </c>
      <c r="D492">
        <f>Lcode_mapping!E492</f>
        <v>1</v>
      </c>
      <c r="E492">
        <f>Lcode_mapping!F492</f>
        <v>1</v>
      </c>
      <c r="F492">
        <f>Lcode_mapping!G492</f>
        <v>1</v>
      </c>
      <c r="G492" t="str">
        <f>Lcode_mapping!H492</f>
        <v>I</v>
      </c>
      <c r="H492">
        <f>Lcode_mapping!I492</f>
        <v>2</v>
      </c>
      <c r="I492" t="str">
        <f>Lcode_mapping!J492</f>
        <v>Stnd sol data. IDATYP from SOCOM</v>
      </c>
      <c r="J492" t="str">
        <f>Lcode_mapping!K492</f>
        <v>Session</v>
      </c>
      <c r="K492" t="str">
        <f>Lcode_mapping!L492</f>
        <v>-</v>
      </c>
      <c r="L492" t="str">
        <f>Lcode_mapping!M492</f>
        <v>I</v>
      </c>
      <c r="M492" t="str">
        <f>Lcode_mapping!N492</f>
        <v>-</v>
      </c>
      <c r="N492" t="str">
        <f>Lcode_mapping!O492</f>
        <v>OBSOLETE</v>
      </c>
      <c r="O492" t="str">
        <f>Lcode_mapping!P492</f>
        <v>-</v>
      </c>
      <c r="P492" t="str">
        <f>Lcode_mapping!Q492</f>
        <v>-</v>
      </c>
      <c r="Q492" t="str">
        <f>Lcode_mapping!R492</f>
        <v>-</v>
      </c>
      <c r="R492" t="str">
        <f>Lcode_mapping!S492</f>
        <v>-</v>
      </c>
      <c r="S492" t="str">
        <f>Lcode_mapping!T492</f>
        <v>-</v>
      </c>
      <c r="T492" t="str">
        <f>Lcode_mapping!U492</f>
        <v>-</v>
      </c>
      <c r="U492" t="str">
        <f>Lcode_mapping!V492</f>
        <v>-</v>
      </c>
      <c r="V492" t="str">
        <f>Lcode_mapping!W492</f>
        <v>-</v>
      </c>
    </row>
    <row r="493" spans="1:22" ht="15" customHeight="1" x14ac:dyDescent="0.25">
      <c r="A493">
        <f>Lcode_mapping!A493</f>
        <v>86</v>
      </c>
      <c r="B493">
        <f>Lcode_mapping!B493</f>
        <v>1</v>
      </c>
      <c r="C493" t="str">
        <f>Lcode_mapping!D493</f>
        <v>SOLVE_VR</v>
      </c>
      <c r="D493">
        <f>Lcode_mapping!E493</f>
        <v>1</v>
      </c>
      <c r="E493">
        <f>Lcode_mapping!F493</f>
        <v>1</v>
      </c>
      <c r="F493">
        <f>Lcode_mapping!G493</f>
        <v>1</v>
      </c>
      <c r="G493" t="str">
        <f>Lcode_mapping!H493</f>
        <v>R</v>
      </c>
      <c r="H493">
        <f>Lcode_mapping!I493</f>
        <v>1</v>
      </c>
      <c r="I493" t="str">
        <f>Lcode_mapping!J493</f>
        <v>SOLVE system version number</v>
      </c>
      <c r="J493" t="str">
        <f>Lcode_mapping!K493</f>
        <v>Session</v>
      </c>
      <c r="K493" t="str">
        <f>Lcode_mapping!L493</f>
        <v>-</v>
      </c>
      <c r="L493" t="str">
        <f>Lcode_mapping!M493</f>
        <v>I</v>
      </c>
      <c r="M493" t="str">
        <f>Lcode_mapping!N493</f>
        <v>-</v>
      </c>
      <c r="N493" t="str">
        <f>Lcode_mapping!O493</f>
        <v>OBSOLETE</v>
      </c>
      <c r="O493" t="str">
        <f>Lcode_mapping!P493</f>
        <v>-</v>
      </c>
      <c r="P493" t="str">
        <f>Lcode_mapping!Q493</f>
        <v>-</v>
      </c>
      <c r="Q493" t="str">
        <f>Lcode_mapping!R493</f>
        <v>-</v>
      </c>
      <c r="R493" t="str">
        <f>Lcode_mapping!S493</f>
        <v>-</v>
      </c>
      <c r="S493" t="str">
        <f>Lcode_mapping!T493</f>
        <v>-</v>
      </c>
      <c r="T493" t="str">
        <f>Lcode_mapping!U493</f>
        <v>-</v>
      </c>
      <c r="U493" t="str">
        <f>Lcode_mapping!V493</f>
        <v>-</v>
      </c>
      <c r="V493" t="str">
        <f>Lcode_mapping!W493</f>
        <v>-</v>
      </c>
    </row>
    <row r="494" spans="1:22" ht="15" customHeight="1" x14ac:dyDescent="0.25">
      <c r="A494">
        <f>Lcode_mapping!A494</f>
        <v>87</v>
      </c>
      <c r="B494">
        <f>Lcode_mapping!B494</f>
        <v>1</v>
      </c>
      <c r="C494" t="str">
        <f>Lcode_mapping!D494</f>
        <v>SUPMET</v>
      </c>
      <c r="D494">
        <f>Lcode_mapping!E494</f>
        <v>1</v>
      </c>
      <c r="E494">
        <f>Lcode_mapping!F494</f>
        <v>1</v>
      </c>
      <c r="F494">
        <f>Lcode_mapping!G494</f>
        <v>1</v>
      </c>
      <c r="G494" t="str">
        <f>Lcode_mapping!H494</f>
        <v>I</v>
      </c>
      <c r="H494">
        <f>Lcode_mapping!I494</f>
        <v>4</v>
      </c>
      <c r="I494" t="str">
        <f>Lcode_mapping!J494</f>
        <v>Suppression method</v>
      </c>
      <c r="J494" t="str">
        <f>Lcode_mapping!K494</f>
        <v>Session</v>
      </c>
      <c r="K494" t="str">
        <f>Lcode_mapping!L494</f>
        <v>-</v>
      </c>
      <c r="L494" t="str">
        <f>Lcode_mapping!M494</f>
        <v>I</v>
      </c>
      <c r="M494" t="str">
        <f>Lcode_mapping!N494</f>
        <v>-</v>
      </c>
      <c r="N494" t="str">
        <f>Lcode_mapping!O494</f>
        <v>OBSOLETE</v>
      </c>
      <c r="O494" t="str">
        <f>Lcode_mapping!P494</f>
        <v>-</v>
      </c>
      <c r="P494" t="str">
        <f>Lcode_mapping!Q494</f>
        <v>-</v>
      </c>
      <c r="Q494" t="str">
        <f>Lcode_mapping!R494</f>
        <v>-</v>
      </c>
      <c r="R494" t="str">
        <f>Lcode_mapping!S494</f>
        <v>-</v>
      </c>
      <c r="S494" t="str">
        <f>Lcode_mapping!T494</f>
        <v>-</v>
      </c>
      <c r="T494" t="str">
        <f>Lcode_mapping!U494</f>
        <v>-</v>
      </c>
      <c r="U494" t="str">
        <f>Lcode_mapping!V494</f>
        <v>-</v>
      </c>
      <c r="V494" t="str">
        <f>Lcode_mapping!W494</f>
        <v>-</v>
      </c>
    </row>
    <row r="495" spans="1:22" ht="15" customHeight="1" x14ac:dyDescent="0.25">
      <c r="A495">
        <f>Lcode_mapping!A495</f>
        <v>88</v>
      </c>
      <c r="B495">
        <f>Lcode_mapping!B495</f>
        <v>1</v>
      </c>
      <c r="C495" t="str">
        <f>Lcode_mapping!D495</f>
        <v>TECTMODL</v>
      </c>
      <c r="D495">
        <f>Lcode_mapping!E495</f>
        <v>40</v>
      </c>
      <c r="E495">
        <f>Lcode_mapping!F495</f>
        <v>1</v>
      </c>
      <c r="F495">
        <f>Lcode_mapping!G495</f>
        <v>1</v>
      </c>
      <c r="G495" t="str">
        <f>Lcode_mapping!H495</f>
        <v>A</v>
      </c>
      <c r="H495">
        <f>Lcode_mapping!I495</f>
        <v>1</v>
      </c>
      <c r="I495" t="str">
        <f>Lcode_mapping!J495</f>
        <v>Default tectonic plate modelname</v>
      </c>
      <c r="J495" t="str">
        <f>Lcode_mapping!K495</f>
        <v>Session</v>
      </c>
      <c r="K495" t="str">
        <f>Lcode_mapping!L495</f>
        <v>obsolete</v>
      </c>
      <c r="L495" t="str">
        <f>Lcode_mapping!M495</f>
        <v>I</v>
      </c>
      <c r="M495" t="str">
        <f>Lcode_mapping!N495</f>
        <v>-</v>
      </c>
      <c r="N495" t="str">
        <f>Lcode_mapping!O495</f>
        <v>OBSOLETE</v>
      </c>
      <c r="O495" t="str">
        <f>Lcode_mapping!P495</f>
        <v>-</v>
      </c>
      <c r="P495" t="str">
        <f>Lcode_mapping!Q495</f>
        <v>-</v>
      </c>
      <c r="Q495" t="str">
        <f>Lcode_mapping!R495</f>
        <v>-</v>
      </c>
      <c r="R495" t="str">
        <f>Lcode_mapping!S495</f>
        <v>-</v>
      </c>
      <c r="S495" t="str">
        <f>Lcode_mapping!T495</f>
        <v>-</v>
      </c>
      <c r="T495" t="str">
        <f>Lcode_mapping!U495</f>
        <v>-</v>
      </c>
      <c r="U495" t="str">
        <f>Lcode_mapping!V495</f>
        <v>-</v>
      </c>
      <c r="V495" t="str">
        <f>Lcode_mapping!W495</f>
        <v>-</v>
      </c>
    </row>
    <row r="496" spans="1:22" ht="15" customHeight="1" x14ac:dyDescent="0.25">
      <c r="A496">
        <f>Lcode_mapping!A496</f>
        <v>90</v>
      </c>
      <c r="B496">
        <f>Lcode_mapping!B496</f>
        <v>1</v>
      </c>
      <c r="C496" t="str">
        <f>Lcode_mapping!D496</f>
        <v>TSEC/AU</v>
      </c>
      <c r="D496">
        <f>Lcode_mapping!E496</f>
        <v>1</v>
      </c>
      <c r="E496">
        <f>Lcode_mapping!F496</f>
        <v>1</v>
      </c>
      <c r="F496">
        <f>Lcode_mapping!G496</f>
        <v>1</v>
      </c>
      <c r="G496" t="str">
        <f>Lcode_mapping!H496</f>
        <v>R</v>
      </c>
      <c r="H496">
        <f>Lcode_mapping!I496</f>
        <v>1</v>
      </c>
      <c r="I496" t="str">
        <f>Lcode_mapping!J496</f>
        <v>Number of seconds per A.U.</v>
      </c>
      <c r="J496" t="str">
        <f>Lcode_mapping!K496</f>
        <v>Session</v>
      </c>
      <c r="K496" t="str">
        <f>Lcode_mapping!L496</f>
        <v>Constant</v>
      </c>
      <c r="L496" t="str">
        <f>Lcode_mapping!M496</f>
        <v>I</v>
      </c>
      <c r="M496" t="str">
        <f>Lcode_mapping!N496</f>
        <v>-</v>
      </c>
      <c r="N496" t="str">
        <f>Lcode_mapping!O496</f>
        <v>OBSOLETE</v>
      </c>
      <c r="O496" t="str">
        <f>Lcode_mapping!P496</f>
        <v>-</v>
      </c>
      <c r="P496" t="str">
        <f>Lcode_mapping!Q496</f>
        <v>-</v>
      </c>
      <c r="Q496" t="str">
        <f>Lcode_mapping!R496</f>
        <v>-</v>
      </c>
      <c r="R496" t="str">
        <f>Lcode_mapping!S496</f>
        <v>-</v>
      </c>
      <c r="S496" t="str">
        <f>Lcode_mapping!T496</f>
        <v>-</v>
      </c>
      <c r="T496" t="str">
        <f>Lcode_mapping!U496</f>
        <v>-</v>
      </c>
      <c r="U496" t="str">
        <f>Lcode_mapping!V496</f>
        <v>-</v>
      </c>
      <c r="V496" t="str">
        <f>Lcode_mapping!W496</f>
        <v>-</v>
      </c>
    </row>
    <row r="497" spans="1:22" ht="15" customHeight="1" x14ac:dyDescent="0.25">
      <c r="A497">
        <f>Lcode_mapping!A497</f>
        <v>91</v>
      </c>
      <c r="B497">
        <f>Lcode_mapping!B497</f>
        <v>1</v>
      </c>
      <c r="C497" t="str">
        <f>Lcode_mapping!D497</f>
        <v>TSEC/DAY</v>
      </c>
      <c r="D497">
        <f>Lcode_mapping!E497</f>
        <v>1</v>
      </c>
      <c r="E497">
        <f>Lcode_mapping!F497</f>
        <v>1</v>
      </c>
      <c r="F497">
        <f>Lcode_mapping!G497</f>
        <v>1</v>
      </c>
      <c r="G497" t="str">
        <f>Lcode_mapping!H497</f>
        <v>R</v>
      </c>
      <c r="H497">
        <f>Lcode_mapping!I497</f>
        <v>1</v>
      </c>
      <c r="I497" t="str">
        <f>Lcode_mapping!J497</f>
        <v>Second per day .</v>
      </c>
      <c r="J497" t="str">
        <f>Lcode_mapping!K497</f>
        <v>Session</v>
      </c>
      <c r="K497" t="str">
        <f>Lcode_mapping!L497</f>
        <v>Constant</v>
      </c>
      <c r="L497" t="str">
        <f>Lcode_mapping!M497</f>
        <v>I</v>
      </c>
      <c r="M497" t="str">
        <f>Lcode_mapping!N497</f>
        <v>-</v>
      </c>
      <c r="N497" t="str">
        <f>Lcode_mapping!O497</f>
        <v>OBSOLETE</v>
      </c>
      <c r="O497" t="str">
        <f>Lcode_mapping!P497</f>
        <v>-</v>
      </c>
      <c r="P497" t="str">
        <f>Lcode_mapping!Q497</f>
        <v>-</v>
      </c>
      <c r="Q497" t="str">
        <f>Lcode_mapping!R497</f>
        <v>-</v>
      </c>
      <c r="R497" t="str">
        <f>Lcode_mapping!S497</f>
        <v>-</v>
      </c>
      <c r="S497" t="str">
        <f>Lcode_mapping!T497</f>
        <v>-</v>
      </c>
      <c r="T497" t="str">
        <f>Lcode_mapping!U497</f>
        <v>-</v>
      </c>
      <c r="U497" t="str">
        <f>Lcode_mapping!V497</f>
        <v>-</v>
      </c>
      <c r="V497" t="str">
        <f>Lcode_mapping!W497</f>
        <v>-</v>
      </c>
    </row>
    <row r="498" spans="1:22" ht="15" customHeight="1" x14ac:dyDescent="0.25">
      <c r="A498">
        <f>Lcode_mapping!A498</f>
        <v>92</v>
      </c>
      <c r="B498">
        <f>Lcode_mapping!B498</f>
        <v>1</v>
      </c>
      <c r="C498" t="str">
        <f>Lcode_mapping!D498</f>
        <v>TWOPI</v>
      </c>
      <c r="D498">
        <f>Lcode_mapping!E498</f>
        <v>1</v>
      </c>
      <c r="E498">
        <f>Lcode_mapping!F498</f>
        <v>1</v>
      </c>
      <c r="F498">
        <f>Lcode_mapping!G498</f>
        <v>1</v>
      </c>
      <c r="G498" t="str">
        <f>Lcode_mapping!H498</f>
        <v>R</v>
      </c>
      <c r="H498">
        <f>Lcode_mapping!I498</f>
        <v>1</v>
      </c>
      <c r="I498" t="str">
        <f>Lcode_mapping!J498</f>
        <v>TWO PI .</v>
      </c>
      <c r="J498" t="str">
        <f>Lcode_mapping!K498</f>
        <v>Session</v>
      </c>
      <c r="K498" t="str">
        <f>Lcode_mapping!L498</f>
        <v>Constant</v>
      </c>
      <c r="L498" t="str">
        <f>Lcode_mapping!M498</f>
        <v>I</v>
      </c>
      <c r="M498" t="str">
        <f>Lcode_mapping!N498</f>
        <v>-</v>
      </c>
      <c r="N498" t="str">
        <f>Lcode_mapping!O498</f>
        <v>OBSOLETE</v>
      </c>
      <c r="O498" t="str">
        <f>Lcode_mapping!P498</f>
        <v>-</v>
      </c>
      <c r="P498" t="str">
        <f>Lcode_mapping!Q498</f>
        <v>-</v>
      </c>
      <c r="Q498" t="str">
        <f>Lcode_mapping!R498</f>
        <v>-</v>
      </c>
      <c r="R498" t="str">
        <f>Lcode_mapping!S498</f>
        <v>-</v>
      </c>
      <c r="S498" t="str">
        <f>Lcode_mapping!T498</f>
        <v>-</v>
      </c>
      <c r="T498" t="str">
        <f>Lcode_mapping!U498</f>
        <v>-</v>
      </c>
      <c r="U498" t="str">
        <f>Lcode_mapping!V498</f>
        <v>-</v>
      </c>
      <c r="V498" t="str">
        <f>Lcode_mapping!W498</f>
        <v>-</v>
      </c>
    </row>
    <row r="499" spans="1:22" ht="15" customHeight="1" x14ac:dyDescent="0.25">
      <c r="A499">
        <f>Lcode_mapping!A499</f>
        <v>93</v>
      </c>
      <c r="B499">
        <f>Lcode_mapping!B499</f>
        <v>1</v>
      </c>
      <c r="C499" t="str">
        <f>Lcode_mapping!D499</f>
        <v>U-GRV-CN</v>
      </c>
      <c r="D499">
        <f>Lcode_mapping!E499</f>
        <v>1</v>
      </c>
      <c r="E499">
        <f>Lcode_mapping!F499</f>
        <v>1</v>
      </c>
      <c r="F499">
        <f>Lcode_mapping!G499</f>
        <v>1</v>
      </c>
      <c r="G499" t="str">
        <f>Lcode_mapping!H499</f>
        <v>R</v>
      </c>
      <c r="H499">
        <f>Lcode_mapping!I499</f>
        <v>1</v>
      </c>
      <c r="I499" t="str">
        <f>Lcode_mapping!J499</f>
        <v>Universal grav con m^3/kg*s^3.</v>
      </c>
      <c r="J499" t="str">
        <f>Lcode_mapping!K499</f>
        <v>Session</v>
      </c>
      <c r="K499" t="str">
        <f>Lcode_mapping!L499</f>
        <v>Constant</v>
      </c>
      <c r="L499" t="str">
        <f>Lcode_mapping!M499</f>
        <v>I</v>
      </c>
      <c r="M499" t="str">
        <f>Lcode_mapping!N499</f>
        <v>-</v>
      </c>
      <c r="N499" t="str">
        <f>Lcode_mapping!O499</f>
        <v>OBSOLETE</v>
      </c>
      <c r="O499" t="str">
        <f>Lcode_mapping!P499</f>
        <v>-</v>
      </c>
      <c r="P499" t="str">
        <f>Lcode_mapping!Q499</f>
        <v>-</v>
      </c>
      <c r="Q499" t="str">
        <f>Lcode_mapping!R499</f>
        <v>-</v>
      </c>
      <c r="R499" t="str">
        <f>Lcode_mapping!S499</f>
        <v>-</v>
      </c>
      <c r="S499" t="str">
        <f>Lcode_mapping!T499</f>
        <v>-</v>
      </c>
      <c r="T499" t="str">
        <f>Lcode_mapping!U499</f>
        <v>-</v>
      </c>
      <c r="U499" t="str">
        <f>Lcode_mapping!V499</f>
        <v>-</v>
      </c>
      <c r="V499" t="str">
        <f>Lcode_mapping!W499</f>
        <v>-</v>
      </c>
    </row>
    <row r="500" spans="1:22" ht="15" customHeight="1" x14ac:dyDescent="0.25">
      <c r="A500">
        <f>Lcode_mapping!A500</f>
        <v>98</v>
      </c>
      <c r="B500">
        <f>Lcode_mapping!B500</f>
        <v>1</v>
      </c>
      <c r="C500" t="str">
        <f>Lcode_mapping!D500</f>
        <v>VLIGHT</v>
      </c>
      <c r="D500">
        <f>Lcode_mapping!E500</f>
        <v>1</v>
      </c>
      <c r="E500">
        <f>Lcode_mapping!F500</f>
        <v>1</v>
      </c>
      <c r="F500">
        <f>Lcode_mapping!G500</f>
        <v>1</v>
      </c>
      <c r="G500" t="str">
        <f>Lcode_mapping!H500</f>
        <v>R</v>
      </c>
      <c r="H500">
        <f>Lcode_mapping!I500</f>
        <v>1</v>
      </c>
      <c r="I500" t="str">
        <f>Lcode_mapping!J500</f>
        <v>The speed of light (m/sec).</v>
      </c>
      <c r="J500" t="str">
        <f>Lcode_mapping!K500</f>
        <v>Session</v>
      </c>
      <c r="K500" t="str">
        <f>Lcode_mapping!L500</f>
        <v>Constant</v>
      </c>
      <c r="L500" t="str">
        <f>Lcode_mapping!M500</f>
        <v>I</v>
      </c>
      <c r="M500" t="str">
        <f>Lcode_mapping!N500</f>
        <v>-</v>
      </c>
      <c r="N500" t="str">
        <f>Lcode_mapping!O500</f>
        <v>OBSOLETE</v>
      </c>
      <c r="O500" t="str">
        <f>Lcode_mapping!P500</f>
        <v>-</v>
      </c>
      <c r="P500" t="str">
        <f>Lcode_mapping!Q500</f>
        <v>-</v>
      </c>
      <c r="Q500" t="str">
        <f>Lcode_mapping!R500</f>
        <v>-</v>
      </c>
      <c r="R500" t="str">
        <f>Lcode_mapping!S500</f>
        <v>-</v>
      </c>
      <c r="S500" t="str">
        <f>Lcode_mapping!T500</f>
        <v>-</v>
      </c>
      <c r="T500" t="str">
        <f>Lcode_mapping!U500</f>
        <v>-</v>
      </c>
      <c r="U500" t="str">
        <f>Lcode_mapping!V500</f>
        <v>-</v>
      </c>
      <c r="V500" t="str">
        <f>Lcode_mapping!W500</f>
        <v>-</v>
      </c>
    </row>
    <row r="501" spans="1:22" ht="15" customHeight="1" x14ac:dyDescent="0.25">
      <c r="A501">
        <f>Lcode_mapping!A501</f>
        <v>99</v>
      </c>
      <c r="B501">
        <f>Lcode_mapping!B501</f>
        <v>1</v>
      </c>
      <c r="C501" t="str">
        <f>Lcode_mapping!D501</f>
        <v>WBEPOCH</v>
      </c>
      <c r="D501">
        <f>Lcode_mapping!E501</f>
        <v>1</v>
      </c>
      <c r="E501">
        <f>Lcode_mapping!F501</f>
        <v>1</v>
      </c>
      <c r="F501">
        <f>Lcode_mapping!G501</f>
        <v>1</v>
      </c>
      <c r="G501" t="str">
        <f>Lcode_mapping!H501</f>
        <v>R</v>
      </c>
      <c r="H501">
        <f>Lcode_mapping!I501</f>
        <v>1</v>
      </c>
      <c r="I501" t="str">
        <f>Lcode_mapping!J501</f>
        <v>LIST OF SITE NMES FOR EPOCHS</v>
      </c>
      <c r="J501" t="str">
        <f>Lcode_mapping!K501</f>
        <v>Session</v>
      </c>
      <c r="K501" t="str">
        <f>Lcode_mapping!L501</f>
        <v>obsolete</v>
      </c>
      <c r="L501" t="str">
        <f>Lcode_mapping!M501</f>
        <v>I</v>
      </c>
      <c r="M501" t="str">
        <f>Lcode_mapping!N501</f>
        <v>-</v>
      </c>
      <c r="N501" t="str">
        <f>Lcode_mapping!O501</f>
        <v>OBSOLETE</v>
      </c>
      <c r="O501" t="str">
        <f>Lcode_mapping!P501</f>
        <v>-</v>
      </c>
      <c r="P501" t="str">
        <f>Lcode_mapping!Q501</f>
        <v>-</v>
      </c>
      <c r="Q501" t="str">
        <f>Lcode_mapping!R501</f>
        <v>-</v>
      </c>
      <c r="R501" t="str">
        <f>Lcode_mapping!S501</f>
        <v>-</v>
      </c>
      <c r="S501" t="str">
        <f>Lcode_mapping!T501</f>
        <v>-</v>
      </c>
      <c r="T501" t="str">
        <f>Lcode_mapping!U501</f>
        <v>-</v>
      </c>
      <c r="U501" t="str">
        <f>Lcode_mapping!V501</f>
        <v>-</v>
      </c>
      <c r="V501" t="str">
        <f>Lcode_mapping!W501</f>
        <v>-</v>
      </c>
    </row>
    <row r="502" spans="1:22" ht="15" customHeight="1" x14ac:dyDescent="0.25">
      <c r="A502">
        <f>Lcode_mapping!A502</f>
        <v>100</v>
      </c>
      <c r="B502">
        <f>Lcode_mapping!B502</f>
        <v>1</v>
      </c>
      <c r="C502" t="str">
        <f>Lcode_mapping!D502</f>
        <v>WVR STAT</v>
      </c>
      <c r="D502">
        <f>Lcode_mapping!E502</f>
        <v>4</v>
      </c>
      <c r="E502">
        <f>Lcode_mapping!F502</f>
        <v>5</v>
      </c>
      <c r="F502">
        <f>Lcode_mapping!G502</f>
        <v>1</v>
      </c>
      <c r="G502" t="str">
        <f>Lcode_mapping!H502</f>
        <v>A</v>
      </c>
      <c r="H502">
        <f>Lcode_mapping!I502</f>
        <v>3</v>
      </c>
      <c r="I502" t="str">
        <f>Lcode_mapping!J502</f>
        <v>Stations with WVR calib .</v>
      </c>
      <c r="J502" t="str">
        <f>Lcode_mapping!K502</f>
        <v>Session</v>
      </c>
      <c r="K502" t="str">
        <f>Lcode_mapping!L502</f>
        <v>-</v>
      </c>
      <c r="L502" t="str">
        <f>Lcode_mapping!M502</f>
        <v>I</v>
      </c>
      <c r="M502" t="str">
        <f>Lcode_mapping!N502</f>
        <v>-</v>
      </c>
      <c r="N502" t="str">
        <f>Lcode_mapping!O502</f>
        <v>OBSOLETE</v>
      </c>
      <c r="O502" t="str">
        <f>Lcode_mapping!P502</f>
        <v>-</v>
      </c>
      <c r="P502" t="str">
        <f>Lcode_mapping!Q502</f>
        <v>-</v>
      </c>
      <c r="Q502" t="str">
        <f>Lcode_mapping!R502</f>
        <v>-</v>
      </c>
      <c r="R502" t="str">
        <f>Lcode_mapping!S502</f>
        <v>-</v>
      </c>
      <c r="S502" t="str">
        <f>Lcode_mapping!T502</f>
        <v>-</v>
      </c>
      <c r="T502" t="str">
        <f>Lcode_mapping!U502</f>
        <v>-</v>
      </c>
      <c r="U502" t="str">
        <f>Lcode_mapping!V502</f>
        <v>-</v>
      </c>
      <c r="V502" t="str">
        <f>Lcode_mapping!W502</f>
        <v>-</v>
      </c>
    </row>
    <row r="503" spans="1:22" ht="15" customHeight="1" x14ac:dyDescent="0.25">
      <c r="A503">
        <f>Lcode_mapping!A503</f>
        <v>254</v>
      </c>
      <c r="B503">
        <f>Lcode_mapping!B503</f>
        <v>1</v>
      </c>
      <c r="C503" t="str">
        <f>Lcode_mapping!D503</f>
        <v>A1 - TAI</v>
      </c>
      <c r="D503">
        <f>Lcode_mapping!E503</f>
        <v>3</v>
      </c>
      <c r="E503">
        <f>Lcode_mapping!F503</f>
        <v>1</v>
      </c>
      <c r="F503">
        <f>Lcode_mapping!G503</f>
        <v>1</v>
      </c>
      <c r="G503" t="str">
        <f>Lcode_mapping!H503</f>
        <v>R</v>
      </c>
      <c r="H503">
        <f>Lcode_mapping!I503</f>
        <v>5</v>
      </c>
      <c r="I503" t="str">
        <f>Lcode_mapping!J503</f>
        <v>TAI USNO- TAI BIH = 0.03439 sec.</v>
      </c>
      <c r="J503" t="str">
        <f>Lcode_mapping!K503</f>
        <v>Session</v>
      </c>
      <c r="K503" t="str">
        <f>Lcode_mapping!L503</f>
        <v>Constant</v>
      </c>
      <c r="L503" t="str">
        <f>Lcode_mapping!M503</f>
        <v>I</v>
      </c>
      <c r="M503" t="str">
        <f>Lcode_mapping!N503</f>
        <v>-</v>
      </c>
      <c r="N503" t="str">
        <f>Lcode_mapping!O503</f>
        <v>OBSOLETE</v>
      </c>
      <c r="O503" t="str">
        <f>Lcode_mapping!P503</f>
        <v>Obsolete</v>
      </c>
      <c r="P503" t="str">
        <f>Lcode_mapping!Q503</f>
        <v>-</v>
      </c>
      <c r="Q503" t="str">
        <f>Lcode_mapping!R503</f>
        <v>A1minusTAI</v>
      </c>
      <c r="R503" t="str">
        <f>Lcode_mapping!S503</f>
        <v>-</v>
      </c>
      <c r="S503" t="str">
        <f>Lcode_mapping!T503</f>
        <v>-</v>
      </c>
      <c r="T503" t="str">
        <f>Lcode_mapping!U503</f>
        <v>-</v>
      </c>
      <c r="U503" t="str">
        <f>Lcode_mapping!V503</f>
        <v>second</v>
      </c>
      <c r="V503" t="str">
        <f>Lcode_mapping!W503</f>
        <v>-</v>
      </c>
    </row>
    <row r="504" spans="1:22" ht="15" customHeight="1" x14ac:dyDescent="0.25">
      <c r="A504">
        <f>Lcode_mapping!A504</f>
        <v>255</v>
      </c>
      <c r="B504">
        <f>Lcode_mapping!B504</f>
        <v>1</v>
      </c>
      <c r="C504" t="str">
        <f>Lcode_mapping!D504</f>
        <v>A1 - UTC</v>
      </c>
      <c r="D504">
        <f>Lcode_mapping!E504</f>
        <v>3</v>
      </c>
      <c r="E504">
        <f>Lcode_mapping!F504</f>
        <v>1</v>
      </c>
      <c r="F504">
        <f>Lcode_mapping!G504</f>
        <v>1</v>
      </c>
      <c r="G504" t="str">
        <f>Lcode_mapping!H504</f>
        <v>R</v>
      </c>
      <c r="H504">
        <f>Lcode_mapping!I504</f>
        <v>5</v>
      </c>
      <c r="I504" t="str">
        <f>Lcode_mapping!J504</f>
        <v>FJD  A1-UTC (sec) rate off.(sec)</v>
      </c>
      <c r="J504" t="str">
        <f>Lcode_mapping!K504</f>
        <v>Session</v>
      </c>
      <c r="K504" t="str">
        <f>Lcode_mapping!L504</f>
        <v>-</v>
      </c>
      <c r="L504" t="str">
        <f>Lcode_mapping!M504</f>
        <v>I</v>
      </c>
      <c r="M504" t="str">
        <f>Lcode_mapping!N504</f>
        <v>-</v>
      </c>
      <c r="N504" t="str">
        <f>Lcode_mapping!O504</f>
        <v>OBSOLETE</v>
      </c>
      <c r="O504" t="str">
        <f>Lcode_mapping!P504</f>
        <v>Obsolete</v>
      </c>
      <c r="P504" t="str">
        <f>Lcode_mapping!Q504</f>
        <v>-</v>
      </c>
      <c r="Q504" t="str">
        <f>Lcode_mapping!R504</f>
        <v>A1minusUTC</v>
      </c>
      <c r="R504" t="str">
        <f>Lcode_mapping!S504</f>
        <v>-</v>
      </c>
      <c r="S504" t="str">
        <f>Lcode_mapping!T504</f>
        <v>-</v>
      </c>
      <c r="T504" t="str">
        <f>Lcode_mapping!U504</f>
        <v>-</v>
      </c>
      <c r="U504" t="str">
        <f>Lcode_mapping!V504</f>
        <v>second</v>
      </c>
      <c r="V504" t="str">
        <f>Lcode_mapping!W504</f>
        <v>-</v>
      </c>
    </row>
    <row r="505" spans="1:22" ht="15" customHeight="1" x14ac:dyDescent="0.25">
      <c r="A505">
        <f>Lcode_mapping!A505</f>
        <v>58</v>
      </c>
      <c r="B505">
        <f>Lcode_mapping!B505</f>
        <v>2</v>
      </c>
      <c r="C505" t="str">
        <f>Lcode_mapping!D505</f>
        <v>MARI.ATM</v>
      </c>
      <c r="D505">
        <f>Lcode_mapping!E505</f>
        <v>2</v>
      </c>
      <c r="E505">
        <f>Lcode_mapping!F505</f>
        <v>2</v>
      </c>
      <c r="F505">
        <f>Lcode_mapping!G505</f>
        <v>2</v>
      </c>
      <c r="G505" t="str">
        <f>Lcode_mapping!H505</f>
        <v>R</v>
      </c>
      <c r="H505">
        <f>Lcode_mapping!I505</f>
        <v>1</v>
      </c>
      <c r="I505" t="str">
        <f>Lcode_mapping!J505</f>
        <v>Marini ATM Model</v>
      </c>
      <c r="J505" t="str">
        <f>Lcode_mapping!K505</f>
        <v>Station</v>
      </c>
      <c r="K505" t="str">
        <f>Lcode_mapping!L505</f>
        <v>-</v>
      </c>
      <c r="L505" t="str">
        <f>Lcode_mapping!M505</f>
        <v>I</v>
      </c>
      <c r="M505" t="str">
        <f>Lcode_mapping!N505</f>
        <v>-</v>
      </c>
      <c r="N505" t="str">
        <f>Lcode_mapping!O505</f>
        <v>OBSOLETE</v>
      </c>
      <c r="O505" t="str">
        <f>Lcode_mapping!P505</f>
        <v>-</v>
      </c>
      <c r="P505" t="str">
        <f>Lcode_mapping!Q505</f>
        <v>-</v>
      </c>
      <c r="Q505" t="str">
        <f>Lcode_mapping!R505</f>
        <v>-</v>
      </c>
      <c r="R505" t="str">
        <f>Lcode_mapping!S505</f>
        <v>-</v>
      </c>
      <c r="S505" t="str">
        <f>Lcode_mapping!T505</f>
        <v>-</v>
      </c>
      <c r="T505" t="str">
        <f>Lcode_mapping!U505</f>
        <v>-</v>
      </c>
      <c r="U505" t="str">
        <f>Lcode_mapping!V505</f>
        <v>-</v>
      </c>
      <c r="V505" t="str">
        <f>Lcode_mapping!W505</f>
        <v>-</v>
      </c>
    </row>
    <row r="506" spans="1:22" ht="15" customHeight="1" x14ac:dyDescent="0.25">
      <c r="A506">
        <f>Lcode_mapping!A506</f>
        <v>59</v>
      </c>
      <c r="B506">
        <f>Lcode_mapping!B506</f>
        <v>2</v>
      </c>
      <c r="C506" t="str">
        <f>Lcode_mapping!D506</f>
        <v>MARI.DRY</v>
      </c>
      <c r="D506">
        <f>Lcode_mapping!E506</f>
        <v>2</v>
      </c>
      <c r="E506">
        <f>Lcode_mapping!F506</f>
        <v>2</v>
      </c>
      <c r="F506">
        <f>Lcode_mapping!G506</f>
        <v>2</v>
      </c>
      <c r="G506" t="str">
        <f>Lcode_mapping!H506</f>
        <v>R</v>
      </c>
      <c r="H506">
        <f>Lcode_mapping!I506</f>
        <v>1</v>
      </c>
      <c r="I506" t="str">
        <f>Lcode_mapping!J506</f>
        <v>Dry Marini atmosphere</v>
      </c>
      <c r="J506" t="str">
        <f>Lcode_mapping!K506</f>
        <v>Station</v>
      </c>
      <c r="K506" t="str">
        <f>Lcode_mapping!L506</f>
        <v>-</v>
      </c>
      <c r="L506" t="str">
        <f>Lcode_mapping!M506</f>
        <v>I</v>
      </c>
      <c r="M506" t="str">
        <f>Lcode_mapping!N506</f>
        <v>-</v>
      </c>
      <c r="N506" t="str">
        <f>Lcode_mapping!O506</f>
        <v>OBSOLETE</v>
      </c>
      <c r="O506" t="str">
        <f>Lcode_mapping!P506</f>
        <v>-</v>
      </c>
      <c r="P506" t="str">
        <f>Lcode_mapping!Q506</f>
        <v>-</v>
      </c>
      <c r="Q506" t="str">
        <f>Lcode_mapping!R506</f>
        <v>-</v>
      </c>
      <c r="R506" t="str">
        <f>Lcode_mapping!S506</f>
        <v>-</v>
      </c>
      <c r="S506" t="str">
        <f>Lcode_mapping!T506</f>
        <v>-</v>
      </c>
      <c r="T506" t="str">
        <f>Lcode_mapping!U506</f>
        <v>-</v>
      </c>
      <c r="U506" t="str">
        <f>Lcode_mapping!V506</f>
        <v>-</v>
      </c>
      <c r="V506" t="str">
        <f>Lcode_mapping!W506</f>
        <v>-</v>
      </c>
    </row>
    <row r="507" spans="1:22" ht="15" customHeight="1" x14ac:dyDescent="0.25">
      <c r="A507">
        <f>Lcode_mapping!A507</f>
        <v>60</v>
      </c>
      <c r="B507">
        <f>Lcode_mapping!B507</f>
        <v>2</v>
      </c>
      <c r="C507" t="str">
        <f>Lcode_mapping!D507</f>
        <v>MARI.WET</v>
      </c>
      <c r="D507">
        <f>Lcode_mapping!E507</f>
        <v>2</v>
      </c>
      <c r="E507">
        <f>Lcode_mapping!F507</f>
        <v>2</v>
      </c>
      <c r="F507">
        <f>Lcode_mapping!G507</f>
        <v>2</v>
      </c>
      <c r="G507" t="str">
        <f>Lcode_mapping!H507</f>
        <v>R</v>
      </c>
      <c r="H507">
        <f>Lcode_mapping!I507</f>
        <v>1</v>
      </c>
      <c r="I507" t="str">
        <f>Lcode_mapping!J507</f>
        <v>WET COMP OF MARI</v>
      </c>
      <c r="J507" t="str">
        <f>Lcode_mapping!K507</f>
        <v>Station</v>
      </c>
      <c r="K507" t="str">
        <f>Lcode_mapping!L507</f>
        <v>-</v>
      </c>
      <c r="L507" t="str">
        <f>Lcode_mapping!M507</f>
        <v>I</v>
      </c>
      <c r="M507" t="str">
        <f>Lcode_mapping!N507</f>
        <v>-</v>
      </c>
      <c r="N507" t="str">
        <f>Lcode_mapping!O507</f>
        <v>OBSOLETE</v>
      </c>
      <c r="O507" t="str">
        <f>Lcode_mapping!P507</f>
        <v>-</v>
      </c>
      <c r="P507" t="str">
        <f>Lcode_mapping!Q507</f>
        <v>-</v>
      </c>
      <c r="Q507" t="str">
        <f>Lcode_mapping!R507</f>
        <v>-</v>
      </c>
      <c r="R507" t="str">
        <f>Lcode_mapping!S507</f>
        <v>-</v>
      </c>
      <c r="S507" t="str">
        <f>Lcode_mapping!T507</f>
        <v>-</v>
      </c>
      <c r="T507" t="str">
        <f>Lcode_mapping!U507</f>
        <v>-</v>
      </c>
      <c r="U507" t="str">
        <f>Lcode_mapping!V507</f>
        <v>-</v>
      </c>
      <c r="V507" t="str">
        <f>Lcode_mapping!W507</f>
        <v>-</v>
      </c>
    </row>
    <row r="508" spans="1:22" ht="15.75" customHeight="1" x14ac:dyDescent="0.25"/>
    <row r="509" spans="1:22" ht="15.75" customHeight="1" x14ac:dyDescent="0.25"/>
    <row r="510" spans="1:22" ht="15.75" customHeight="1" x14ac:dyDescent="0.25"/>
    <row r="511" spans="1:22" ht="15.75" customHeight="1" x14ac:dyDescent="0.25"/>
    <row r="512" spans="1:22" ht="15.75" customHeight="1" x14ac:dyDescent="0.25"/>
    <row r="513" ht="15.75" customHeight="1" x14ac:dyDescent="0.25"/>
    <row r="514" ht="15.75" customHeight="1" x14ac:dyDescent="0.25"/>
  </sheetData>
  <conditionalFormatting sqref="L1:L1048576">
    <cfRule type="colorScale" priority="9">
      <colorScale>
        <cfvo type="min"/>
        <cfvo type="max"/>
        <color rgb="FFFF7128"/>
        <color rgb="FFFFEF9C"/>
      </colorScale>
    </cfRule>
  </conditionalFormatting>
  <conditionalFormatting sqref="L1:L1048576">
    <cfRule type="cellIs" dxfId="47" priority="7" operator="equal">
      <formula>"I"</formula>
    </cfRule>
  </conditionalFormatting>
  <conditionalFormatting sqref="L1:L1048576">
    <cfRule type="cellIs" dxfId="46" priority="6" operator="equal">
      <formula>"S"</formula>
    </cfRule>
  </conditionalFormatting>
  <conditionalFormatting sqref="L1:L1048576">
    <cfRule type="cellIs" dxfId="45" priority="4" operator="equal">
      <formula>"K"</formula>
    </cfRule>
  </conditionalFormatting>
  <conditionalFormatting sqref="L1:L1048576">
    <cfRule type="cellIs" dxfId="44" priority="3" operator="equal">
      <formula>"R"</formula>
    </cfRule>
  </conditionalFormatting>
  <conditionalFormatting sqref="L1:L1048576">
    <cfRule type="cellIs" dxfId="43" priority="1" operator="equal">
      <formula>"N"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7"/>
  <sheetViews>
    <sheetView topLeftCell="A3" workbookViewId="0">
      <selection activeCell="D26" sqref="D26"/>
    </sheetView>
  </sheetViews>
  <sheetFormatPr defaultRowHeight="15" x14ac:dyDescent="0.25"/>
  <cols>
    <col min="1" max="1" width="26.7109375" customWidth="1"/>
    <col min="2" max="2" width="21.5703125" customWidth="1"/>
    <col min="3" max="3" width="12.5703125" customWidth="1"/>
    <col min="5" max="5" width="27.28515625" customWidth="1"/>
    <col min="6" max="6" width="15.42578125" customWidth="1"/>
    <col min="7" max="7" width="6.42578125" customWidth="1"/>
    <col min="8" max="8" width="6.28515625" customWidth="1"/>
    <col min="9" max="9" width="7.7109375" customWidth="1"/>
    <col min="10" max="10" width="41.140625" customWidth="1"/>
    <col min="11" max="11" width="33.28515625" customWidth="1"/>
  </cols>
  <sheetData>
    <row r="1" spans="1:10" x14ac:dyDescent="0.25">
      <c r="B1">
        <v>14</v>
      </c>
      <c r="C1">
        <v>13</v>
      </c>
      <c r="D1">
        <v>9</v>
      </c>
      <c r="E1">
        <v>1</v>
      </c>
      <c r="F1">
        <v>6</v>
      </c>
      <c r="G1">
        <v>3</v>
      </c>
      <c r="H1">
        <v>4</v>
      </c>
      <c r="I1">
        <v>5</v>
      </c>
      <c r="J1">
        <v>25</v>
      </c>
    </row>
    <row r="2" spans="1:10" x14ac:dyDescent="0.25">
      <c r="A2" t="s">
        <v>2390</v>
      </c>
      <c r="B2" t="s">
        <v>115</v>
      </c>
      <c r="C2" t="s">
        <v>1465</v>
      </c>
      <c r="D2" t="s">
        <v>221</v>
      </c>
      <c r="E2" t="s">
        <v>1249</v>
      </c>
      <c r="F2" t="s">
        <v>1069</v>
      </c>
      <c r="G2" t="s">
        <v>2392</v>
      </c>
      <c r="J2" t="s">
        <v>2216</v>
      </c>
    </row>
    <row r="3" spans="1:10" x14ac:dyDescent="0.25">
      <c r="A3" s="12" t="s">
        <v>445</v>
      </c>
      <c r="B3" t="e">
        <f>VLOOKUP($A3,Lcode_mapping!$C:$AA,B$1,FALSE)</f>
        <v>#N/A</v>
      </c>
      <c r="C3" t="e">
        <f>VLOOKUP($A3,Lcode_mapping!$C:$AA,C$1,FALSE)</f>
        <v>#N/A</v>
      </c>
      <c r="D3" t="e">
        <f>VLOOKUP($A3,Lcode_mapping!$C:$AA,D$1,FALSE)</f>
        <v>#N/A</v>
      </c>
      <c r="E3" t="e">
        <f>VLOOKUP($A3,Lcode_mapping!$C:$AA,E$1,FALSE)</f>
        <v>#N/A</v>
      </c>
      <c r="F3" t="e">
        <f>VLOOKUP($A3,Lcode_mapping!$C:$AA,F$1,FALSE)</f>
        <v>#N/A</v>
      </c>
      <c r="G3" t="e">
        <f>VLOOKUP($A3,Lcode_mapping!$C:$AA,G$1,FALSE)</f>
        <v>#N/A</v>
      </c>
      <c r="H3" t="e">
        <f>VLOOKUP($A3,Lcode_mapping!$C:$AA,H$1,FALSE)</f>
        <v>#N/A</v>
      </c>
      <c r="I3" t="e">
        <f>VLOOKUP($A3,Lcode_mapping!$C:$AA,I$1,FALSE)</f>
        <v>#N/A</v>
      </c>
      <c r="J3" t="e">
        <f>VLOOKUP($A3,Lcode_mapping!$C:$AA,J$1,FALSE)</f>
        <v>#N/A</v>
      </c>
    </row>
    <row r="4" spans="1:10" x14ac:dyDescent="0.25">
      <c r="A4" s="12" t="s">
        <v>1865</v>
      </c>
      <c r="B4" t="str">
        <f>VLOOKUP($A4,Lcode_mapping!$C:$AA,B$1,FALSE)</f>
        <v>AtmSetup</v>
      </c>
      <c r="C4" t="str">
        <f>VLOOKUP($A4,Lcode_mapping!$C:$AA,C$1,FALSE)</f>
        <v>Solve</v>
      </c>
      <c r="D4" t="str">
        <f>VLOOKUP($A4,Lcode_mapping!$C:$AA,D$1,FALSE)</f>
        <v>Session</v>
      </c>
      <c r="E4" t="str">
        <f>VLOOKUP($A4,Lcode_mapping!$C:$AA,E$1,FALSE)</f>
        <v>AtmInterval</v>
      </c>
      <c r="F4" t="str">
        <f>VLOOKUP($A4,Lcode_mapping!$C:$AA,F$1,FALSE)</f>
        <v>R</v>
      </c>
      <c r="G4">
        <f>VLOOKUP($A4,Lcode_mapping!$C:$AA,G$1,FALSE)</f>
        <v>1</v>
      </c>
      <c r="H4">
        <f>VLOOKUP($A4,Lcode_mapping!$C:$AA,H$1,FALSE)</f>
        <v>1</v>
      </c>
      <c r="I4">
        <f>VLOOKUP($A4,Lcode_mapping!$C:$AA,I$1,FALSE)</f>
        <v>1</v>
      </c>
      <c r="J4" t="str">
        <f>VLOOKUP($A4,Lcode_mapping!$C:$AA,J$1,FALSE)</f>
        <v>Batchmode atmos interval - hours</v>
      </c>
    </row>
    <row r="5" spans="1:10" x14ac:dyDescent="0.25">
      <c r="A5" s="12" t="s">
        <v>1862</v>
      </c>
      <c r="B5" t="str">
        <f>VLOOKUP($A5,Lcode_mapping!$C:$AA,B$1,FALSE)</f>
        <v>AtmSetup</v>
      </c>
      <c r="C5" t="str">
        <f>VLOOKUP($A5,Lcode_mapping!$C:$AA,C$1,FALSE)</f>
        <v>Solve</v>
      </c>
      <c r="D5" t="str">
        <f>VLOOKUP($A5,Lcode_mapping!$C:$AA,D$1,FALSE)</f>
        <v>Session</v>
      </c>
      <c r="E5" t="str">
        <f>VLOOKUP($A5,Lcode_mapping!$C:$AA,E$1,FALSE)</f>
        <v>AtmRateConstraint</v>
      </c>
      <c r="F5" t="str">
        <f>VLOOKUP($A5,Lcode_mapping!$C:$AA,F$1,FALSE)</f>
        <v>R</v>
      </c>
      <c r="G5">
        <f>VLOOKUP($A5,Lcode_mapping!$C:$AA,G$1,FALSE)</f>
        <v>1</v>
      </c>
      <c r="H5">
        <f>VLOOKUP($A5,Lcode_mapping!$C:$AA,H$1,FALSE)</f>
        <v>1</v>
      </c>
      <c r="I5">
        <f>VLOOKUP($A5,Lcode_mapping!$C:$AA,I$1,FALSE)</f>
        <v>1</v>
      </c>
      <c r="J5" t="str">
        <f>VLOOKUP($A5,Lcode_mapping!$C:$AA,J$1,FALSE)</f>
        <v>Atmosphere constraint. ps/hr</v>
      </c>
    </row>
    <row r="6" spans="1:10" x14ac:dyDescent="0.25">
      <c r="A6" s="12" t="s">
        <v>1905</v>
      </c>
      <c r="B6" t="e">
        <f>VLOOKUP($A6,Lcode_mapping!$C:$AA,B$1,FALSE)</f>
        <v>#N/A</v>
      </c>
      <c r="C6" t="e">
        <f>VLOOKUP($A6,Lcode_mapping!$C:$AA,C$1,FALSE)</f>
        <v>#N/A</v>
      </c>
      <c r="D6" t="e">
        <f>VLOOKUP($A6,Lcode_mapping!$C:$AA,D$1,FALSE)</f>
        <v>#N/A</v>
      </c>
      <c r="E6" t="e">
        <f>VLOOKUP($A6,Lcode_mapping!$C:$AA,E$1,FALSE)</f>
        <v>#N/A</v>
      </c>
      <c r="F6" t="e">
        <f>VLOOKUP($A6,Lcode_mapping!$C:$AA,F$1,FALSE)</f>
        <v>#N/A</v>
      </c>
      <c r="G6" t="e">
        <f>VLOOKUP($A6,Lcode_mapping!$C:$AA,G$1,FALSE)</f>
        <v>#N/A</v>
      </c>
      <c r="H6" t="e">
        <f>VLOOKUP($A6,Lcode_mapping!$C:$AA,H$1,FALSE)</f>
        <v>#N/A</v>
      </c>
      <c r="I6" t="e">
        <f>VLOOKUP($A6,Lcode_mapping!$C:$AA,I$1,FALSE)</f>
        <v>#N/A</v>
      </c>
      <c r="J6" t="e">
        <f>VLOOKUP($A6,Lcode_mapping!$C:$AA,J$1,FALSE)</f>
        <v>#N/A</v>
      </c>
    </row>
    <row r="7" spans="1:10" x14ac:dyDescent="0.25">
      <c r="A7" s="12" t="s">
        <v>1849</v>
      </c>
      <c r="B7" t="str">
        <f>VLOOKUP($A7,Lcode_mapping!$C:$AA,B$1,FALSE)</f>
        <v>AtmSetup</v>
      </c>
      <c r="C7" t="str">
        <f>VLOOKUP($A7,Lcode_mapping!$C:$AA,C$1,FALSE)</f>
        <v>Solve</v>
      </c>
      <c r="D7" t="str">
        <f>VLOOKUP($A7,Lcode_mapping!$C:$AA,D$1,FALSE)</f>
        <v>Session</v>
      </c>
      <c r="E7" t="str">
        <f>VLOOKUP($A7,Lcode_mapping!$C:$AA,E$1,FALSE)</f>
        <v>GradOffsetConstraint</v>
      </c>
      <c r="F7" t="str">
        <f>VLOOKUP($A7,Lcode_mapping!$C:$AA,F$1,FALSE)</f>
        <v>R</v>
      </c>
      <c r="G7">
        <f>VLOOKUP($A7,Lcode_mapping!$C:$AA,G$1,FALSE)</f>
        <v>1</v>
      </c>
      <c r="H7">
        <f>VLOOKUP($A7,Lcode_mapping!$C:$AA,H$1,FALSE)</f>
        <v>1</v>
      </c>
      <c r="I7">
        <f>VLOOKUP($A7,Lcode_mapping!$C:$AA,I$1,FALSE)</f>
        <v>1</v>
      </c>
      <c r="J7" t="str">
        <f>VLOOKUP($A7,Lcode_mapping!$C:$AA,J$1,FALSE)</f>
        <v>Gradient Offset Constraint</v>
      </c>
    </row>
    <row r="8" spans="1:10" x14ac:dyDescent="0.25">
      <c r="A8" s="12" t="s">
        <v>1850</v>
      </c>
      <c r="B8" t="str">
        <f>VLOOKUP($A8,Lcode_mapping!$C:$AA,B$1,FALSE)</f>
        <v>AtmSetup</v>
      </c>
      <c r="C8" t="str">
        <f>VLOOKUP($A8,Lcode_mapping!$C:$AA,C$1,FALSE)</f>
        <v>Solve</v>
      </c>
      <c r="D8" t="str">
        <f>VLOOKUP($A8,Lcode_mapping!$C:$AA,D$1,FALSE)</f>
        <v>Session</v>
      </c>
      <c r="E8" t="str">
        <f>VLOOKUP($A8,Lcode_mapping!$C:$AA,E$1,FALSE)</f>
        <v>GradRateConstraint</v>
      </c>
      <c r="F8" t="str">
        <f>VLOOKUP($A8,Lcode_mapping!$C:$AA,F$1,FALSE)</f>
        <v>R</v>
      </c>
      <c r="G8">
        <f>VLOOKUP($A8,Lcode_mapping!$C:$AA,G$1,FALSE)</f>
        <v>1</v>
      </c>
      <c r="H8">
        <f>VLOOKUP($A8,Lcode_mapping!$C:$AA,H$1,FALSE)</f>
        <v>1</v>
      </c>
      <c r="I8">
        <f>VLOOKUP($A8,Lcode_mapping!$C:$AA,I$1,FALSE)</f>
        <v>1</v>
      </c>
      <c r="J8" t="str">
        <f>VLOOKUP($A8,Lcode_mapping!$C:$AA,J$1,FALSE)</f>
        <v>Gradient Rate Constraint</v>
      </c>
    </row>
    <row r="9" spans="1:10" x14ac:dyDescent="0.25">
      <c r="A9" s="12" t="s">
        <v>1478</v>
      </c>
      <c r="B9" t="str">
        <f>VLOOKUP($A9,Lcode_mapping!$C:$AA,B$1,FALSE)</f>
        <v>AzEl</v>
      </c>
      <c r="C9" t="str">
        <f>VLOOKUP($A9,Lcode_mapping!$C:$AA,C$1,FALSE)</f>
        <v>-</v>
      </c>
      <c r="D9" t="str">
        <f>VLOOKUP($A9,Lcode_mapping!$C:$AA,D$1,FALSE)</f>
        <v>Station</v>
      </c>
      <c r="E9" t="str">
        <f>VLOOKUP($A9,Lcode_mapping!$C:$AA,E$1,FALSE)</f>
        <v>AzTheo</v>
      </c>
      <c r="F9" t="str">
        <f>VLOOKUP($A9,Lcode_mapping!$C:$AA,F$1,FALSE)</f>
        <v>R</v>
      </c>
      <c r="G9">
        <f>VLOOKUP($A9,Lcode_mapping!$C:$AA,G$1,FALSE)</f>
        <v>2</v>
      </c>
      <c r="H9">
        <f>VLOOKUP($A9,Lcode_mapping!$C:$AA,H$1,FALSE)</f>
        <v>2</v>
      </c>
      <c r="I9">
        <f>VLOOKUP($A9,Lcode_mapping!$C:$AA,I$1,FALSE)</f>
        <v>1</v>
      </c>
      <c r="J9" t="str">
        <f>VLOOKUP($A9,Lcode_mapping!$C:$AA,J$1,FALSE)</f>
        <v>Azimuth array definition</v>
      </c>
    </row>
    <row r="10" spans="1:10" x14ac:dyDescent="0.25">
      <c r="A10" s="12" t="s">
        <v>1479</v>
      </c>
      <c r="B10" t="str">
        <f>VLOOKUP($A10,Lcode_mapping!$C:$AA,B$1,FALSE)</f>
        <v>AzEl</v>
      </c>
      <c r="C10" t="str">
        <f>VLOOKUP($A10,Lcode_mapping!$C:$AA,C$1,FALSE)</f>
        <v>-</v>
      </c>
      <c r="D10" t="str">
        <f>VLOOKUP($A10,Lcode_mapping!$C:$AA,D$1,FALSE)</f>
        <v>Station</v>
      </c>
      <c r="E10" t="str">
        <f>VLOOKUP($A10,Lcode_mapping!$C:$AA,E$1,FALSE)</f>
        <v>ElTheo</v>
      </c>
      <c r="F10" t="str">
        <f>VLOOKUP($A10,Lcode_mapping!$C:$AA,F$1,FALSE)</f>
        <v>R</v>
      </c>
      <c r="G10">
        <f>VLOOKUP($A10,Lcode_mapping!$C:$AA,G$1,FALSE)</f>
        <v>2</v>
      </c>
      <c r="H10">
        <f>VLOOKUP($A10,Lcode_mapping!$C:$AA,H$1,FALSE)</f>
        <v>2</v>
      </c>
      <c r="I10">
        <f>VLOOKUP($A10,Lcode_mapping!$C:$AA,I$1,FALSE)</f>
        <v>1</v>
      </c>
      <c r="J10" t="str">
        <f>VLOOKUP($A10,Lcode_mapping!$C:$AA,J$1,FALSE)</f>
        <v>Elevation array definition</v>
      </c>
    </row>
    <row r="11" spans="1:10" x14ac:dyDescent="0.25">
      <c r="A11" s="12" t="s">
        <v>1457</v>
      </c>
      <c r="B11" t="str">
        <f>VLOOKUP($A11,Lcode_mapping!$C:$AA,B$1,FALSE)</f>
        <v>Baseline</v>
      </c>
      <c r="C11" t="str">
        <f>VLOOKUP($A11,Lcode_mapping!$C:$AA,C$1,FALSE)</f>
        <v>Observables</v>
      </c>
      <c r="D11" t="str">
        <f>VLOOKUP($A11,Lcode_mapping!$C:$AA,D$1,FALSE)</f>
        <v>OBs</v>
      </c>
      <c r="E11" t="str">
        <f>VLOOKUP($A11,Lcode_mapping!$C:$AA,E$1,FALSE)</f>
        <v>Baseline</v>
      </c>
      <c r="F11" t="str">
        <f>VLOOKUP($A11,Lcode_mapping!$C:$AA,F$1,FALSE)</f>
        <v>A</v>
      </c>
      <c r="G11">
        <f>VLOOKUP($A11,Lcode_mapping!$C:$AA,G$1,FALSE)</f>
        <v>4</v>
      </c>
      <c r="H11">
        <f>VLOOKUP($A11,Lcode_mapping!$C:$AA,H$1,FALSE)</f>
        <v>2</v>
      </c>
      <c r="I11">
        <f>VLOOKUP($A11,Lcode_mapping!$C:$AA,I$1,FALSE)</f>
        <v>1</v>
      </c>
      <c r="J11" t="str">
        <f>VLOOKUP($A11,Lcode_mapping!$C:$AA,J$1,FALSE)</f>
        <v>Ref and rem site names.</v>
      </c>
    </row>
    <row r="12" spans="1:10" x14ac:dyDescent="0.25">
      <c r="A12" s="12" t="s">
        <v>1866</v>
      </c>
      <c r="B12" t="e">
        <f>VLOOKUP($A12,Lcode_mapping!$C:$AA,B$1,FALSE)</f>
        <v>#N/A</v>
      </c>
      <c r="C12" t="e">
        <f>VLOOKUP($A12,Lcode_mapping!$C:$AA,C$1,FALSE)</f>
        <v>#N/A</v>
      </c>
      <c r="D12" t="e">
        <f>VLOOKUP($A12,Lcode_mapping!$C:$AA,D$1,FALSE)</f>
        <v>#N/A</v>
      </c>
      <c r="E12" t="e">
        <f>VLOOKUP($A12,Lcode_mapping!$C:$AA,E$1,FALSE)</f>
        <v>#N/A</v>
      </c>
      <c r="F12" t="e">
        <f>VLOOKUP($A12,Lcode_mapping!$C:$AA,F$1,FALSE)</f>
        <v>#N/A</v>
      </c>
      <c r="G12" t="e">
        <f>VLOOKUP($A12,Lcode_mapping!$C:$AA,G$1,FALSE)</f>
        <v>#N/A</v>
      </c>
      <c r="H12" t="e">
        <f>VLOOKUP($A12,Lcode_mapping!$C:$AA,H$1,FALSE)</f>
        <v>#N/A</v>
      </c>
      <c r="I12" t="e">
        <f>VLOOKUP($A12,Lcode_mapping!$C:$AA,I$1,FALSE)</f>
        <v>#N/A</v>
      </c>
      <c r="J12" t="e">
        <f>VLOOKUP($A12,Lcode_mapping!$C:$AA,J$1,FALSE)</f>
        <v>#N/A</v>
      </c>
    </row>
    <row r="13" spans="1:10" x14ac:dyDescent="0.25">
      <c r="A13" s="12" t="s">
        <v>2393</v>
      </c>
      <c r="B13" t="e">
        <f>VLOOKUP($A13,Lcode_mapping!$C:$AA,B$1,FALSE)</f>
        <v>#N/A</v>
      </c>
      <c r="C13" t="e">
        <f>VLOOKUP($A13,Lcode_mapping!$C:$AA,C$1,FALSE)</f>
        <v>#N/A</v>
      </c>
      <c r="D13" t="e">
        <f>VLOOKUP($A13,Lcode_mapping!$C:$AA,D$1,FALSE)</f>
        <v>#N/A</v>
      </c>
      <c r="E13" t="e">
        <f>VLOOKUP($A13,Lcode_mapping!$C:$AA,E$1,FALSE)</f>
        <v>#N/A</v>
      </c>
      <c r="F13" t="e">
        <f>VLOOKUP($A13,Lcode_mapping!$C:$AA,F$1,FALSE)</f>
        <v>#N/A</v>
      </c>
      <c r="G13" t="e">
        <f>VLOOKUP($A13,Lcode_mapping!$C:$AA,G$1,FALSE)</f>
        <v>#N/A</v>
      </c>
      <c r="H13" t="e">
        <f>VLOOKUP($A13,Lcode_mapping!$C:$AA,H$1,FALSE)</f>
        <v>#N/A</v>
      </c>
      <c r="I13" t="e">
        <f>VLOOKUP($A13,Lcode_mapping!$C:$AA,I$1,FALSE)</f>
        <v>#N/A</v>
      </c>
      <c r="J13" t="e">
        <f>VLOOKUP($A13,Lcode_mapping!$C:$AA,J$1,FALSE)</f>
        <v>#N/A</v>
      </c>
    </row>
    <row r="14" spans="1:10" x14ac:dyDescent="0.25">
      <c r="A14" s="12" t="s">
        <v>2396</v>
      </c>
      <c r="B14" t="e">
        <f>VLOOKUP($A14,Lcode_mapping!$C:$AA,B$1,FALSE)</f>
        <v>#N/A</v>
      </c>
      <c r="C14" t="e">
        <f>VLOOKUP($A14,Lcode_mapping!$C:$AA,C$1,FALSE)</f>
        <v>#N/A</v>
      </c>
      <c r="D14" t="e">
        <f>VLOOKUP($A14,Lcode_mapping!$C:$AA,D$1,FALSE)</f>
        <v>#N/A</v>
      </c>
      <c r="E14" t="e">
        <f>VLOOKUP($A14,Lcode_mapping!$C:$AA,E$1,FALSE)</f>
        <v>#N/A</v>
      </c>
      <c r="F14" t="e">
        <f>VLOOKUP($A14,Lcode_mapping!$C:$AA,F$1,FALSE)</f>
        <v>#N/A</v>
      </c>
      <c r="G14" t="e">
        <f>VLOOKUP($A14,Lcode_mapping!$C:$AA,G$1,FALSE)</f>
        <v>#N/A</v>
      </c>
      <c r="H14" t="e">
        <f>VLOOKUP($A14,Lcode_mapping!$C:$AA,H$1,FALSE)</f>
        <v>#N/A</v>
      </c>
      <c r="I14" t="e">
        <f>VLOOKUP($A14,Lcode_mapping!$C:$AA,I$1,FALSE)</f>
        <v>#N/A</v>
      </c>
      <c r="J14" t="e">
        <f>VLOOKUP($A14,Lcode_mapping!$C:$AA,J$1,FALSE)</f>
        <v>#N/A</v>
      </c>
    </row>
    <row r="15" spans="1:10" x14ac:dyDescent="0.25">
      <c r="A15" s="12" t="s">
        <v>2407</v>
      </c>
      <c r="B15" t="e">
        <f>VLOOKUP($A15,Lcode_mapping!$C:$AA,B$1,FALSE)</f>
        <v>#N/A</v>
      </c>
      <c r="C15" t="e">
        <f>VLOOKUP($A15,Lcode_mapping!$C:$AA,C$1,FALSE)</f>
        <v>#N/A</v>
      </c>
      <c r="D15" t="e">
        <f>VLOOKUP($A15,Lcode_mapping!$C:$AA,D$1,FALSE)</f>
        <v>#N/A</v>
      </c>
      <c r="E15" t="e">
        <f>VLOOKUP($A15,Lcode_mapping!$C:$AA,E$1,FALSE)</f>
        <v>#N/A</v>
      </c>
      <c r="F15" t="e">
        <f>VLOOKUP($A15,Lcode_mapping!$C:$AA,F$1,FALSE)</f>
        <v>#N/A</v>
      </c>
      <c r="G15" t="e">
        <f>VLOOKUP($A15,Lcode_mapping!$C:$AA,G$1,FALSE)</f>
        <v>#N/A</v>
      </c>
      <c r="H15" t="e">
        <f>VLOOKUP($A15,Lcode_mapping!$C:$AA,H$1,FALSE)</f>
        <v>#N/A</v>
      </c>
      <c r="I15" t="e">
        <f>VLOOKUP($A15,Lcode_mapping!$C:$AA,I$1,FALSE)</f>
        <v>#N/A</v>
      </c>
      <c r="J15" t="e">
        <f>VLOOKUP($A15,Lcode_mapping!$C:$AA,J$1,FALSE)</f>
        <v>#N/A</v>
      </c>
    </row>
    <row r="16" spans="1:10" x14ac:dyDescent="0.25">
      <c r="A16" s="12" t="s">
        <v>2408</v>
      </c>
      <c r="B16" t="e">
        <f>VLOOKUP($A16,Lcode_mapping!$C:$AA,B$1,FALSE)</f>
        <v>#N/A</v>
      </c>
      <c r="C16" t="e">
        <f>VLOOKUP($A16,Lcode_mapping!$C:$AA,C$1,FALSE)</f>
        <v>#N/A</v>
      </c>
      <c r="D16" t="e">
        <f>VLOOKUP($A16,Lcode_mapping!$C:$AA,D$1,FALSE)</f>
        <v>#N/A</v>
      </c>
      <c r="E16" t="e">
        <f>VLOOKUP($A16,Lcode_mapping!$C:$AA,E$1,FALSE)</f>
        <v>#N/A</v>
      </c>
      <c r="F16" t="e">
        <f>VLOOKUP($A16,Lcode_mapping!$C:$AA,F$1,FALSE)</f>
        <v>#N/A</v>
      </c>
      <c r="G16" t="e">
        <f>VLOOKUP($A16,Lcode_mapping!$C:$AA,G$1,FALSE)</f>
        <v>#N/A</v>
      </c>
      <c r="H16" t="e">
        <f>VLOOKUP($A16,Lcode_mapping!$C:$AA,H$1,FALSE)</f>
        <v>#N/A</v>
      </c>
      <c r="I16" t="e">
        <f>VLOOKUP($A16,Lcode_mapping!$C:$AA,I$1,FALSE)</f>
        <v>#N/A</v>
      </c>
      <c r="J16" t="e">
        <f>VLOOKUP($A16,Lcode_mapping!$C:$AA,J$1,FALSE)</f>
        <v>#N/A</v>
      </c>
    </row>
    <row r="17" spans="1:10" x14ac:dyDescent="0.25">
      <c r="A17" s="12" t="s">
        <v>1582</v>
      </c>
      <c r="B17" t="e">
        <f>VLOOKUP($A17,Lcode_mapping!$C:$AA,B$1,FALSE)</f>
        <v>#N/A</v>
      </c>
      <c r="C17" t="e">
        <f>VLOOKUP($A17,Lcode_mapping!$C:$AA,C$1,FALSE)</f>
        <v>#N/A</v>
      </c>
      <c r="D17" t="e">
        <f>VLOOKUP($A17,Lcode_mapping!$C:$AA,D$1,FALSE)</f>
        <v>#N/A</v>
      </c>
      <c r="E17" t="e">
        <f>VLOOKUP($A17,Lcode_mapping!$C:$AA,E$1,FALSE)</f>
        <v>#N/A</v>
      </c>
      <c r="F17" t="e">
        <f>VLOOKUP($A17,Lcode_mapping!$C:$AA,F$1,FALSE)</f>
        <v>#N/A</v>
      </c>
      <c r="G17" t="e">
        <f>VLOOKUP($A17,Lcode_mapping!$C:$AA,G$1,FALSE)</f>
        <v>#N/A</v>
      </c>
      <c r="H17" t="e">
        <f>VLOOKUP($A17,Lcode_mapping!$C:$AA,H$1,FALSE)</f>
        <v>#N/A</v>
      </c>
      <c r="I17" t="e">
        <f>VLOOKUP($A17,Lcode_mapping!$C:$AA,I$1,FALSE)</f>
        <v>#N/A</v>
      </c>
      <c r="J17" t="e">
        <f>VLOOKUP($A17,Lcode_mapping!$C:$AA,J$1,FALSE)</f>
        <v>#N/A</v>
      </c>
    </row>
    <row r="18" spans="1:10" x14ac:dyDescent="0.25">
      <c r="A18" s="12" t="s">
        <v>2091</v>
      </c>
      <c r="B18" t="e">
        <f>VLOOKUP($A18,Lcode_mapping!$C:$AA,B$1,FALSE)</f>
        <v>#N/A</v>
      </c>
      <c r="C18" t="e">
        <f>VLOOKUP($A18,Lcode_mapping!$C:$AA,C$1,FALSE)</f>
        <v>#N/A</v>
      </c>
      <c r="D18" t="e">
        <f>VLOOKUP($A18,Lcode_mapping!$C:$AA,D$1,FALSE)</f>
        <v>#N/A</v>
      </c>
      <c r="E18" t="e">
        <f>VLOOKUP($A18,Lcode_mapping!$C:$AA,E$1,FALSE)</f>
        <v>#N/A</v>
      </c>
      <c r="F18" t="e">
        <f>VLOOKUP($A18,Lcode_mapping!$C:$AA,F$1,FALSE)</f>
        <v>#N/A</v>
      </c>
      <c r="G18" t="e">
        <f>VLOOKUP($A18,Lcode_mapping!$C:$AA,G$1,FALSE)</f>
        <v>#N/A</v>
      </c>
      <c r="H18" t="e">
        <f>VLOOKUP($A18,Lcode_mapping!$C:$AA,H$1,FALSE)</f>
        <v>#N/A</v>
      </c>
      <c r="I18" t="e">
        <f>VLOOKUP($A18,Lcode_mapping!$C:$AA,I$1,FALSE)</f>
        <v>#N/A</v>
      </c>
      <c r="J18" t="e">
        <f>VLOOKUP($A18,Lcode_mapping!$C:$AA,J$1,FALSE)</f>
        <v>#N/A</v>
      </c>
    </row>
    <row r="19" spans="1:10" x14ac:dyDescent="0.25">
      <c r="A19" s="12" t="s">
        <v>2108</v>
      </c>
      <c r="B19" t="e">
        <f>VLOOKUP($A19,Lcode_mapping!$C:$AA,B$1,FALSE)</f>
        <v>#N/A</v>
      </c>
      <c r="C19" t="e">
        <f>VLOOKUP($A19,Lcode_mapping!$C:$AA,C$1,FALSE)</f>
        <v>#N/A</v>
      </c>
      <c r="D19" t="e">
        <f>VLOOKUP($A19,Lcode_mapping!$C:$AA,D$1,FALSE)</f>
        <v>#N/A</v>
      </c>
      <c r="E19" t="e">
        <f>VLOOKUP($A19,Lcode_mapping!$C:$AA,E$1,FALSE)</f>
        <v>#N/A</v>
      </c>
      <c r="F19" t="e">
        <f>VLOOKUP($A19,Lcode_mapping!$C:$AA,F$1,FALSE)</f>
        <v>#N/A</v>
      </c>
      <c r="G19" t="e">
        <f>VLOOKUP($A19,Lcode_mapping!$C:$AA,G$1,FALSE)</f>
        <v>#N/A</v>
      </c>
      <c r="H19" t="e">
        <f>VLOOKUP($A19,Lcode_mapping!$C:$AA,H$1,FALSE)</f>
        <v>#N/A</v>
      </c>
      <c r="I19" t="e">
        <f>VLOOKUP($A19,Lcode_mapping!$C:$AA,I$1,FALSE)</f>
        <v>#N/A</v>
      </c>
      <c r="J19" t="e">
        <f>VLOOKUP($A19,Lcode_mapping!$C:$AA,J$1,FALSE)</f>
        <v>#N/A</v>
      </c>
    </row>
    <row r="20" spans="1:10" x14ac:dyDescent="0.25">
      <c r="A20" s="12" t="s">
        <v>2413</v>
      </c>
      <c r="B20" t="e">
        <f>VLOOKUP($A20,Lcode_mapping!$C:$AA,B$1,FALSE)</f>
        <v>#N/A</v>
      </c>
      <c r="C20" t="e">
        <f>VLOOKUP($A20,Lcode_mapping!$C:$AA,C$1,FALSE)</f>
        <v>#N/A</v>
      </c>
      <c r="D20" t="e">
        <f>VLOOKUP($A20,Lcode_mapping!$C:$AA,D$1,FALSE)</f>
        <v>#N/A</v>
      </c>
      <c r="E20" t="e">
        <f>VLOOKUP($A20,Lcode_mapping!$C:$AA,E$1,FALSE)</f>
        <v>#N/A</v>
      </c>
      <c r="F20" t="e">
        <f>VLOOKUP($A20,Lcode_mapping!$C:$AA,F$1,FALSE)</f>
        <v>#N/A</v>
      </c>
      <c r="G20" t="e">
        <f>VLOOKUP($A20,Lcode_mapping!$C:$AA,G$1,FALSE)</f>
        <v>#N/A</v>
      </c>
      <c r="H20" t="e">
        <f>VLOOKUP($A20,Lcode_mapping!$C:$AA,H$1,FALSE)</f>
        <v>#N/A</v>
      </c>
      <c r="I20" t="e">
        <f>VLOOKUP($A20,Lcode_mapping!$C:$AA,I$1,FALSE)</f>
        <v>#N/A</v>
      </c>
      <c r="J20" t="e">
        <f>VLOOKUP($A20,Lcode_mapping!$C:$AA,J$1,FALSE)</f>
        <v>#N/A</v>
      </c>
    </row>
    <row r="21" spans="1:10" x14ac:dyDescent="0.25">
      <c r="A21" s="12" t="s">
        <v>2414</v>
      </c>
      <c r="B21" t="e">
        <f>VLOOKUP($A21,Lcode_mapping!$C:$AA,B$1,FALSE)</f>
        <v>#N/A</v>
      </c>
      <c r="C21" t="e">
        <f>VLOOKUP($A21,Lcode_mapping!$C:$AA,C$1,FALSE)</f>
        <v>#N/A</v>
      </c>
      <c r="D21" t="e">
        <f>VLOOKUP($A21,Lcode_mapping!$C:$AA,D$1,FALSE)</f>
        <v>#N/A</v>
      </c>
      <c r="E21" t="e">
        <f>VLOOKUP($A21,Lcode_mapping!$C:$AA,E$1,FALSE)</f>
        <v>#N/A</v>
      </c>
      <c r="F21" t="e">
        <f>VLOOKUP($A21,Lcode_mapping!$C:$AA,F$1,FALSE)</f>
        <v>#N/A</v>
      </c>
      <c r="G21" t="e">
        <f>VLOOKUP($A21,Lcode_mapping!$C:$AA,G$1,FALSE)</f>
        <v>#N/A</v>
      </c>
      <c r="H21" t="e">
        <f>VLOOKUP($A21,Lcode_mapping!$C:$AA,H$1,FALSE)</f>
        <v>#N/A</v>
      </c>
      <c r="I21" t="e">
        <f>VLOOKUP($A21,Lcode_mapping!$C:$AA,I$1,FALSE)</f>
        <v>#N/A</v>
      </c>
      <c r="J21" t="e">
        <f>VLOOKUP($A21,Lcode_mapping!$C:$AA,J$1,FALSE)</f>
        <v>#N/A</v>
      </c>
    </row>
    <row r="22" spans="1:10" x14ac:dyDescent="0.25">
      <c r="A22" s="12" t="s">
        <v>2415</v>
      </c>
      <c r="B22" t="e">
        <f>VLOOKUP($A22,Lcode_mapping!$C:$AA,B$1,FALSE)</f>
        <v>#N/A</v>
      </c>
      <c r="C22" t="e">
        <f>VLOOKUP($A22,Lcode_mapping!$C:$AA,C$1,FALSE)</f>
        <v>#N/A</v>
      </c>
      <c r="D22" t="e">
        <f>VLOOKUP($A22,Lcode_mapping!$C:$AA,D$1,FALSE)</f>
        <v>#N/A</v>
      </c>
      <c r="E22" t="e">
        <f>VLOOKUP($A22,Lcode_mapping!$C:$AA,E$1,FALSE)</f>
        <v>#N/A</v>
      </c>
      <c r="F22" t="e">
        <f>VLOOKUP($A22,Lcode_mapping!$C:$AA,F$1,FALSE)</f>
        <v>#N/A</v>
      </c>
      <c r="G22" t="e">
        <f>VLOOKUP($A22,Lcode_mapping!$C:$AA,G$1,FALSE)</f>
        <v>#N/A</v>
      </c>
      <c r="H22" t="e">
        <f>VLOOKUP($A22,Lcode_mapping!$C:$AA,H$1,FALSE)</f>
        <v>#N/A</v>
      </c>
      <c r="I22" t="e">
        <f>VLOOKUP($A22,Lcode_mapping!$C:$AA,I$1,FALSE)</f>
        <v>#N/A</v>
      </c>
      <c r="J22" t="e">
        <f>VLOOKUP($A22,Lcode_mapping!$C:$AA,J$1,FALSE)</f>
        <v>#N/A</v>
      </c>
    </row>
    <row r="23" spans="1:10" x14ac:dyDescent="0.25">
      <c r="A23" s="12" t="s">
        <v>2442</v>
      </c>
      <c r="B23" t="e">
        <f>VLOOKUP($A23,Lcode_mapping!$C:$AA,B$1,FALSE)</f>
        <v>#N/A</v>
      </c>
      <c r="C23" t="e">
        <f>VLOOKUP($A23,Lcode_mapping!$C:$AA,C$1,FALSE)</f>
        <v>#N/A</v>
      </c>
      <c r="D23" t="e">
        <f>VLOOKUP($A23,Lcode_mapping!$C:$AA,D$1,FALSE)</f>
        <v>#N/A</v>
      </c>
      <c r="E23" t="e">
        <f>VLOOKUP($A23,Lcode_mapping!$C:$AA,E$1,FALSE)</f>
        <v>#N/A</v>
      </c>
      <c r="F23" t="e">
        <f>VLOOKUP($A23,Lcode_mapping!$C:$AA,F$1,FALSE)</f>
        <v>#N/A</v>
      </c>
      <c r="G23" t="e">
        <f>VLOOKUP($A23,Lcode_mapping!$C:$AA,G$1,FALSE)</f>
        <v>#N/A</v>
      </c>
      <c r="H23" t="e">
        <f>VLOOKUP($A23,Lcode_mapping!$C:$AA,H$1,FALSE)</f>
        <v>#N/A</v>
      </c>
      <c r="I23" t="e">
        <f>VLOOKUP($A23,Lcode_mapping!$C:$AA,I$1,FALSE)</f>
        <v>#N/A</v>
      </c>
      <c r="J23" t="e">
        <f>VLOOKUP($A23,Lcode_mapping!$C:$AA,J$1,FALSE)</f>
        <v>#N/A</v>
      </c>
    </row>
    <row r="24" spans="1:10" x14ac:dyDescent="0.25">
      <c r="A24" s="12" t="s">
        <v>2409</v>
      </c>
      <c r="B24" t="e">
        <f>VLOOKUP($A24,Lcode_mapping!$C:$AA,B$1,FALSE)</f>
        <v>#N/A</v>
      </c>
      <c r="C24" t="e">
        <f>VLOOKUP($A24,Lcode_mapping!$C:$AA,C$1,FALSE)</f>
        <v>#N/A</v>
      </c>
      <c r="D24" t="e">
        <f>VLOOKUP($A24,Lcode_mapping!$C:$AA,D$1,FALSE)</f>
        <v>#N/A</v>
      </c>
      <c r="E24" t="e">
        <f>VLOOKUP($A24,Lcode_mapping!$C:$AA,E$1,FALSE)</f>
        <v>#N/A</v>
      </c>
      <c r="F24" t="e">
        <f>VLOOKUP($A24,Lcode_mapping!$C:$AA,F$1,FALSE)</f>
        <v>#N/A</v>
      </c>
      <c r="G24" t="e">
        <f>VLOOKUP($A24,Lcode_mapping!$C:$AA,G$1,FALSE)</f>
        <v>#N/A</v>
      </c>
      <c r="H24" t="e">
        <f>VLOOKUP($A24,Lcode_mapping!$C:$AA,H$1,FALSE)</f>
        <v>#N/A</v>
      </c>
      <c r="I24" t="e">
        <f>VLOOKUP($A24,Lcode_mapping!$C:$AA,I$1,FALSE)</f>
        <v>#N/A</v>
      </c>
      <c r="J24" t="e">
        <f>VLOOKUP($A24,Lcode_mapping!$C:$AA,J$1,FALSE)</f>
        <v>#N/A</v>
      </c>
    </row>
    <row r="25" spans="1:10" x14ac:dyDescent="0.25">
      <c r="A25" s="12" t="s">
        <v>2411</v>
      </c>
      <c r="B25" t="e">
        <f>VLOOKUP($A25,Lcode_mapping!$C:$AA,B$1,FALSE)</f>
        <v>#N/A</v>
      </c>
      <c r="C25" t="e">
        <f>VLOOKUP($A25,Lcode_mapping!$C:$AA,C$1,FALSE)</f>
        <v>#N/A</v>
      </c>
      <c r="D25" t="e">
        <f>VLOOKUP($A25,Lcode_mapping!$C:$AA,D$1,FALSE)</f>
        <v>#N/A</v>
      </c>
      <c r="E25" t="e">
        <f>VLOOKUP($A25,Lcode_mapping!$C:$AA,E$1,FALSE)</f>
        <v>#N/A</v>
      </c>
      <c r="F25" t="e">
        <f>VLOOKUP($A25,Lcode_mapping!$C:$AA,F$1,FALSE)</f>
        <v>#N/A</v>
      </c>
      <c r="G25" t="e">
        <f>VLOOKUP($A25,Lcode_mapping!$C:$AA,G$1,FALSE)</f>
        <v>#N/A</v>
      </c>
      <c r="H25" t="e">
        <f>VLOOKUP($A25,Lcode_mapping!$C:$AA,H$1,FALSE)</f>
        <v>#N/A</v>
      </c>
      <c r="I25" t="e">
        <f>VLOOKUP($A25,Lcode_mapping!$C:$AA,I$1,FALSE)</f>
        <v>#N/A</v>
      </c>
      <c r="J25" t="e">
        <f>VLOOKUP($A25,Lcode_mapping!$C:$AA,J$1,FALSE)</f>
        <v>#N/A</v>
      </c>
    </row>
    <row r="26" spans="1:10" x14ac:dyDescent="0.25">
      <c r="A26" s="12" t="s">
        <v>2093</v>
      </c>
      <c r="B26" t="e">
        <f>VLOOKUP($A26,Lcode_mapping!$C:$AA,B$1,FALSE)</f>
        <v>#N/A</v>
      </c>
      <c r="C26" t="e">
        <f>VLOOKUP($A26,Lcode_mapping!$C:$AA,C$1,FALSE)</f>
        <v>#N/A</v>
      </c>
      <c r="D26" t="e">
        <f>VLOOKUP($A26,Lcode_mapping!$C:$AA,D$1,FALSE)</f>
        <v>#N/A</v>
      </c>
      <c r="E26" t="e">
        <f>VLOOKUP($A26,Lcode_mapping!$C:$AA,E$1,FALSE)</f>
        <v>#N/A</v>
      </c>
      <c r="F26" t="e">
        <f>VLOOKUP($A26,Lcode_mapping!$C:$AA,F$1,FALSE)</f>
        <v>#N/A</v>
      </c>
      <c r="G26" t="e">
        <f>VLOOKUP($A26,Lcode_mapping!$C:$AA,G$1,FALSE)</f>
        <v>#N/A</v>
      </c>
      <c r="H26" t="e">
        <f>VLOOKUP($A26,Lcode_mapping!$C:$AA,H$1,FALSE)</f>
        <v>#N/A</v>
      </c>
      <c r="I26" t="e">
        <f>VLOOKUP($A26,Lcode_mapping!$C:$AA,I$1,FALSE)</f>
        <v>#N/A</v>
      </c>
      <c r="J26" t="e">
        <f>VLOOKUP($A26,Lcode_mapping!$C:$AA,J$1,FALSE)</f>
        <v>#N/A</v>
      </c>
    </row>
    <row r="27" spans="1:10" x14ac:dyDescent="0.25">
      <c r="A27" s="12" t="s">
        <v>2416</v>
      </c>
      <c r="B27" t="e">
        <f>VLOOKUP($A27,Lcode_mapping!$C:$AA,B$1,FALSE)</f>
        <v>#N/A</v>
      </c>
      <c r="C27" t="e">
        <f>VLOOKUP($A27,Lcode_mapping!$C:$AA,C$1,FALSE)</f>
        <v>#N/A</v>
      </c>
      <c r="D27" t="e">
        <f>VLOOKUP($A27,Lcode_mapping!$C:$AA,D$1,FALSE)</f>
        <v>#N/A</v>
      </c>
      <c r="E27" t="e">
        <f>VLOOKUP($A27,Lcode_mapping!$C:$AA,E$1,FALSE)</f>
        <v>#N/A</v>
      </c>
      <c r="F27" t="e">
        <f>VLOOKUP($A27,Lcode_mapping!$C:$AA,F$1,FALSE)</f>
        <v>#N/A</v>
      </c>
      <c r="G27" t="e">
        <f>VLOOKUP($A27,Lcode_mapping!$C:$AA,G$1,FALSE)</f>
        <v>#N/A</v>
      </c>
      <c r="H27" t="e">
        <f>VLOOKUP($A27,Lcode_mapping!$C:$AA,H$1,FALSE)</f>
        <v>#N/A</v>
      </c>
      <c r="I27" t="e">
        <f>VLOOKUP($A27,Lcode_mapping!$C:$AA,I$1,FALSE)</f>
        <v>#N/A</v>
      </c>
      <c r="J27" t="e">
        <f>VLOOKUP($A27,Lcode_mapping!$C:$AA,J$1,FALSE)</f>
        <v>#N/A</v>
      </c>
    </row>
    <row r="28" spans="1:10" x14ac:dyDescent="0.25">
      <c r="A28" s="12" t="s">
        <v>2417</v>
      </c>
      <c r="B28" t="e">
        <f>VLOOKUP($A28,Lcode_mapping!$C:$AA,B$1,FALSE)</f>
        <v>#N/A</v>
      </c>
      <c r="C28" t="e">
        <f>VLOOKUP($A28,Lcode_mapping!$C:$AA,C$1,FALSE)</f>
        <v>#N/A</v>
      </c>
      <c r="D28" t="e">
        <f>VLOOKUP($A28,Lcode_mapping!$C:$AA,D$1,FALSE)</f>
        <v>#N/A</v>
      </c>
      <c r="E28" t="e">
        <f>VLOOKUP($A28,Lcode_mapping!$C:$AA,E$1,FALSE)</f>
        <v>#N/A</v>
      </c>
      <c r="F28" t="e">
        <f>VLOOKUP($A28,Lcode_mapping!$C:$AA,F$1,FALSE)</f>
        <v>#N/A</v>
      </c>
      <c r="G28" t="e">
        <f>VLOOKUP($A28,Lcode_mapping!$C:$AA,G$1,FALSE)</f>
        <v>#N/A</v>
      </c>
      <c r="H28" t="e">
        <f>VLOOKUP($A28,Lcode_mapping!$C:$AA,H$1,FALSE)</f>
        <v>#N/A</v>
      </c>
      <c r="I28" t="e">
        <f>VLOOKUP($A28,Lcode_mapping!$C:$AA,I$1,FALSE)</f>
        <v>#N/A</v>
      </c>
      <c r="J28" t="e">
        <f>VLOOKUP($A28,Lcode_mapping!$C:$AA,J$1,FALSE)</f>
        <v>#N/A</v>
      </c>
    </row>
    <row r="29" spans="1:10" x14ac:dyDescent="0.25">
      <c r="A29" s="12" t="s">
        <v>2418</v>
      </c>
      <c r="B29" t="e">
        <f>VLOOKUP($A29,Lcode_mapping!$C:$AA,B$1,FALSE)</f>
        <v>#N/A</v>
      </c>
      <c r="C29" t="e">
        <f>VLOOKUP($A29,Lcode_mapping!$C:$AA,C$1,FALSE)</f>
        <v>#N/A</v>
      </c>
      <c r="D29" t="e">
        <f>VLOOKUP($A29,Lcode_mapping!$C:$AA,D$1,FALSE)</f>
        <v>#N/A</v>
      </c>
      <c r="E29" t="e">
        <f>VLOOKUP($A29,Lcode_mapping!$C:$AA,E$1,FALSE)</f>
        <v>#N/A</v>
      </c>
      <c r="F29" t="e">
        <f>VLOOKUP($A29,Lcode_mapping!$C:$AA,F$1,FALSE)</f>
        <v>#N/A</v>
      </c>
      <c r="G29" t="e">
        <f>VLOOKUP($A29,Lcode_mapping!$C:$AA,G$1,FALSE)</f>
        <v>#N/A</v>
      </c>
      <c r="H29" t="e">
        <f>VLOOKUP($A29,Lcode_mapping!$C:$AA,H$1,FALSE)</f>
        <v>#N/A</v>
      </c>
      <c r="I29" t="e">
        <f>VLOOKUP($A29,Lcode_mapping!$C:$AA,I$1,FALSE)</f>
        <v>#N/A</v>
      </c>
      <c r="J29" t="e">
        <f>VLOOKUP($A29,Lcode_mapping!$C:$AA,J$1,FALSE)</f>
        <v>#N/A</v>
      </c>
    </row>
    <row r="30" spans="1:10" x14ac:dyDescent="0.25">
      <c r="A30" s="12" t="s">
        <v>2419</v>
      </c>
      <c r="B30" t="e">
        <f>VLOOKUP($A30,Lcode_mapping!$C:$AA,B$1,FALSE)</f>
        <v>#N/A</v>
      </c>
      <c r="C30" t="e">
        <f>VLOOKUP($A30,Lcode_mapping!$C:$AA,C$1,FALSE)</f>
        <v>#N/A</v>
      </c>
      <c r="D30" t="e">
        <f>VLOOKUP($A30,Lcode_mapping!$C:$AA,D$1,FALSE)</f>
        <v>#N/A</v>
      </c>
      <c r="E30" t="e">
        <f>VLOOKUP($A30,Lcode_mapping!$C:$AA,E$1,FALSE)</f>
        <v>#N/A</v>
      </c>
      <c r="F30" t="e">
        <f>VLOOKUP($A30,Lcode_mapping!$C:$AA,F$1,FALSE)</f>
        <v>#N/A</v>
      </c>
      <c r="G30" t="e">
        <f>VLOOKUP($A30,Lcode_mapping!$C:$AA,G$1,FALSE)</f>
        <v>#N/A</v>
      </c>
      <c r="H30" t="e">
        <f>VLOOKUP($A30,Lcode_mapping!$C:$AA,H$1,FALSE)</f>
        <v>#N/A</v>
      </c>
      <c r="I30" t="e">
        <f>VLOOKUP($A30,Lcode_mapping!$C:$AA,I$1,FALSE)</f>
        <v>#N/A</v>
      </c>
      <c r="J30" t="e">
        <f>VLOOKUP($A30,Lcode_mapping!$C:$AA,J$1,FALSE)</f>
        <v>#N/A</v>
      </c>
    </row>
    <row r="31" spans="1:10" x14ac:dyDescent="0.25">
      <c r="A31" s="12" t="s">
        <v>2433</v>
      </c>
      <c r="B31" t="e">
        <f>VLOOKUP($A31,Lcode_mapping!$C:$AA,B$1,FALSE)</f>
        <v>#N/A</v>
      </c>
      <c r="C31" t="e">
        <f>VLOOKUP($A31,Lcode_mapping!$C:$AA,C$1,FALSE)</f>
        <v>#N/A</v>
      </c>
      <c r="D31" t="e">
        <f>VLOOKUP($A31,Lcode_mapping!$C:$AA,D$1,FALSE)</f>
        <v>#N/A</v>
      </c>
      <c r="E31" t="e">
        <f>VLOOKUP($A31,Lcode_mapping!$C:$AA,E$1,FALSE)</f>
        <v>#N/A</v>
      </c>
      <c r="F31" t="e">
        <f>VLOOKUP($A31,Lcode_mapping!$C:$AA,F$1,FALSE)</f>
        <v>#N/A</v>
      </c>
      <c r="G31" t="e">
        <f>VLOOKUP($A31,Lcode_mapping!$C:$AA,G$1,FALSE)</f>
        <v>#N/A</v>
      </c>
      <c r="H31" t="e">
        <f>VLOOKUP($A31,Lcode_mapping!$C:$AA,H$1,FALSE)</f>
        <v>#N/A</v>
      </c>
      <c r="I31" t="e">
        <f>VLOOKUP($A31,Lcode_mapping!$C:$AA,I$1,FALSE)</f>
        <v>#N/A</v>
      </c>
      <c r="J31" t="e">
        <f>VLOOKUP($A31,Lcode_mapping!$C:$AA,J$1,FALSE)</f>
        <v>#N/A</v>
      </c>
    </row>
    <row r="32" spans="1:10" x14ac:dyDescent="0.25">
      <c r="A32" s="12" t="s">
        <v>2437</v>
      </c>
      <c r="B32" t="e">
        <f>VLOOKUP($A32,Lcode_mapping!$C:$AA,B$1,FALSE)</f>
        <v>#N/A</v>
      </c>
      <c r="C32" t="e">
        <f>VLOOKUP($A32,Lcode_mapping!$C:$AA,C$1,FALSE)</f>
        <v>#N/A</v>
      </c>
      <c r="D32" t="e">
        <f>VLOOKUP($A32,Lcode_mapping!$C:$AA,D$1,FALSE)</f>
        <v>#N/A</v>
      </c>
      <c r="E32" t="e">
        <f>VLOOKUP($A32,Lcode_mapping!$C:$AA,E$1,FALSE)</f>
        <v>#N/A</v>
      </c>
      <c r="F32" t="e">
        <f>VLOOKUP($A32,Lcode_mapping!$C:$AA,F$1,FALSE)</f>
        <v>#N/A</v>
      </c>
      <c r="G32" t="e">
        <f>VLOOKUP($A32,Lcode_mapping!$C:$AA,G$1,FALSE)</f>
        <v>#N/A</v>
      </c>
      <c r="H32" t="e">
        <f>VLOOKUP($A32,Lcode_mapping!$C:$AA,H$1,FALSE)</f>
        <v>#N/A</v>
      </c>
      <c r="I32" t="e">
        <f>VLOOKUP($A32,Lcode_mapping!$C:$AA,I$1,FALSE)</f>
        <v>#N/A</v>
      </c>
      <c r="J32" t="e">
        <f>VLOOKUP($A32,Lcode_mapping!$C:$AA,J$1,FALSE)</f>
        <v>#N/A</v>
      </c>
    </row>
    <row r="33" spans="1:10" x14ac:dyDescent="0.25">
      <c r="A33" s="12" t="s">
        <v>2443</v>
      </c>
      <c r="B33" t="e">
        <f>VLOOKUP($A33,Lcode_mapping!$C:$AA,B$1,FALSE)</f>
        <v>#N/A</v>
      </c>
      <c r="C33" t="e">
        <f>VLOOKUP($A33,Lcode_mapping!$C:$AA,C$1,FALSE)</f>
        <v>#N/A</v>
      </c>
      <c r="D33" t="e">
        <f>VLOOKUP($A33,Lcode_mapping!$C:$AA,D$1,FALSE)</f>
        <v>#N/A</v>
      </c>
      <c r="E33" t="e">
        <f>VLOOKUP($A33,Lcode_mapping!$C:$AA,E$1,FALSE)</f>
        <v>#N/A</v>
      </c>
      <c r="F33" t="e">
        <f>VLOOKUP($A33,Lcode_mapping!$C:$AA,F$1,FALSE)</f>
        <v>#N/A</v>
      </c>
      <c r="G33" t="e">
        <f>VLOOKUP($A33,Lcode_mapping!$C:$AA,G$1,FALSE)</f>
        <v>#N/A</v>
      </c>
      <c r="H33" t="e">
        <f>VLOOKUP($A33,Lcode_mapping!$C:$AA,H$1,FALSE)</f>
        <v>#N/A</v>
      </c>
      <c r="I33" t="e">
        <f>VLOOKUP($A33,Lcode_mapping!$C:$AA,I$1,FALSE)</f>
        <v>#N/A</v>
      </c>
      <c r="J33" t="e">
        <f>VLOOKUP($A33,Lcode_mapping!$C:$AA,J$1,FALSE)</f>
        <v>#N/A</v>
      </c>
    </row>
    <row r="34" spans="1:10" x14ac:dyDescent="0.25">
      <c r="A34" s="12" t="s">
        <v>2420</v>
      </c>
      <c r="B34" t="e">
        <f>VLOOKUP($A34,Lcode_mapping!$C:$AA,B$1,FALSE)</f>
        <v>#N/A</v>
      </c>
      <c r="C34" t="e">
        <f>VLOOKUP($A34,Lcode_mapping!$C:$AA,C$1,FALSE)</f>
        <v>#N/A</v>
      </c>
      <c r="D34" t="e">
        <f>VLOOKUP($A34,Lcode_mapping!$C:$AA,D$1,FALSE)</f>
        <v>#N/A</v>
      </c>
      <c r="E34" t="e">
        <f>VLOOKUP($A34,Lcode_mapping!$C:$AA,E$1,FALSE)</f>
        <v>#N/A</v>
      </c>
      <c r="F34" t="e">
        <f>VLOOKUP($A34,Lcode_mapping!$C:$AA,F$1,FALSE)</f>
        <v>#N/A</v>
      </c>
      <c r="G34" t="e">
        <f>VLOOKUP($A34,Lcode_mapping!$C:$AA,G$1,FALSE)</f>
        <v>#N/A</v>
      </c>
      <c r="H34" t="e">
        <f>VLOOKUP($A34,Lcode_mapping!$C:$AA,H$1,FALSE)</f>
        <v>#N/A</v>
      </c>
      <c r="I34" t="e">
        <f>VLOOKUP($A34,Lcode_mapping!$C:$AA,I$1,FALSE)</f>
        <v>#N/A</v>
      </c>
      <c r="J34" t="e">
        <f>VLOOKUP($A34,Lcode_mapping!$C:$AA,J$1,FALSE)</f>
        <v>#N/A</v>
      </c>
    </row>
    <row r="35" spans="1:10" x14ac:dyDescent="0.25">
      <c r="A35" s="12" t="s">
        <v>2423</v>
      </c>
      <c r="B35" t="e">
        <f>VLOOKUP($A35,Lcode_mapping!$C:$AA,B$1,FALSE)</f>
        <v>#N/A</v>
      </c>
      <c r="C35" t="e">
        <f>VLOOKUP($A35,Lcode_mapping!$C:$AA,C$1,FALSE)</f>
        <v>#N/A</v>
      </c>
      <c r="D35" t="e">
        <f>VLOOKUP($A35,Lcode_mapping!$C:$AA,D$1,FALSE)</f>
        <v>#N/A</v>
      </c>
      <c r="E35" t="e">
        <f>VLOOKUP($A35,Lcode_mapping!$C:$AA,E$1,FALSE)</f>
        <v>#N/A</v>
      </c>
      <c r="F35" t="e">
        <f>VLOOKUP($A35,Lcode_mapping!$C:$AA,F$1,FALSE)</f>
        <v>#N/A</v>
      </c>
      <c r="G35" t="e">
        <f>VLOOKUP($A35,Lcode_mapping!$C:$AA,G$1,FALSE)</f>
        <v>#N/A</v>
      </c>
      <c r="H35" t="e">
        <f>VLOOKUP($A35,Lcode_mapping!$C:$AA,H$1,FALSE)</f>
        <v>#N/A</v>
      </c>
      <c r="I35" t="e">
        <f>VLOOKUP($A35,Lcode_mapping!$C:$AA,I$1,FALSE)</f>
        <v>#N/A</v>
      </c>
      <c r="J35" t="e">
        <f>VLOOKUP($A35,Lcode_mapping!$C:$AA,J$1,FALSE)</f>
        <v>#N/A</v>
      </c>
    </row>
    <row r="36" spans="1:10" x14ac:dyDescent="0.25">
      <c r="A36" s="12" t="s">
        <v>2424</v>
      </c>
      <c r="B36" t="e">
        <f>VLOOKUP($A36,Lcode_mapping!$C:$AA,B$1,FALSE)</f>
        <v>#N/A</v>
      </c>
      <c r="C36" t="e">
        <f>VLOOKUP($A36,Lcode_mapping!$C:$AA,C$1,FALSE)</f>
        <v>#N/A</v>
      </c>
      <c r="D36" t="e">
        <f>VLOOKUP($A36,Lcode_mapping!$C:$AA,D$1,FALSE)</f>
        <v>#N/A</v>
      </c>
      <c r="E36" t="e">
        <f>VLOOKUP($A36,Lcode_mapping!$C:$AA,E$1,FALSE)</f>
        <v>#N/A</v>
      </c>
      <c r="F36" t="e">
        <f>VLOOKUP($A36,Lcode_mapping!$C:$AA,F$1,FALSE)</f>
        <v>#N/A</v>
      </c>
      <c r="G36" t="e">
        <f>VLOOKUP($A36,Lcode_mapping!$C:$AA,G$1,FALSE)</f>
        <v>#N/A</v>
      </c>
      <c r="H36" t="e">
        <f>VLOOKUP($A36,Lcode_mapping!$C:$AA,H$1,FALSE)</f>
        <v>#N/A</v>
      </c>
      <c r="I36" t="e">
        <f>VLOOKUP($A36,Lcode_mapping!$C:$AA,I$1,FALSE)</f>
        <v>#N/A</v>
      </c>
      <c r="J36" t="e">
        <f>VLOOKUP($A36,Lcode_mapping!$C:$AA,J$1,FALSE)</f>
        <v>#N/A</v>
      </c>
    </row>
    <row r="37" spans="1:10" x14ac:dyDescent="0.25">
      <c r="A37" s="12" t="s">
        <v>2400</v>
      </c>
      <c r="B37" t="e">
        <f>VLOOKUP($A37,Lcode_mapping!$C:$AA,B$1,FALSE)</f>
        <v>#N/A</v>
      </c>
      <c r="C37" t="e">
        <f>VLOOKUP($A37,Lcode_mapping!$C:$AA,C$1,FALSE)</f>
        <v>#N/A</v>
      </c>
      <c r="D37" t="e">
        <f>VLOOKUP($A37,Lcode_mapping!$C:$AA,D$1,FALSE)</f>
        <v>#N/A</v>
      </c>
      <c r="E37" t="e">
        <f>VLOOKUP($A37,Lcode_mapping!$C:$AA,E$1,FALSE)</f>
        <v>#N/A</v>
      </c>
      <c r="F37" t="e">
        <f>VLOOKUP($A37,Lcode_mapping!$C:$AA,F$1,FALSE)</f>
        <v>#N/A</v>
      </c>
      <c r="G37" t="e">
        <f>VLOOKUP($A37,Lcode_mapping!$C:$AA,G$1,FALSE)</f>
        <v>#N/A</v>
      </c>
      <c r="H37" t="e">
        <f>VLOOKUP($A37,Lcode_mapping!$C:$AA,H$1,FALSE)</f>
        <v>#N/A</v>
      </c>
      <c r="I37" t="e">
        <f>VLOOKUP($A37,Lcode_mapping!$C:$AA,I$1,FALSE)</f>
        <v>#N/A</v>
      </c>
      <c r="J37" t="e">
        <f>VLOOKUP($A37,Lcode_mapping!$C:$AA,J$1,FALSE)</f>
        <v>#N/A</v>
      </c>
    </row>
    <row r="38" spans="1:10" x14ac:dyDescent="0.25">
      <c r="A38" s="12" t="s">
        <v>2425</v>
      </c>
      <c r="B38" t="e">
        <f>VLOOKUP($A38,Lcode_mapping!$C:$AA,B$1,FALSE)</f>
        <v>#N/A</v>
      </c>
      <c r="C38" t="e">
        <f>VLOOKUP($A38,Lcode_mapping!$C:$AA,C$1,FALSE)</f>
        <v>#N/A</v>
      </c>
      <c r="D38" t="e">
        <f>VLOOKUP($A38,Lcode_mapping!$C:$AA,D$1,FALSE)</f>
        <v>#N/A</v>
      </c>
      <c r="E38" t="e">
        <f>VLOOKUP($A38,Lcode_mapping!$C:$AA,E$1,FALSE)</f>
        <v>#N/A</v>
      </c>
      <c r="F38" t="e">
        <f>VLOOKUP($A38,Lcode_mapping!$C:$AA,F$1,FALSE)</f>
        <v>#N/A</v>
      </c>
      <c r="G38" t="e">
        <f>VLOOKUP($A38,Lcode_mapping!$C:$AA,G$1,FALSE)</f>
        <v>#N/A</v>
      </c>
      <c r="H38" t="e">
        <f>VLOOKUP($A38,Lcode_mapping!$C:$AA,H$1,FALSE)</f>
        <v>#N/A</v>
      </c>
      <c r="I38" t="e">
        <f>VLOOKUP($A38,Lcode_mapping!$C:$AA,I$1,FALSE)</f>
        <v>#N/A</v>
      </c>
      <c r="J38" t="e">
        <f>VLOOKUP($A38,Lcode_mapping!$C:$AA,J$1,FALSE)</f>
        <v>#N/A</v>
      </c>
    </row>
    <row r="39" spans="1:10" x14ac:dyDescent="0.25">
      <c r="A39" s="12" t="s">
        <v>2426</v>
      </c>
      <c r="B39" t="e">
        <f>VLOOKUP($A39,Lcode_mapping!$C:$AA,B$1,FALSE)</f>
        <v>#N/A</v>
      </c>
      <c r="C39" t="e">
        <f>VLOOKUP($A39,Lcode_mapping!$C:$AA,C$1,FALSE)</f>
        <v>#N/A</v>
      </c>
      <c r="D39" t="e">
        <f>VLOOKUP($A39,Lcode_mapping!$C:$AA,D$1,FALSE)</f>
        <v>#N/A</v>
      </c>
      <c r="E39" t="e">
        <f>VLOOKUP($A39,Lcode_mapping!$C:$AA,E$1,FALSE)</f>
        <v>#N/A</v>
      </c>
      <c r="F39" t="e">
        <f>VLOOKUP($A39,Lcode_mapping!$C:$AA,F$1,FALSE)</f>
        <v>#N/A</v>
      </c>
      <c r="G39" t="e">
        <f>VLOOKUP($A39,Lcode_mapping!$C:$AA,G$1,FALSE)</f>
        <v>#N/A</v>
      </c>
      <c r="H39" t="e">
        <f>VLOOKUP($A39,Lcode_mapping!$C:$AA,H$1,FALSE)</f>
        <v>#N/A</v>
      </c>
      <c r="I39" t="e">
        <f>VLOOKUP($A39,Lcode_mapping!$C:$AA,I$1,FALSE)</f>
        <v>#N/A</v>
      </c>
      <c r="J39" t="e">
        <f>VLOOKUP($A39,Lcode_mapping!$C:$AA,J$1,FALSE)</f>
        <v>#N/A</v>
      </c>
    </row>
    <row r="40" spans="1:10" x14ac:dyDescent="0.25">
      <c r="A40" s="12" t="s">
        <v>2427</v>
      </c>
      <c r="B40" t="e">
        <f>VLOOKUP($A40,Lcode_mapping!$C:$AA,B$1,FALSE)</f>
        <v>#N/A</v>
      </c>
      <c r="C40" t="e">
        <f>VLOOKUP($A40,Lcode_mapping!$C:$AA,C$1,FALSE)</f>
        <v>#N/A</v>
      </c>
      <c r="D40" t="e">
        <f>VLOOKUP($A40,Lcode_mapping!$C:$AA,D$1,FALSE)</f>
        <v>#N/A</v>
      </c>
      <c r="E40" t="e">
        <f>VLOOKUP($A40,Lcode_mapping!$C:$AA,E$1,FALSE)</f>
        <v>#N/A</v>
      </c>
      <c r="F40" t="e">
        <f>VLOOKUP($A40,Lcode_mapping!$C:$AA,F$1,FALSE)</f>
        <v>#N/A</v>
      </c>
      <c r="G40" t="e">
        <f>VLOOKUP($A40,Lcode_mapping!$C:$AA,G$1,FALSE)</f>
        <v>#N/A</v>
      </c>
      <c r="H40" t="e">
        <f>VLOOKUP($A40,Lcode_mapping!$C:$AA,H$1,FALSE)</f>
        <v>#N/A</v>
      </c>
      <c r="I40" t="e">
        <f>VLOOKUP($A40,Lcode_mapping!$C:$AA,I$1,FALSE)</f>
        <v>#N/A</v>
      </c>
      <c r="J40" t="e">
        <f>VLOOKUP($A40,Lcode_mapping!$C:$AA,J$1,FALSE)</f>
        <v>#N/A</v>
      </c>
    </row>
    <row r="41" spans="1:10" x14ac:dyDescent="0.25">
      <c r="A41" s="12" t="s">
        <v>1627</v>
      </c>
      <c r="B41" t="e">
        <f>VLOOKUP($A41,Lcode_mapping!$C:$AA,B$1,FALSE)</f>
        <v>#N/A</v>
      </c>
      <c r="C41" t="e">
        <f>VLOOKUP($A41,Lcode_mapping!$C:$AA,C$1,FALSE)</f>
        <v>#N/A</v>
      </c>
      <c r="D41" t="e">
        <f>VLOOKUP($A41,Lcode_mapping!$C:$AA,D$1,FALSE)</f>
        <v>#N/A</v>
      </c>
      <c r="E41" t="e">
        <f>VLOOKUP($A41,Lcode_mapping!$C:$AA,E$1,FALSE)</f>
        <v>#N/A</v>
      </c>
      <c r="F41" t="e">
        <f>VLOOKUP($A41,Lcode_mapping!$C:$AA,F$1,FALSE)</f>
        <v>#N/A</v>
      </c>
      <c r="G41" t="e">
        <f>VLOOKUP($A41,Lcode_mapping!$C:$AA,G$1,FALSE)</f>
        <v>#N/A</v>
      </c>
      <c r="H41" t="e">
        <f>VLOOKUP($A41,Lcode_mapping!$C:$AA,H$1,FALSE)</f>
        <v>#N/A</v>
      </c>
      <c r="I41" t="e">
        <f>VLOOKUP($A41,Lcode_mapping!$C:$AA,I$1,FALSE)</f>
        <v>#N/A</v>
      </c>
      <c r="J41" t="e">
        <f>VLOOKUP($A41,Lcode_mapping!$C:$AA,J$1,FALSE)</f>
        <v>#N/A</v>
      </c>
    </row>
    <row r="42" spans="1:10" x14ac:dyDescent="0.25">
      <c r="A42" s="12" t="s">
        <v>2428</v>
      </c>
      <c r="B42" t="e">
        <f>VLOOKUP($A42,Lcode_mapping!$C:$AA,B$1,FALSE)</f>
        <v>#N/A</v>
      </c>
      <c r="C42" t="e">
        <f>VLOOKUP($A42,Lcode_mapping!$C:$AA,C$1,FALSE)</f>
        <v>#N/A</v>
      </c>
      <c r="D42" t="e">
        <f>VLOOKUP($A42,Lcode_mapping!$C:$AA,D$1,FALSE)</f>
        <v>#N/A</v>
      </c>
      <c r="E42" t="e">
        <f>VLOOKUP($A42,Lcode_mapping!$C:$AA,E$1,FALSE)</f>
        <v>#N/A</v>
      </c>
      <c r="F42" t="e">
        <f>VLOOKUP($A42,Lcode_mapping!$C:$AA,F$1,FALSE)</f>
        <v>#N/A</v>
      </c>
      <c r="G42" t="e">
        <f>VLOOKUP($A42,Lcode_mapping!$C:$AA,G$1,FALSE)</f>
        <v>#N/A</v>
      </c>
      <c r="H42" t="e">
        <f>VLOOKUP($A42,Lcode_mapping!$C:$AA,H$1,FALSE)</f>
        <v>#N/A</v>
      </c>
      <c r="I42" t="e">
        <f>VLOOKUP($A42,Lcode_mapping!$C:$AA,I$1,FALSE)</f>
        <v>#N/A</v>
      </c>
      <c r="J42" t="e">
        <f>VLOOKUP($A42,Lcode_mapping!$C:$AA,J$1,FALSE)</f>
        <v>#N/A</v>
      </c>
    </row>
    <row r="43" spans="1:10" x14ac:dyDescent="0.25">
      <c r="A43" s="12" t="s">
        <v>2429</v>
      </c>
      <c r="B43" t="e">
        <f>VLOOKUP($A43,Lcode_mapping!$C:$AA,B$1,FALSE)</f>
        <v>#N/A</v>
      </c>
      <c r="C43" t="e">
        <f>VLOOKUP($A43,Lcode_mapping!$C:$AA,C$1,FALSE)</f>
        <v>#N/A</v>
      </c>
      <c r="D43" t="e">
        <f>VLOOKUP($A43,Lcode_mapping!$C:$AA,D$1,FALSE)</f>
        <v>#N/A</v>
      </c>
      <c r="E43" t="e">
        <f>VLOOKUP($A43,Lcode_mapping!$C:$AA,E$1,FALSE)</f>
        <v>#N/A</v>
      </c>
      <c r="F43" t="e">
        <f>VLOOKUP($A43,Lcode_mapping!$C:$AA,F$1,FALSE)</f>
        <v>#N/A</v>
      </c>
      <c r="G43" t="e">
        <f>VLOOKUP($A43,Lcode_mapping!$C:$AA,G$1,FALSE)</f>
        <v>#N/A</v>
      </c>
      <c r="H43" t="e">
        <f>VLOOKUP($A43,Lcode_mapping!$C:$AA,H$1,FALSE)</f>
        <v>#N/A</v>
      </c>
      <c r="I43" t="e">
        <f>VLOOKUP($A43,Lcode_mapping!$C:$AA,I$1,FALSE)</f>
        <v>#N/A</v>
      </c>
      <c r="J43" t="e">
        <f>VLOOKUP($A43,Lcode_mapping!$C:$AA,J$1,FALSE)</f>
        <v>#N/A</v>
      </c>
    </row>
    <row r="44" spans="1:10" x14ac:dyDescent="0.25">
      <c r="A44" s="12" t="s">
        <v>2412</v>
      </c>
      <c r="B44" t="e">
        <f>VLOOKUP($A44,Lcode_mapping!$C:$AA,B$1,FALSE)</f>
        <v>#N/A</v>
      </c>
      <c r="C44" t="e">
        <f>VLOOKUP($A44,Lcode_mapping!$C:$AA,C$1,FALSE)</f>
        <v>#N/A</v>
      </c>
      <c r="D44" t="e">
        <f>VLOOKUP($A44,Lcode_mapping!$C:$AA,D$1,FALSE)</f>
        <v>#N/A</v>
      </c>
      <c r="E44" t="e">
        <f>VLOOKUP($A44,Lcode_mapping!$C:$AA,E$1,FALSE)</f>
        <v>#N/A</v>
      </c>
      <c r="F44" t="e">
        <f>VLOOKUP($A44,Lcode_mapping!$C:$AA,F$1,FALSE)</f>
        <v>#N/A</v>
      </c>
      <c r="G44" t="e">
        <f>VLOOKUP($A44,Lcode_mapping!$C:$AA,G$1,FALSE)</f>
        <v>#N/A</v>
      </c>
      <c r="H44" t="e">
        <f>VLOOKUP($A44,Lcode_mapping!$C:$AA,H$1,FALSE)</f>
        <v>#N/A</v>
      </c>
      <c r="I44" t="e">
        <f>VLOOKUP($A44,Lcode_mapping!$C:$AA,I$1,FALSE)</f>
        <v>#N/A</v>
      </c>
      <c r="J44" t="e">
        <f>VLOOKUP($A44,Lcode_mapping!$C:$AA,J$1,FALSE)</f>
        <v>#N/A</v>
      </c>
    </row>
    <row r="45" spans="1:10" x14ac:dyDescent="0.25">
      <c r="A45" s="12" t="s">
        <v>1879</v>
      </c>
      <c r="B45" t="str">
        <f>VLOOKUP($A45,Lcode_mapping!$C:$AA,B$1,FALSE)</f>
        <v>CalcERP</v>
      </c>
      <c r="C45" t="str">
        <f>VLOOKUP($A45,Lcode_mapping!$C:$AA,C$1,FALSE)</f>
        <v>Solve</v>
      </c>
      <c r="D45" t="str">
        <f>VLOOKUP($A45,Lcode_mapping!$C:$AA,D$1,FALSE)</f>
        <v>Session</v>
      </c>
      <c r="E45" t="str">
        <f>VLOOKUP($A45,Lcode_mapping!$C:$AA,E$1,FALSE)</f>
        <v>CalcUt1Module</v>
      </c>
      <c r="F45" t="str">
        <f>VLOOKUP($A45,Lcode_mapping!$C:$AA,F$1,FALSE)</f>
        <v>A</v>
      </c>
      <c r="G45">
        <f>VLOOKUP($A45,Lcode_mapping!$C:$AA,G$1,FALSE)</f>
        <v>40</v>
      </c>
      <c r="H45">
        <f>VLOOKUP($A45,Lcode_mapping!$C:$AA,H$1,FALSE)</f>
        <v>1</v>
      </c>
      <c r="I45">
        <f>VLOOKUP($A45,Lcode_mapping!$C:$AA,I$1,FALSE)</f>
        <v>1</v>
      </c>
      <c r="J45" t="str">
        <f>VLOOKUP($A45,Lcode_mapping!$C:$AA,J$1,FALSE)</f>
        <v>UT1 Module message definition</v>
      </c>
    </row>
    <row r="46" spans="1:10" x14ac:dyDescent="0.25">
      <c r="A46" s="12" t="s">
        <v>1878</v>
      </c>
      <c r="B46" t="str">
        <f>VLOOKUP($A46,Lcode_mapping!$C:$AA,B$1,FALSE)</f>
        <v>CalcERP</v>
      </c>
      <c r="C46" t="str">
        <f>VLOOKUP($A46,Lcode_mapping!$C:$AA,C$1,FALSE)</f>
        <v>Solve</v>
      </c>
      <c r="D46" t="str">
        <f>VLOOKUP($A46,Lcode_mapping!$C:$AA,D$1,FALSE)</f>
        <v>Session</v>
      </c>
      <c r="E46" t="str">
        <f>VLOOKUP($A46,Lcode_mapping!$C:$AA,E$1,FALSE)</f>
        <v>CalcWobModule</v>
      </c>
      <c r="F46" t="str">
        <f>VLOOKUP($A46,Lcode_mapping!$C:$AA,F$1,FALSE)</f>
        <v>A</v>
      </c>
      <c r="G46">
        <f>VLOOKUP($A46,Lcode_mapping!$C:$AA,G$1,FALSE)</f>
        <v>40</v>
      </c>
      <c r="H46">
        <f>VLOOKUP($A46,Lcode_mapping!$C:$AA,H$1,FALSE)</f>
        <v>1</v>
      </c>
      <c r="I46">
        <f>VLOOKUP($A46,Lcode_mapping!$C:$AA,I$1,FALSE)</f>
        <v>1</v>
      </c>
      <c r="J46" t="str">
        <f>VLOOKUP($A46,Lcode_mapping!$C:$AA,J$1,FALSE)</f>
        <v>Wobble message definition.</v>
      </c>
    </row>
    <row r="47" spans="1:10" x14ac:dyDescent="0.25">
      <c r="A47" s="12" t="s">
        <v>1873</v>
      </c>
      <c r="B47" t="str">
        <f>VLOOKUP($A47,Lcode_mapping!$C:$AA,B$1,FALSE)</f>
        <v>CalcERP</v>
      </c>
      <c r="C47" t="str">
        <f>VLOOKUP($A47,Lcode_mapping!$C:$AA,C$1,FALSE)</f>
        <v>Solve</v>
      </c>
      <c r="D47" t="str">
        <f>VLOOKUP($A47,Lcode_mapping!$C:$AA,D$1,FALSE)</f>
        <v>Session</v>
      </c>
      <c r="E47" t="str">
        <f>VLOOKUP($A47,Lcode_mapping!$C:$AA,E$1,FALSE)</f>
        <v>UT1ArrayInfo</v>
      </c>
      <c r="F47" t="str">
        <f>VLOOKUP($A47,Lcode_mapping!$C:$AA,F$1,FALSE)</f>
        <v>R</v>
      </c>
      <c r="G47">
        <f>VLOOKUP($A47,Lcode_mapping!$C:$AA,G$1,FALSE)</f>
        <v>4</v>
      </c>
      <c r="H47">
        <f>VLOOKUP($A47,Lcode_mapping!$C:$AA,H$1,FALSE)</f>
        <v>1</v>
      </c>
      <c r="I47">
        <f>VLOOKUP($A47,Lcode_mapping!$C:$AA,I$1,FALSE)</f>
        <v>1</v>
      </c>
      <c r="J47" t="str">
        <f>VLOOKUP($A47,Lcode_mapping!$C:$AA,J$1,FALSE)</f>
        <v>Array: (FJD of start, spacing in days, number points, Scaling (should be 1))</v>
      </c>
    </row>
    <row r="48" spans="1:10" x14ac:dyDescent="0.25">
      <c r="A48" s="12" t="s">
        <v>1876</v>
      </c>
      <c r="B48" t="str">
        <f>VLOOKUP($A48,Lcode_mapping!$C:$AA,B$1,FALSE)</f>
        <v>CalcERP</v>
      </c>
      <c r="C48" t="str">
        <f>VLOOKUP($A48,Lcode_mapping!$C:$AA,C$1,FALSE)</f>
        <v>Solve</v>
      </c>
      <c r="D48" t="str">
        <f>VLOOKUP($A48,Lcode_mapping!$C:$AA,D$1,FALSE)</f>
        <v>Session</v>
      </c>
      <c r="E48" t="str">
        <f>VLOOKUP($A48,Lcode_mapping!$C:$AA,E$1,FALSE)</f>
        <v>UT1IntrpMode</v>
      </c>
      <c r="F48" t="str">
        <f>VLOOKUP($A48,Lcode_mapping!$C:$AA,F$1,FALSE)</f>
        <v>A</v>
      </c>
      <c r="G48">
        <f>VLOOKUP($A48,Lcode_mapping!$C:$AA,G$1,FALSE)</f>
        <v>30</v>
      </c>
      <c r="H48">
        <f>VLOOKUP($A48,Lcode_mapping!$C:$AA,H$1,FALSE)</f>
        <v>1</v>
      </c>
      <c r="I48">
        <f>VLOOKUP($A48,Lcode_mapping!$C:$AA,I$1,FALSE)</f>
        <v>1</v>
      </c>
      <c r="J48" t="str">
        <f>VLOOKUP($A48,Lcode_mapping!$C:$AA,J$1,FALSE)</f>
        <v>Message for UT1 interp. scheme</v>
      </c>
    </row>
    <row r="49" spans="1:10" x14ac:dyDescent="0.25">
      <c r="A49" s="12" t="s">
        <v>1868</v>
      </c>
      <c r="B49" t="str">
        <f>VLOOKUP($A49,Lcode_mapping!$C:$AA,B$1,FALSE)</f>
        <v>CalcERP</v>
      </c>
      <c r="C49" t="str">
        <f>VLOOKUP($A49,Lcode_mapping!$C:$AA,C$1,FALSE)</f>
        <v>Solve</v>
      </c>
      <c r="D49" t="str">
        <f>VLOOKUP($A49,Lcode_mapping!$C:$AA,D$1,FALSE)</f>
        <v>Session</v>
      </c>
      <c r="E49" t="str">
        <f>VLOOKUP($A49,Lcode_mapping!$C:$AA,E$1,FALSE)</f>
        <v>UT1Origin</v>
      </c>
      <c r="F49" t="str">
        <f>VLOOKUP($A49,Lcode_mapping!$C:$AA,F$1,FALSE)</f>
        <v>A</v>
      </c>
      <c r="G49">
        <f>VLOOKUP($A49,Lcode_mapping!$C:$AA,G$1,FALSE)</f>
        <v>40</v>
      </c>
      <c r="H49">
        <f>VLOOKUP($A49,Lcode_mapping!$C:$AA,H$1,FALSE)</f>
        <v>1</v>
      </c>
      <c r="I49">
        <f>VLOOKUP($A49,Lcode_mapping!$C:$AA,I$1,FALSE)</f>
        <v>1</v>
      </c>
      <c r="J49" t="str">
        <f>VLOOKUP($A49,Lcode_mapping!$C:$AA,J$1,FALSE)</f>
        <v>Final Value TAI-UT1 origin text.</v>
      </c>
    </row>
    <row r="50" spans="1:10" x14ac:dyDescent="0.25">
      <c r="A50" s="12" t="s">
        <v>1872</v>
      </c>
      <c r="B50" t="str">
        <f>VLOOKUP($A50,Lcode_mapping!$C:$AA,B$1,FALSE)</f>
        <v>CalcERP</v>
      </c>
      <c r="C50" t="str">
        <f>VLOOKUP($A50,Lcode_mapping!$C:$AA,C$1,FALSE)</f>
        <v>Solve</v>
      </c>
      <c r="D50" t="str">
        <f>VLOOKUP($A50,Lcode_mapping!$C:$AA,D$1,FALSE)</f>
        <v>Session</v>
      </c>
      <c r="E50" t="str">
        <f>VLOOKUP($A50,Lcode_mapping!$C:$AA,E$1,FALSE)</f>
        <v>UT1Values</v>
      </c>
      <c r="F50" t="str">
        <f>VLOOKUP($A50,Lcode_mapping!$C:$AA,F$1,FALSE)</f>
        <v>R</v>
      </c>
      <c r="G50">
        <f>VLOOKUP($A50,Lcode_mapping!$C:$AA,G$1,FALSE)</f>
        <v>15</v>
      </c>
      <c r="H50">
        <f>VLOOKUP($A50,Lcode_mapping!$C:$AA,H$1,FALSE)</f>
        <v>1</v>
      </c>
      <c r="I50">
        <f>VLOOKUP($A50,Lcode_mapping!$C:$AA,I$1,FALSE)</f>
        <v>1</v>
      </c>
      <c r="J50" t="str">
        <f>VLOOKUP($A50,Lcode_mapping!$C:$AA,J$1,FALSE)</f>
        <v>Final Value TAI-UT1 data points.</v>
      </c>
    </row>
    <row r="51" spans="1:10" x14ac:dyDescent="0.25">
      <c r="A51" s="12" t="s">
        <v>1871</v>
      </c>
      <c r="B51" t="str">
        <f>VLOOKUP($A51,Lcode_mapping!$C:$AA,B$1,FALSE)</f>
        <v>CalcERP</v>
      </c>
      <c r="C51" t="str">
        <f>VLOOKUP($A51,Lcode_mapping!$C:$AA,C$1,FALSE)</f>
        <v>Solve</v>
      </c>
      <c r="D51" t="str">
        <f>VLOOKUP($A51,Lcode_mapping!$C:$AA,D$1,FALSE)</f>
        <v>Session</v>
      </c>
      <c r="E51" t="str">
        <f>VLOOKUP($A51,Lcode_mapping!$C:$AA,E$1,FALSE)</f>
        <v>WobArrayInfo</v>
      </c>
      <c r="F51" t="str">
        <f>VLOOKUP($A51,Lcode_mapping!$C:$AA,F$1,FALSE)</f>
        <v>R</v>
      </c>
      <c r="G51">
        <f>VLOOKUP($A51,Lcode_mapping!$C:$AA,G$1,FALSE)</f>
        <v>3</v>
      </c>
      <c r="H51">
        <f>VLOOKUP($A51,Lcode_mapping!$C:$AA,H$1,FALSE)</f>
        <v>1</v>
      </c>
      <c r="I51">
        <f>VLOOKUP($A51,Lcode_mapping!$C:$AA,I$1,FALSE)</f>
        <v>1</v>
      </c>
      <c r="J51" t="str">
        <f>VLOOKUP($A51,Lcode_mapping!$C:$AA,J$1,FALSE)</f>
        <v xml:space="preserve">Array: (FJD of start, spacing in days, number points) </v>
      </c>
    </row>
    <row r="52" spans="1:10" x14ac:dyDescent="0.25">
      <c r="A52" s="12" t="s">
        <v>1869</v>
      </c>
      <c r="B52" t="str">
        <f>VLOOKUP($A52,Lcode_mapping!$C:$AA,B$1,FALSE)</f>
        <v>CalcERP</v>
      </c>
      <c r="C52" t="str">
        <f>VLOOKUP($A52,Lcode_mapping!$C:$AA,C$1,FALSE)</f>
        <v>Solve</v>
      </c>
      <c r="D52" t="str">
        <f>VLOOKUP($A52,Lcode_mapping!$C:$AA,D$1,FALSE)</f>
        <v>Session</v>
      </c>
      <c r="E52" t="str">
        <f>VLOOKUP($A52,Lcode_mapping!$C:$AA,E$1,FALSE)</f>
        <v>WobbleOrigin</v>
      </c>
      <c r="F52" t="str">
        <f>VLOOKUP($A52,Lcode_mapping!$C:$AA,F$1,FALSE)</f>
        <v>A</v>
      </c>
      <c r="G52">
        <f>VLOOKUP($A52,Lcode_mapping!$C:$AA,G$1,FALSE)</f>
        <v>40</v>
      </c>
      <c r="H52">
        <f>VLOOKUP($A52,Lcode_mapping!$C:$AA,H$1,FALSE)</f>
        <v>1</v>
      </c>
      <c r="I52">
        <f>VLOOKUP($A52,Lcode_mapping!$C:$AA,I$1,FALSE)</f>
        <v>1</v>
      </c>
      <c r="J52" t="str">
        <f>VLOOKUP($A52,Lcode_mapping!$C:$AA,J$1,FALSE)</f>
        <v>Final Value wobble origin text.</v>
      </c>
    </row>
    <row r="53" spans="1:10" x14ac:dyDescent="0.25">
      <c r="A53" s="12" t="s">
        <v>1877</v>
      </c>
      <c r="B53" t="str">
        <f>VLOOKUP($A53,Lcode_mapping!$C:$AA,B$1,FALSE)</f>
        <v>CalcERP</v>
      </c>
      <c r="C53" t="str">
        <f>VLOOKUP($A53,Lcode_mapping!$C:$AA,C$1,FALSE)</f>
        <v>Solve</v>
      </c>
      <c r="D53" t="str">
        <f>VLOOKUP($A53,Lcode_mapping!$C:$AA,D$1,FALSE)</f>
        <v>Session</v>
      </c>
      <c r="E53" t="str">
        <f>VLOOKUP($A53,Lcode_mapping!$C:$AA,E$1,FALSE)</f>
        <v>WobIntrpMode</v>
      </c>
      <c r="F53" t="str">
        <f>VLOOKUP($A53,Lcode_mapping!$C:$AA,F$1,FALSE)</f>
        <v>A</v>
      </c>
      <c r="G53">
        <f>VLOOKUP($A53,Lcode_mapping!$C:$AA,G$1,FALSE)</f>
        <v>30</v>
      </c>
      <c r="H53">
        <f>VLOOKUP($A53,Lcode_mapping!$C:$AA,H$1,FALSE)</f>
        <v>1</v>
      </c>
      <c r="I53">
        <f>VLOOKUP($A53,Lcode_mapping!$C:$AA,I$1,FALSE)</f>
        <v>1</v>
      </c>
      <c r="J53" t="str">
        <f>VLOOKUP($A53,Lcode_mapping!$C:$AA,J$1,FALSE)</f>
        <v>Interp. scheme for polar motion.</v>
      </c>
    </row>
    <row r="54" spans="1:10" x14ac:dyDescent="0.25">
      <c r="A54" s="12" t="s">
        <v>1870</v>
      </c>
      <c r="B54" t="str">
        <f>VLOOKUP($A54,Lcode_mapping!$C:$AA,B$1,FALSE)</f>
        <v>CalcERP</v>
      </c>
      <c r="C54" t="str">
        <f>VLOOKUP($A54,Lcode_mapping!$C:$AA,C$1,FALSE)</f>
        <v>Solve</v>
      </c>
      <c r="D54" t="str">
        <f>VLOOKUP($A54,Lcode_mapping!$C:$AA,D$1,FALSE)</f>
        <v>Session</v>
      </c>
      <c r="E54" t="str">
        <f>VLOOKUP($A54,Lcode_mapping!$C:$AA,E$1,FALSE)</f>
        <v>WobValues</v>
      </c>
      <c r="F54" t="str">
        <f>VLOOKUP($A54,Lcode_mapping!$C:$AA,F$1,FALSE)</f>
        <v>R</v>
      </c>
      <c r="G54">
        <f>VLOOKUP($A54,Lcode_mapping!$C:$AA,G$1,FALSE)</f>
        <v>2</v>
      </c>
      <c r="H54">
        <f>VLOOKUP($A54,Lcode_mapping!$C:$AA,H$1,FALSE)</f>
        <v>15</v>
      </c>
      <c r="I54">
        <f>VLOOKUP($A54,Lcode_mapping!$C:$AA,I$1,FALSE)</f>
        <v>1</v>
      </c>
      <c r="J54" t="str">
        <f>VLOOKUP($A54,Lcode_mapping!$C:$AA,J$1,FALSE)</f>
        <v>Final wobble X Y component value</v>
      </c>
    </row>
    <row r="55" spans="1:10" x14ac:dyDescent="0.25">
      <c r="A55" s="12" t="s">
        <v>1981</v>
      </c>
      <c r="B55" t="e">
        <f>VLOOKUP($A55,Lcode_mapping!$C:$AA,B$1,FALSE)</f>
        <v>#N/A</v>
      </c>
      <c r="C55" t="e">
        <f>VLOOKUP($A55,Lcode_mapping!$C:$AA,C$1,FALSE)</f>
        <v>#N/A</v>
      </c>
      <c r="D55" t="e">
        <f>VLOOKUP($A55,Lcode_mapping!$C:$AA,D$1,FALSE)</f>
        <v>#N/A</v>
      </c>
      <c r="E55" t="e">
        <f>VLOOKUP($A55,Lcode_mapping!$C:$AA,E$1,FALSE)</f>
        <v>#N/A</v>
      </c>
      <c r="F55" t="e">
        <f>VLOOKUP($A55,Lcode_mapping!$C:$AA,F$1,FALSE)</f>
        <v>#N/A</v>
      </c>
      <c r="G55" t="e">
        <f>VLOOKUP($A55,Lcode_mapping!$C:$AA,G$1,FALSE)</f>
        <v>#N/A</v>
      </c>
      <c r="H55" t="e">
        <f>VLOOKUP($A55,Lcode_mapping!$C:$AA,H$1,FALSE)</f>
        <v>#N/A</v>
      </c>
      <c r="I55" t="e">
        <f>VLOOKUP($A55,Lcode_mapping!$C:$AA,I$1,FALSE)</f>
        <v>#N/A</v>
      </c>
      <c r="J55" t="e">
        <f>VLOOKUP($A55,Lcode_mapping!$C:$AA,J$1,FALSE)</f>
        <v>#N/A</v>
      </c>
    </row>
    <row r="56" spans="1:10" x14ac:dyDescent="0.25">
      <c r="A56" s="12" t="s">
        <v>1970</v>
      </c>
      <c r="B56" t="str">
        <f>VLOOKUP($A56,Lcode_mapping!$C:$AA,B$1,FALSE)</f>
        <v>CalcInfo</v>
      </c>
      <c r="C56" t="str">
        <f>VLOOKUP($A56,Lcode_mapping!$C:$AA,C$1,FALSE)</f>
        <v>Solve</v>
      </c>
      <c r="D56" t="str">
        <f>VLOOKUP($A56,Lcode_mapping!$C:$AA,D$1,FALSE)</f>
        <v>Session</v>
      </c>
      <c r="E56" t="str">
        <f>VLOOKUP($A56,Lcode_mapping!$C:$AA,E$1,FALSE)</f>
        <v>ATIMessage</v>
      </c>
      <c r="F56" t="str">
        <f>VLOOKUP($A56,Lcode_mapping!$C:$AA,F$1,FALSE)</f>
        <v>A</v>
      </c>
      <c r="G56">
        <f>VLOOKUP($A56,Lcode_mapping!$C:$AA,G$1,FALSE)</f>
        <v>40</v>
      </c>
      <c r="H56">
        <f>VLOOKUP($A56,Lcode_mapping!$C:$AA,H$1,FALSE)</f>
        <v>1</v>
      </c>
      <c r="I56">
        <f>VLOOKUP($A56,Lcode_mapping!$C:$AA,I$1,FALSE)</f>
        <v>1</v>
      </c>
      <c r="J56" t="str">
        <f>VLOOKUP($A56,Lcode_mapping!$C:$AA,J$1,FALSE)</f>
        <v>ATIME Message Definition</v>
      </c>
    </row>
    <row r="57" spans="1:10" x14ac:dyDescent="0.25">
      <c r="A57" s="12" t="s">
        <v>1982</v>
      </c>
      <c r="B57" t="e">
        <f>VLOOKUP($A57,Lcode_mapping!$C:$AA,B$1,FALSE)</f>
        <v>#N/A</v>
      </c>
      <c r="C57" t="e">
        <f>VLOOKUP($A57,Lcode_mapping!$C:$AA,C$1,FALSE)</f>
        <v>#N/A</v>
      </c>
      <c r="D57" t="e">
        <f>VLOOKUP($A57,Lcode_mapping!$C:$AA,D$1,FALSE)</f>
        <v>#N/A</v>
      </c>
      <c r="E57" t="e">
        <f>VLOOKUP($A57,Lcode_mapping!$C:$AA,E$1,FALSE)</f>
        <v>#N/A</v>
      </c>
      <c r="F57" t="e">
        <f>VLOOKUP($A57,Lcode_mapping!$C:$AA,F$1,FALSE)</f>
        <v>#N/A</v>
      </c>
      <c r="G57" t="e">
        <f>VLOOKUP($A57,Lcode_mapping!$C:$AA,G$1,FALSE)</f>
        <v>#N/A</v>
      </c>
      <c r="H57" t="e">
        <f>VLOOKUP($A57,Lcode_mapping!$C:$AA,H$1,FALSE)</f>
        <v>#N/A</v>
      </c>
      <c r="I57" t="e">
        <f>VLOOKUP($A57,Lcode_mapping!$C:$AA,I$1,FALSE)</f>
        <v>#N/A</v>
      </c>
      <c r="J57" t="e">
        <f>VLOOKUP($A57,Lcode_mapping!$C:$AA,J$1,FALSE)</f>
        <v>#N/A</v>
      </c>
    </row>
    <row r="58" spans="1:10" x14ac:dyDescent="0.25">
      <c r="A58" s="12" t="s">
        <v>1971</v>
      </c>
      <c r="B58" t="str">
        <f>VLOOKUP($A58,Lcode_mapping!$C:$AA,B$1,FALSE)</f>
        <v>CalcInfo</v>
      </c>
      <c r="C58" t="str">
        <f>VLOOKUP($A58,Lcode_mapping!$C:$AA,C$1,FALSE)</f>
        <v>Solve</v>
      </c>
      <c r="D58" t="str">
        <f>VLOOKUP($A58,Lcode_mapping!$C:$AA,D$1,FALSE)</f>
        <v>Session</v>
      </c>
      <c r="E58" t="str">
        <f>VLOOKUP($A58,Lcode_mapping!$C:$AA,E$1,FALSE)</f>
        <v>ATMMessage</v>
      </c>
      <c r="F58" t="str">
        <f>VLOOKUP($A58,Lcode_mapping!$C:$AA,F$1,FALSE)</f>
        <v>A</v>
      </c>
      <c r="G58">
        <f>VLOOKUP($A58,Lcode_mapping!$C:$AA,G$1,FALSE)</f>
        <v>40</v>
      </c>
      <c r="H58">
        <f>VLOOKUP($A58,Lcode_mapping!$C:$AA,H$1,FALSE)</f>
        <v>1</v>
      </c>
      <c r="I58">
        <f>VLOOKUP($A58,Lcode_mapping!$C:$AA,I$1,FALSE)</f>
        <v>1</v>
      </c>
      <c r="J58" t="str">
        <f>VLOOKUP($A58,Lcode_mapping!$C:$AA,J$1,FALSE)</f>
        <v>Atmosphere message definition</v>
      </c>
    </row>
    <row r="59" spans="1:10" x14ac:dyDescent="0.25">
      <c r="A59" s="12" t="s">
        <v>1983</v>
      </c>
      <c r="B59" t="e">
        <f>VLOOKUP($A59,Lcode_mapping!$C:$AA,B$1,FALSE)</f>
        <v>#N/A</v>
      </c>
      <c r="C59" t="e">
        <f>VLOOKUP($A59,Lcode_mapping!$C:$AA,C$1,FALSE)</f>
        <v>#N/A</v>
      </c>
      <c r="D59" t="e">
        <f>VLOOKUP($A59,Lcode_mapping!$C:$AA,D$1,FALSE)</f>
        <v>#N/A</v>
      </c>
      <c r="E59" t="e">
        <f>VLOOKUP($A59,Lcode_mapping!$C:$AA,E$1,FALSE)</f>
        <v>#N/A</v>
      </c>
      <c r="F59" t="e">
        <f>VLOOKUP($A59,Lcode_mapping!$C:$AA,F$1,FALSE)</f>
        <v>#N/A</v>
      </c>
      <c r="G59" t="e">
        <f>VLOOKUP($A59,Lcode_mapping!$C:$AA,G$1,FALSE)</f>
        <v>#N/A</v>
      </c>
      <c r="H59" t="e">
        <f>VLOOKUP($A59,Lcode_mapping!$C:$AA,H$1,FALSE)</f>
        <v>#N/A</v>
      </c>
      <c r="I59" t="e">
        <f>VLOOKUP($A59,Lcode_mapping!$C:$AA,I$1,FALSE)</f>
        <v>#N/A</v>
      </c>
      <c r="J59" t="e">
        <f>VLOOKUP($A59,Lcode_mapping!$C:$AA,J$1,FALSE)</f>
        <v>#N/A</v>
      </c>
    </row>
    <row r="60" spans="1:10" x14ac:dyDescent="0.25">
      <c r="A60" s="12" t="s">
        <v>1972</v>
      </c>
      <c r="B60" t="str">
        <f>VLOOKUP($A60,Lcode_mapping!$C:$AA,B$1,FALSE)</f>
        <v>CalcInfo</v>
      </c>
      <c r="C60" t="str">
        <f>VLOOKUP($A60,Lcode_mapping!$C:$AA,C$1,FALSE)</f>
        <v>Solve</v>
      </c>
      <c r="D60" t="str">
        <f>VLOOKUP($A60,Lcode_mapping!$C:$AA,D$1,FALSE)</f>
        <v>Session</v>
      </c>
      <c r="E60" t="str">
        <f>VLOOKUP($A60,Lcode_mapping!$C:$AA,E$1,FALSE)</f>
        <v>AxisOffsetMessage</v>
      </c>
      <c r="F60" t="str">
        <f>VLOOKUP($A60,Lcode_mapping!$C:$AA,F$1,FALSE)</f>
        <v>A</v>
      </c>
      <c r="G60">
        <f>VLOOKUP($A60,Lcode_mapping!$C:$AA,G$1,FALSE)</f>
        <v>40</v>
      </c>
      <c r="H60">
        <f>VLOOKUP($A60,Lcode_mapping!$C:$AA,H$1,FALSE)</f>
        <v>1</v>
      </c>
      <c r="I60">
        <f>VLOOKUP($A60,Lcode_mapping!$C:$AA,I$1,FALSE)</f>
        <v>1</v>
      </c>
      <c r="J60" t="str">
        <f>VLOOKUP($A60,Lcode_mapping!$C:$AA,J$1,FALSE)</f>
        <v>Axis Offset Message Definition</v>
      </c>
    </row>
    <row r="61" spans="1:10" x14ac:dyDescent="0.25">
      <c r="A61" s="12" t="s">
        <v>1974</v>
      </c>
      <c r="B61" t="e">
        <f>VLOOKUP($A61,Lcode_mapping!$C:$AA,B$1,FALSE)</f>
        <v>#N/A</v>
      </c>
      <c r="C61" t="e">
        <f>VLOOKUP($A61,Lcode_mapping!$C:$AA,C$1,FALSE)</f>
        <v>#N/A</v>
      </c>
      <c r="D61" t="e">
        <f>VLOOKUP($A61,Lcode_mapping!$C:$AA,D$1,FALSE)</f>
        <v>#N/A</v>
      </c>
      <c r="E61" t="e">
        <f>VLOOKUP($A61,Lcode_mapping!$C:$AA,E$1,FALSE)</f>
        <v>#N/A</v>
      </c>
      <c r="F61" t="e">
        <f>VLOOKUP($A61,Lcode_mapping!$C:$AA,F$1,FALSE)</f>
        <v>#N/A</v>
      </c>
      <c r="G61" t="e">
        <f>VLOOKUP($A61,Lcode_mapping!$C:$AA,G$1,FALSE)</f>
        <v>#N/A</v>
      </c>
      <c r="H61" t="e">
        <f>VLOOKUP($A61,Lcode_mapping!$C:$AA,H$1,FALSE)</f>
        <v>#N/A</v>
      </c>
      <c r="I61" t="e">
        <f>VLOOKUP($A61,Lcode_mapping!$C:$AA,I$1,FALSE)</f>
        <v>#N/A</v>
      </c>
      <c r="J61" t="e">
        <f>VLOOKUP($A61,Lcode_mapping!$C:$AA,J$1,FALSE)</f>
        <v>#N/A</v>
      </c>
    </row>
    <row r="62" spans="1:10" x14ac:dyDescent="0.25">
      <c r="A62" s="12" t="s">
        <v>1975</v>
      </c>
      <c r="B62" t="e">
        <f>VLOOKUP($A62,Lcode_mapping!$C:$AA,B$1,FALSE)</f>
        <v>#N/A</v>
      </c>
      <c r="C62" t="e">
        <f>VLOOKUP($A62,Lcode_mapping!$C:$AA,C$1,FALSE)</f>
        <v>#N/A</v>
      </c>
      <c r="D62" t="e">
        <f>VLOOKUP($A62,Lcode_mapping!$C:$AA,D$1,FALSE)</f>
        <v>#N/A</v>
      </c>
      <c r="E62" t="e">
        <f>VLOOKUP($A62,Lcode_mapping!$C:$AA,E$1,FALSE)</f>
        <v>#N/A</v>
      </c>
      <c r="F62" t="e">
        <f>VLOOKUP($A62,Lcode_mapping!$C:$AA,F$1,FALSE)</f>
        <v>#N/A</v>
      </c>
      <c r="G62" t="e">
        <f>VLOOKUP($A62,Lcode_mapping!$C:$AA,G$1,FALSE)</f>
        <v>#N/A</v>
      </c>
      <c r="H62" t="e">
        <f>VLOOKUP($A62,Lcode_mapping!$C:$AA,H$1,FALSE)</f>
        <v>#N/A</v>
      </c>
      <c r="I62" t="e">
        <f>VLOOKUP($A62,Lcode_mapping!$C:$AA,I$1,FALSE)</f>
        <v>#N/A</v>
      </c>
      <c r="J62" t="e">
        <f>VLOOKUP($A62,Lcode_mapping!$C:$AA,J$1,FALSE)</f>
        <v>#N/A</v>
      </c>
    </row>
    <row r="63" spans="1:10" x14ac:dyDescent="0.25">
      <c r="A63" s="12" t="s">
        <v>1973</v>
      </c>
      <c r="B63" t="str">
        <f>VLOOKUP($A63,Lcode_mapping!$C:$AA,B$1,FALSE)</f>
        <v>CalcInfo</v>
      </c>
      <c r="C63" t="str">
        <f>VLOOKUP($A63,Lcode_mapping!$C:$AA,C$1,FALSE)</f>
        <v>Solve</v>
      </c>
      <c r="D63" t="str">
        <f>VLOOKUP($A63,Lcode_mapping!$C:$AA,D$1,FALSE)</f>
        <v>Session</v>
      </c>
      <c r="E63" t="str">
        <f>VLOOKUP($A63,Lcode_mapping!$C:$AA,E$1,FALSE)</f>
        <v>CalcVersion</v>
      </c>
      <c r="F63" t="str">
        <f>VLOOKUP($A63,Lcode_mapping!$C:$AA,F$1,FALSE)</f>
        <v>R</v>
      </c>
      <c r="G63">
        <f>VLOOKUP($A63,Lcode_mapping!$C:$AA,G$1,FALSE)</f>
        <v>1</v>
      </c>
      <c r="H63">
        <f>VLOOKUP($A63,Lcode_mapping!$C:$AA,H$1,FALSE)</f>
        <v>1</v>
      </c>
      <c r="I63">
        <f>VLOOKUP($A63,Lcode_mapping!$C:$AA,I$1,FALSE)</f>
        <v>1</v>
      </c>
      <c r="J63" t="str">
        <f>VLOOKUP($A63,Lcode_mapping!$C:$AA,J$1,FALSE)</f>
        <v>CALC version number</v>
      </c>
    </row>
    <row r="64" spans="1:10" x14ac:dyDescent="0.25">
      <c r="A64" s="12" t="s">
        <v>1976</v>
      </c>
      <c r="B64" t="str">
        <f>VLOOKUP($A64,Lcode_mapping!$C:$AA,B$1,FALSE)</f>
        <v>CalcInfo</v>
      </c>
      <c r="C64" t="str">
        <f>VLOOKUP($A64,Lcode_mapping!$C:$AA,C$1,FALSE)</f>
        <v>Solve</v>
      </c>
      <c r="D64" t="str">
        <f>VLOOKUP($A64,Lcode_mapping!$C:$AA,D$1,FALSE)</f>
        <v>Session</v>
      </c>
      <c r="E64" t="str">
        <f>VLOOKUP($A64,Lcode_mapping!$C:$AA,E$1,FALSE)</f>
        <v>CoronaData</v>
      </c>
      <c r="F64" t="str">
        <f>VLOOKUP($A64,Lcode_mapping!$C:$AA,F$1,FALSE)</f>
        <v>R</v>
      </c>
      <c r="G64">
        <f>VLOOKUP($A64,Lcode_mapping!$C:$AA,G$1,FALSE)</f>
        <v>2</v>
      </c>
      <c r="H64">
        <f>VLOOKUP($A64,Lcode_mapping!$C:$AA,H$1,FALSE)</f>
        <v>1</v>
      </c>
      <c r="I64">
        <f>VLOOKUP($A64,Lcode_mapping!$C:$AA,I$1,FALSE)</f>
        <v>1</v>
      </c>
      <c r="J64" t="str">
        <f>VLOOKUP($A64,Lcode_mapping!$C:$AA,J$1,FALSE)</f>
        <v>Corona model parameters.</v>
      </c>
    </row>
    <row r="65" spans="1:10" x14ac:dyDescent="0.25">
      <c r="A65" s="12" t="s">
        <v>1984</v>
      </c>
      <c r="B65" t="e">
        <f>VLOOKUP($A65,Lcode_mapping!$C:$AA,B$1,FALSE)</f>
        <v>#N/A</v>
      </c>
      <c r="C65" t="e">
        <f>VLOOKUP($A65,Lcode_mapping!$C:$AA,C$1,FALSE)</f>
        <v>#N/A</v>
      </c>
      <c r="D65" t="e">
        <f>VLOOKUP($A65,Lcode_mapping!$C:$AA,D$1,FALSE)</f>
        <v>#N/A</v>
      </c>
      <c r="E65" t="e">
        <f>VLOOKUP($A65,Lcode_mapping!$C:$AA,E$1,FALSE)</f>
        <v>#N/A</v>
      </c>
      <c r="F65" t="e">
        <f>VLOOKUP($A65,Lcode_mapping!$C:$AA,F$1,FALSE)</f>
        <v>#N/A</v>
      </c>
      <c r="G65" t="e">
        <f>VLOOKUP($A65,Lcode_mapping!$C:$AA,G$1,FALSE)</f>
        <v>#N/A</v>
      </c>
      <c r="H65" t="e">
        <f>VLOOKUP($A65,Lcode_mapping!$C:$AA,H$1,FALSE)</f>
        <v>#N/A</v>
      </c>
      <c r="I65" t="e">
        <f>VLOOKUP($A65,Lcode_mapping!$C:$AA,I$1,FALSE)</f>
        <v>#N/A</v>
      </c>
      <c r="J65" t="e">
        <f>VLOOKUP($A65,Lcode_mapping!$C:$AA,J$1,FALSE)</f>
        <v>#N/A</v>
      </c>
    </row>
    <row r="66" spans="1:10" x14ac:dyDescent="0.25">
      <c r="A66" s="12" t="s">
        <v>1977</v>
      </c>
      <c r="B66" t="str">
        <f>VLOOKUP($A66,Lcode_mapping!$C:$AA,B$1,FALSE)</f>
        <v>CalcInfo</v>
      </c>
      <c r="C66" t="str">
        <f>VLOOKUP($A66,Lcode_mapping!$C:$AA,C$1,FALSE)</f>
        <v>Solve</v>
      </c>
      <c r="D66" t="str">
        <f>VLOOKUP($A66,Lcode_mapping!$C:$AA,D$1,FALSE)</f>
        <v>Session</v>
      </c>
      <c r="E66" t="str">
        <f>VLOOKUP($A66,Lcode_mapping!$C:$AA,E$1,FALSE)</f>
        <v>CTIMessage</v>
      </c>
      <c r="F66" t="str">
        <f>VLOOKUP($A66,Lcode_mapping!$C:$AA,F$1,FALSE)</f>
        <v>A</v>
      </c>
      <c r="G66">
        <f>VLOOKUP($A66,Lcode_mapping!$C:$AA,G$1,FALSE)</f>
        <v>40</v>
      </c>
      <c r="H66">
        <f>VLOOKUP($A66,Lcode_mapping!$C:$AA,H$1,FALSE)</f>
        <v>1</v>
      </c>
      <c r="I66">
        <f>VLOOKUP($A66,Lcode_mapping!$C:$AA,I$1,FALSE)</f>
        <v>1</v>
      </c>
      <c r="J66" t="str">
        <f>VLOOKUP($A66,Lcode_mapping!$C:$AA,J$1,FALSE)</f>
        <v>CTIMG Message Definition</v>
      </c>
    </row>
    <row r="67" spans="1:10" x14ac:dyDescent="0.25">
      <c r="A67" s="12" t="s">
        <v>1980</v>
      </c>
      <c r="B67" t="str">
        <f>VLOOKUP($A67,Lcode_mapping!$C:$AA,B$1,FALSE)</f>
        <v>CalcInfo</v>
      </c>
      <c r="C67" t="str">
        <f>VLOOKUP($A67,Lcode_mapping!$C:$AA,C$1,FALSE)</f>
        <v>Solve</v>
      </c>
      <c r="D67" t="str">
        <f>VLOOKUP($A67,Lcode_mapping!$C:$AA,D$1,FALSE)</f>
        <v>Session</v>
      </c>
      <c r="E67" t="str">
        <f>VLOOKUP($A67,Lcode_mapping!$C:$AA,E$1,FALSE)</f>
        <v>EarthTideData</v>
      </c>
      <c r="F67" t="str">
        <f>VLOOKUP($A67,Lcode_mapping!$C:$AA,F$1,FALSE)</f>
        <v>R</v>
      </c>
      <c r="G67">
        <f>VLOOKUP($A67,Lcode_mapping!$C:$AA,G$1,FALSE)</f>
        <v>3</v>
      </c>
      <c r="H67">
        <f>VLOOKUP($A67,Lcode_mapping!$C:$AA,H$1,FALSE)</f>
        <v>1</v>
      </c>
      <c r="I67">
        <f>VLOOKUP($A67,Lcode_mapping!$C:$AA,I$1,FALSE)</f>
        <v>1</v>
      </c>
      <c r="J67" t="str">
        <f>VLOOKUP($A67,Lcode_mapping!$C:$AA,J$1,FALSE)</f>
        <v>Earth tide module data (la. h l)</v>
      </c>
    </row>
    <row r="68" spans="1:10" x14ac:dyDescent="0.25">
      <c r="A68" s="12" t="s">
        <v>1985</v>
      </c>
      <c r="B68" t="e">
        <f>VLOOKUP($A68,Lcode_mapping!$C:$AA,B$1,FALSE)</f>
        <v>#N/A</v>
      </c>
      <c r="C68" t="e">
        <f>VLOOKUP($A68,Lcode_mapping!$C:$AA,C$1,FALSE)</f>
        <v>#N/A</v>
      </c>
      <c r="D68" t="e">
        <f>VLOOKUP($A68,Lcode_mapping!$C:$AA,D$1,FALSE)</f>
        <v>#N/A</v>
      </c>
      <c r="E68" t="e">
        <f>VLOOKUP($A68,Lcode_mapping!$C:$AA,E$1,FALSE)</f>
        <v>#N/A</v>
      </c>
      <c r="F68" t="e">
        <f>VLOOKUP($A68,Lcode_mapping!$C:$AA,F$1,FALSE)</f>
        <v>#N/A</v>
      </c>
      <c r="G68" t="e">
        <f>VLOOKUP($A68,Lcode_mapping!$C:$AA,G$1,FALSE)</f>
        <v>#N/A</v>
      </c>
      <c r="H68" t="e">
        <f>VLOOKUP($A68,Lcode_mapping!$C:$AA,H$1,FALSE)</f>
        <v>#N/A</v>
      </c>
      <c r="I68" t="e">
        <f>VLOOKUP($A68,Lcode_mapping!$C:$AA,I$1,FALSE)</f>
        <v>#N/A</v>
      </c>
      <c r="J68" t="e">
        <f>VLOOKUP($A68,Lcode_mapping!$C:$AA,J$1,FALSE)</f>
        <v>#N/A</v>
      </c>
    </row>
    <row r="69" spans="1:10" x14ac:dyDescent="0.25">
      <c r="A69" s="12" t="s">
        <v>1979</v>
      </c>
      <c r="B69" t="str">
        <f>VLOOKUP($A69,Lcode_mapping!$C:$AA,B$1,FALSE)</f>
        <v>CalcInfo</v>
      </c>
      <c r="C69" t="str">
        <f>VLOOKUP($A69,Lcode_mapping!$C:$AA,C$1,FALSE)</f>
        <v>Solve</v>
      </c>
      <c r="D69" t="str">
        <f>VLOOKUP($A69,Lcode_mapping!$C:$AA,D$1,FALSE)</f>
        <v>Session</v>
      </c>
      <c r="E69" t="str">
        <f>VLOOKUP($A69,Lcode_mapping!$C:$AA,E$1,FALSE)</f>
        <v>EarthTideMessage</v>
      </c>
      <c r="F69" t="str">
        <f>VLOOKUP($A69,Lcode_mapping!$C:$AA,F$1,FALSE)</f>
        <v>A</v>
      </c>
      <c r="G69">
        <f>VLOOKUP($A69,Lcode_mapping!$C:$AA,G$1,FALSE)</f>
        <v>40</v>
      </c>
      <c r="H69">
        <f>VLOOKUP($A69,Lcode_mapping!$C:$AA,H$1,FALSE)</f>
        <v>1</v>
      </c>
      <c r="I69">
        <f>VLOOKUP($A69,Lcode_mapping!$C:$AA,I$1,FALSE)</f>
        <v>1</v>
      </c>
      <c r="J69" t="str">
        <f>VLOOKUP($A69,Lcode_mapping!$C:$AA,J$1,FALSE)</f>
        <v>Earth Tide message definition</v>
      </c>
    </row>
    <row r="70" spans="1:10" x14ac:dyDescent="0.25">
      <c r="A70" s="12" t="s">
        <v>1992</v>
      </c>
      <c r="B70" t="str">
        <f>VLOOKUP($A70,Lcode_mapping!$C:$AA,B$1,FALSE)</f>
        <v>CalcInfo</v>
      </c>
      <c r="C70" t="str">
        <f>VLOOKUP($A70,Lcode_mapping!$C:$AA,C$1,FALSE)</f>
        <v>Solve</v>
      </c>
      <c r="D70" t="str">
        <f>VLOOKUP($A70,Lcode_mapping!$C:$AA,D$1,FALSE)</f>
        <v>Session</v>
      </c>
      <c r="E70" t="str">
        <f>VLOOKUP($A70,Lcode_mapping!$C:$AA,E$1,FALSE)</f>
        <v>FeedhornMessage</v>
      </c>
      <c r="F70" t="str">
        <f>VLOOKUP($A70,Lcode_mapping!$C:$AA,F$1,FALSE)</f>
        <v>A</v>
      </c>
      <c r="G70">
        <f>VLOOKUP($A70,Lcode_mapping!$C:$AA,G$1,FALSE)</f>
        <v>40</v>
      </c>
      <c r="H70">
        <f>VLOOKUP($A70,Lcode_mapping!$C:$AA,H$1,FALSE)</f>
        <v>1</v>
      </c>
      <c r="I70">
        <f>VLOOKUP($A70,Lcode_mapping!$C:$AA,I$1,FALSE)</f>
        <v>1</v>
      </c>
      <c r="J70" t="str">
        <f>VLOOKUP($A70,Lcode_mapping!$C:$AA,J$1,FALSE)</f>
        <v>Feedhorn rot. angle mod. ident.</v>
      </c>
    </row>
    <row r="71" spans="1:10" x14ac:dyDescent="0.25">
      <c r="A71" s="12" t="s">
        <v>1986</v>
      </c>
      <c r="B71" t="e">
        <f>VLOOKUP($A71,Lcode_mapping!$C:$AA,B$1,FALSE)</f>
        <v>#N/A</v>
      </c>
      <c r="C71" t="e">
        <f>VLOOKUP($A71,Lcode_mapping!$C:$AA,C$1,FALSE)</f>
        <v>#N/A</v>
      </c>
      <c r="D71" t="e">
        <f>VLOOKUP($A71,Lcode_mapping!$C:$AA,D$1,FALSE)</f>
        <v>#N/A</v>
      </c>
      <c r="E71" t="e">
        <f>VLOOKUP($A71,Lcode_mapping!$C:$AA,E$1,FALSE)</f>
        <v>#N/A</v>
      </c>
      <c r="F71" t="e">
        <f>VLOOKUP($A71,Lcode_mapping!$C:$AA,F$1,FALSE)</f>
        <v>#N/A</v>
      </c>
      <c r="G71" t="e">
        <f>VLOOKUP($A71,Lcode_mapping!$C:$AA,G$1,FALSE)</f>
        <v>#N/A</v>
      </c>
      <c r="H71" t="e">
        <f>VLOOKUP($A71,Lcode_mapping!$C:$AA,H$1,FALSE)</f>
        <v>#N/A</v>
      </c>
      <c r="I71" t="e">
        <f>VLOOKUP($A71,Lcode_mapping!$C:$AA,I$1,FALSE)</f>
        <v>#N/A</v>
      </c>
      <c r="J71" t="e">
        <f>VLOOKUP($A71,Lcode_mapping!$C:$AA,J$1,FALSE)</f>
        <v>#N/A</v>
      </c>
    </row>
    <row r="72" spans="1:10" x14ac:dyDescent="0.25">
      <c r="A72" s="12" t="s">
        <v>2013</v>
      </c>
      <c r="B72" t="str">
        <f>VLOOKUP($A72,Lcode_mapping!$C:$AA,B$1,FALSE)</f>
        <v>CalcInfo</v>
      </c>
      <c r="C72" t="str">
        <f>VLOOKUP($A72,Lcode_mapping!$C:$AA,C$1,FALSE)</f>
        <v>Solve</v>
      </c>
      <c r="D72" t="str">
        <f>VLOOKUP($A72,Lcode_mapping!$C:$AA,D$1,FALSE)</f>
        <v>Session</v>
      </c>
      <c r="E72" t="str">
        <f>VLOOKUP($A72,Lcode_mapping!$C:$AA,E$1,FALSE)</f>
        <v>NutationMessage</v>
      </c>
      <c r="F72" t="str">
        <f>VLOOKUP($A72,Lcode_mapping!$C:$AA,F$1,FALSE)</f>
        <v>A</v>
      </c>
      <c r="G72">
        <f>VLOOKUP($A72,Lcode_mapping!$C:$AA,G$1,FALSE)</f>
        <v>40</v>
      </c>
      <c r="H72">
        <f>VLOOKUP($A72,Lcode_mapping!$C:$AA,H$1,FALSE)</f>
        <v>1</v>
      </c>
      <c r="I72">
        <f>VLOOKUP($A72,Lcode_mapping!$C:$AA,I$1,FALSE)</f>
        <v>1</v>
      </c>
      <c r="J72" t="str">
        <f>VLOOKUP($A72,Lcode_mapping!$C:$AA,J$1,FALSE)</f>
        <v>Nutation message definition</v>
      </c>
    </row>
    <row r="73" spans="1:10" x14ac:dyDescent="0.25">
      <c r="A73" s="12" t="s">
        <v>1968</v>
      </c>
      <c r="B73" t="str">
        <f>VLOOKUP($A73,Lcode_mapping!$C:$AA,B$1,FALSE)</f>
        <v>CalcInfo</v>
      </c>
      <c r="C73" t="str">
        <f>VLOOKUP($A73,Lcode_mapping!$C:$AA,C$1,FALSE)</f>
        <v>Solve</v>
      </c>
      <c r="D73" t="str">
        <f>VLOOKUP($A73,Lcode_mapping!$C:$AA,D$1,FALSE)</f>
        <v>Session</v>
      </c>
      <c r="E73" t="str">
        <f>VLOOKUP($A73,Lcode_mapping!$C:$AA,E$1,FALSE)</f>
        <v>OceanAmpEW</v>
      </c>
      <c r="F73" t="str">
        <f>VLOOKUP($A73,Lcode_mapping!$C:$AA,F$1,FALSE)</f>
        <v>R</v>
      </c>
      <c r="G73">
        <f>VLOOKUP($A73,Lcode_mapping!$C:$AA,G$1,FALSE)</f>
        <v>11</v>
      </c>
      <c r="H73">
        <f>VLOOKUP($A73,Lcode_mapping!$C:$AA,H$1,FALSE)</f>
        <v>2</v>
      </c>
      <c r="I73">
        <f>VLOOKUP($A73,Lcode_mapping!$C:$AA,I$1,FALSE)</f>
        <v>1</v>
      </c>
      <c r="J73" t="str">
        <f>VLOOKUP($A73,Lcode_mapping!$C:$AA,J$1,FALSE)</f>
        <v>Ocean amp. E-W component(meters)</v>
      </c>
    </row>
    <row r="74" spans="1:10" x14ac:dyDescent="0.25">
      <c r="A74" s="12" t="s">
        <v>1969</v>
      </c>
      <c r="B74" t="str">
        <f>VLOOKUP($A74,Lcode_mapping!$C:$AA,B$1,FALSE)</f>
        <v>CalcInfo</v>
      </c>
      <c r="C74" t="str">
        <f>VLOOKUP($A74,Lcode_mapping!$C:$AA,C$1,FALSE)</f>
        <v>Solve</v>
      </c>
      <c r="D74" t="str">
        <f>VLOOKUP($A74,Lcode_mapping!$C:$AA,D$1,FALSE)</f>
        <v>Session</v>
      </c>
      <c r="E74" t="str">
        <f>VLOOKUP($A74,Lcode_mapping!$C:$AA,E$1,FALSE)</f>
        <v>OceanAmpNS</v>
      </c>
      <c r="F74" t="str">
        <f>VLOOKUP($A74,Lcode_mapping!$C:$AA,F$1,FALSE)</f>
        <v>R</v>
      </c>
      <c r="G74">
        <f>VLOOKUP($A74,Lcode_mapping!$C:$AA,G$1,FALSE)</f>
        <v>11</v>
      </c>
      <c r="H74">
        <f>VLOOKUP($A74,Lcode_mapping!$C:$AA,H$1,FALSE)</f>
        <v>2</v>
      </c>
      <c r="I74">
        <f>VLOOKUP($A74,Lcode_mapping!$C:$AA,I$1,FALSE)</f>
        <v>1</v>
      </c>
      <c r="J74" t="str">
        <f>VLOOKUP($A74,Lcode_mapping!$C:$AA,J$1,FALSE)</f>
        <v>Ocean amp. N-S component(meters)</v>
      </c>
    </row>
    <row r="75" spans="1:10" x14ac:dyDescent="0.25">
      <c r="A75" s="12" t="s">
        <v>1987</v>
      </c>
      <c r="B75" t="str">
        <f>VLOOKUP($A75,Lcode_mapping!$C:$AA,B$1,FALSE)</f>
        <v>CalcInfo</v>
      </c>
      <c r="C75" t="str">
        <f>VLOOKUP($A75,Lcode_mapping!$C:$AA,C$1,FALSE)</f>
        <v>Solve</v>
      </c>
      <c r="D75" t="str">
        <f>VLOOKUP($A75,Lcode_mapping!$C:$AA,D$1,FALSE)</f>
        <v>Session</v>
      </c>
      <c r="E75" t="str">
        <f>VLOOKUP($A75,Lcode_mapping!$C:$AA,E$1,FALSE)</f>
        <v>OceanAmpUp</v>
      </c>
      <c r="F75" t="str">
        <f>VLOOKUP($A75,Lcode_mapping!$C:$AA,F$1,FALSE)</f>
        <v>R</v>
      </c>
      <c r="G75">
        <f>VLOOKUP($A75,Lcode_mapping!$C:$AA,G$1,FALSE)</f>
        <v>11</v>
      </c>
      <c r="H75">
        <f>VLOOKUP($A75,Lcode_mapping!$C:$AA,H$1,FALSE)</f>
        <v>2</v>
      </c>
      <c r="I75">
        <f>VLOOKUP($A75,Lcode_mapping!$C:$AA,I$1,FALSE)</f>
        <v>1</v>
      </c>
      <c r="J75" t="str">
        <f>VLOOKUP($A75,Lcode_mapping!$C:$AA,J$1,FALSE)</f>
        <v>Ocean amp. radial comp.-meters.</v>
      </c>
    </row>
    <row r="76" spans="1:10" x14ac:dyDescent="0.25">
      <c r="A76" s="12" t="s">
        <v>2204</v>
      </c>
      <c r="B76" t="e">
        <f>VLOOKUP($A76,Lcode_mapping!$C:$AA,B$1,FALSE)</f>
        <v>#N/A</v>
      </c>
      <c r="C76" t="e">
        <f>VLOOKUP($A76,Lcode_mapping!$C:$AA,C$1,FALSE)</f>
        <v>#N/A</v>
      </c>
      <c r="D76" t="e">
        <f>VLOOKUP($A76,Lcode_mapping!$C:$AA,D$1,FALSE)</f>
        <v>#N/A</v>
      </c>
      <c r="E76" t="e">
        <f>VLOOKUP($A76,Lcode_mapping!$C:$AA,E$1,FALSE)</f>
        <v>#N/A</v>
      </c>
      <c r="F76" t="e">
        <f>VLOOKUP($A76,Lcode_mapping!$C:$AA,F$1,FALSE)</f>
        <v>#N/A</v>
      </c>
      <c r="G76" t="e">
        <f>VLOOKUP($A76,Lcode_mapping!$C:$AA,G$1,FALSE)</f>
        <v>#N/A</v>
      </c>
      <c r="H76" t="e">
        <f>VLOOKUP($A76,Lcode_mapping!$C:$AA,H$1,FALSE)</f>
        <v>#N/A</v>
      </c>
      <c r="I76" t="e">
        <f>VLOOKUP($A76,Lcode_mapping!$C:$AA,I$1,FALSE)</f>
        <v>#N/A</v>
      </c>
      <c r="J76" t="e">
        <f>VLOOKUP($A76,Lcode_mapping!$C:$AA,J$1,FALSE)</f>
        <v>#N/A</v>
      </c>
    </row>
    <row r="77" spans="1:10" x14ac:dyDescent="0.25">
      <c r="A77" s="12" t="s">
        <v>2006</v>
      </c>
      <c r="B77" t="str">
        <f>VLOOKUP($A77,Lcode_mapping!$C:$AA,B$1,FALSE)</f>
        <v>CalcInfo</v>
      </c>
      <c r="C77" t="str">
        <f>VLOOKUP($A77,Lcode_mapping!$C:$AA,C$1,FALSE)</f>
        <v>Solve</v>
      </c>
      <c r="D77" t="str">
        <f>VLOOKUP($A77,Lcode_mapping!$C:$AA,D$1,FALSE)</f>
        <v>Session</v>
      </c>
      <c r="E77" t="str">
        <f>VLOOKUP($A77,Lcode_mapping!$C:$AA,E$1,FALSE)</f>
        <v>OceanHorizontalAmp</v>
      </c>
      <c r="F77" t="str">
        <f>VLOOKUP($A77,Lcode_mapping!$C:$AA,F$1,FALSE)</f>
        <v>R</v>
      </c>
      <c r="G77">
        <f>VLOOKUP($A77,Lcode_mapping!$C:$AA,G$1,FALSE)</f>
        <v>11</v>
      </c>
      <c r="H77">
        <f>VLOOKUP($A77,Lcode_mapping!$C:$AA,H$1,FALSE)</f>
        <v>2</v>
      </c>
      <c r="I77">
        <f>VLOOKUP($A77,Lcode_mapping!$C:$AA,I$1,FALSE)</f>
        <v>11</v>
      </c>
      <c r="J77" t="str">
        <f>VLOOKUP($A77,Lcode_mapping!$C:$AA,J$1,FALSE)</f>
        <v>Horz ocean loading ampltudes (m)</v>
      </c>
    </row>
    <row r="78" spans="1:10" x14ac:dyDescent="0.25">
      <c r="A78" s="12" t="s">
        <v>2005</v>
      </c>
      <c r="B78" t="str">
        <f>VLOOKUP($A78,Lcode_mapping!$C:$AA,B$1,FALSE)</f>
        <v>CalcInfo</v>
      </c>
      <c r="C78" t="str">
        <f>VLOOKUP($A78,Lcode_mapping!$C:$AA,C$1,FALSE)</f>
        <v>Solve</v>
      </c>
      <c r="D78" t="str">
        <f>VLOOKUP($A78,Lcode_mapping!$C:$AA,D$1,FALSE)</f>
        <v>Session</v>
      </c>
      <c r="E78" t="str">
        <f>VLOOKUP($A78,Lcode_mapping!$C:$AA,E$1,FALSE)</f>
        <v>OceanHorizontalPhase</v>
      </c>
      <c r="F78" t="str">
        <f>VLOOKUP($A78,Lcode_mapping!$C:$AA,F$1,FALSE)</f>
        <v>R</v>
      </c>
      <c r="G78">
        <f>VLOOKUP($A78,Lcode_mapping!$C:$AA,G$1,FALSE)</f>
        <v>11</v>
      </c>
      <c r="H78">
        <f>VLOOKUP($A78,Lcode_mapping!$C:$AA,H$1,FALSE)</f>
        <v>2</v>
      </c>
      <c r="I78">
        <f>VLOOKUP($A78,Lcode_mapping!$C:$AA,I$1,FALSE)</f>
        <v>11</v>
      </c>
      <c r="J78" t="str">
        <f>VLOOKUP($A78,Lcode_mapping!$C:$AA,J$1,FALSE)</f>
        <v>Horz ocean loading phases (rad).</v>
      </c>
    </row>
    <row r="79" spans="1:10" x14ac:dyDescent="0.25">
      <c r="A79" s="12" t="s">
        <v>1988</v>
      </c>
      <c r="B79" t="str">
        <f>VLOOKUP($A79,Lcode_mapping!$C:$AA,B$1,FALSE)</f>
        <v>CalcInfo</v>
      </c>
      <c r="C79" t="str">
        <f>VLOOKUP($A79,Lcode_mapping!$C:$AA,C$1,FALSE)</f>
        <v>Solve</v>
      </c>
      <c r="D79" t="str">
        <f>VLOOKUP($A79,Lcode_mapping!$C:$AA,D$1,FALSE)</f>
        <v>Session</v>
      </c>
      <c r="E79" t="str">
        <f>VLOOKUP($A79,Lcode_mapping!$C:$AA,E$1,FALSE)</f>
        <v>OceanMessage</v>
      </c>
      <c r="F79" t="str">
        <f>VLOOKUP($A79,Lcode_mapping!$C:$AA,F$1,FALSE)</f>
        <v>A</v>
      </c>
      <c r="G79">
        <f>VLOOKUP($A79,Lcode_mapping!$C:$AA,G$1,FALSE)</f>
        <v>40</v>
      </c>
      <c r="H79">
        <f>VLOOKUP($A79,Lcode_mapping!$C:$AA,H$1,FALSE)</f>
        <v>1</v>
      </c>
      <c r="I79">
        <f>VLOOKUP($A79,Lcode_mapping!$C:$AA,I$1,FALSE)</f>
        <v>1</v>
      </c>
      <c r="J79" t="str">
        <f>VLOOKUP($A79,Lcode_mapping!$C:$AA,J$1,FALSE)</f>
        <v>Ocean loading message definition</v>
      </c>
    </row>
    <row r="80" spans="1:10" x14ac:dyDescent="0.25">
      <c r="A80" s="12" t="s">
        <v>1989</v>
      </c>
      <c r="B80" t="str">
        <f>VLOOKUP($A80,Lcode_mapping!$C:$AA,B$1,FALSE)</f>
        <v>CalcInfo</v>
      </c>
      <c r="C80" t="str">
        <f>VLOOKUP($A80,Lcode_mapping!$C:$AA,C$1,FALSE)</f>
        <v>Solve</v>
      </c>
      <c r="D80" t="str">
        <f>VLOOKUP($A80,Lcode_mapping!$C:$AA,D$1,FALSE)</f>
        <v>Session</v>
      </c>
      <c r="E80" t="str">
        <f>VLOOKUP($A80,Lcode_mapping!$C:$AA,E$1,FALSE)</f>
        <v>OceanPhaseEW</v>
      </c>
      <c r="F80" t="str">
        <f>VLOOKUP($A80,Lcode_mapping!$C:$AA,F$1,FALSE)</f>
        <v>R</v>
      </c>
      <c r="G80">
        <f>VLOOKUP($A80,Lcode_mapping!$C:$AA,G$1,FALSE)</f>
        <v>11</v>
      </c>
      <c r="H80">
        <f>VLOOKUP($A80,Lcode_mapping!$C:$AA,H$1,FALSE)</f>
        <v>2</v>
      </c>
      <c r="I80">
        <f>VLOOKUP($A80,Lcode_mapping!$C:$AA,I$1,FALSE)</f>
        <v>1</v>
      </c>
      <c r="J80" t="str">
        <f>VLOOKUP($A80,Lcode_mapping!$C:$AA,J$1,FALSE)</f>
        <v>Ocean phase E-W component (rad)</v>
      </c>
    </row>
    <row r="81" spans="1:10" x14ac:dyDescent="0.25">
      <c r="A81" s="12" t="s">
        <v>1990</v>
      </c>
      <c r="B81" t="str">
        <f>VLOOKUP($A81,Lcode_mapping!$C:$AA,B$1,FALSE)</f>
        <v>CalcInfo</v>
      </c>
      <c r="C81" t="str">
        <f>VLOOKUP($A81,Lcode_mapping!$C:$AA,C$1,FALSE)</f>
        <v>Solve</v>
      </c>
      <c r="D81" t="str">
        <f>VLOOKUP($A81,Lcode_mapping!$C:$AA,D$1,FALSE)</f>
        <v>Session</v>
      </c>
      <c r="E81" t="str">
        <f>VLOOKUP($A81,Lcode_mapping!$C:$AA,E$1,FALSE)</f>
        <v>OceanPhaseNS</v>
      </c>
      <c r="F81" t="str">
        <f>VLOOKUP($A81,Lcode_mapping!$C:$AA,F$1,FALSE)</f>
        <v>R</v>
      </c>
      <c r="G81">
        <f>VLOOKUP($A81,Lcode_mapping!$C:$AA,G$1,FALSE)</f>
        <v>11</v>
      </c>
      <c r="H81">
        <f>VLOOKUP($A81,Lcode_mapping!$C:$AA,H$1,FALSE)</f>
        <v>2</v>
      </c>
      <c r="I81">
        <f>VLOOKUP($A81,Lcode_mapping!$C:$AA,I$1,FALSE)</f>
        <v>1</v>
      </c>
      <c r="J81" t="str">
        <f>VLOOKUP($A81,Lcode_mapping!$C:$AA,J$1,FALSE)</f>
        <v>Ocean phase N-S component (rad)</v>
      </c>
    </row>
    <row r="82" spans="1:10" x14ac:dyDescent="0.25">
      <c r="A82" s="12" t="s">
        <v>1991</v>
      </c>
      <c r="B82" t="str">
        <f>VLOOKUP($A82,Lcode_mapping!$C:$AA,B$1,FALSE)</f>
        <v>CalcInfo</v>
      </c>
      <c r="C82" t="str">
        <f>VLOOKUP($A82,Lcode_mapping!$C:$AA,C$1,FALSE)</f>
        <v>Solve</v>
      </c>
      <c r="D82" t="str">
        <f>VLOOKUP($A82,Lcode_mapping!$C:$AA,D$1,FALSE)</f>
        <v>Session</v>
      </c>
      <c r="E82" t="str">
        <f>VLOOKUP($A82,Lcode_mapping!$C:$AA,E$1,FALSE)</f>
        <v>OceanPhaseUp</v>
      </c>
      <c r="F82" t="str">
        <f>VLOOKUP($A82,Lcode_mapping!$C:$AA,F$1,FALSE)</f>
        <v>R</v>
      </c>
      <c r="G82">
        <f>VLOOKUP($A82,Lcode_mapping!$C:$AA,G$1,FALSE)</f>
        <v>11</v>
      </c>
      <c r="H82">
        <f>VLOOKUP($A82,Lcode_mapping!$C:$AA,H$1,FALSE)</f>
        <v>2</v>
      </c>
      <c r="I82">
        <f>VLOOKUP($A82,Lcode_mapping!$C:$AA,I$1,FALSE)</f>
        <v>1</v>
      </c>
      <c r="J82" t="str">
        <f>VLOOKUP($A82,Lcode_mapping!$C:$AA,J$1,FALSE)</f>
        <v>Ocean phase radial comp.-radians</v>
      </c>
    </row>
    <row r="83" spans="1:10" x14ac:dyDescent="0.25">
      <c r="A83" s="12" t="s">
        <v>2205</v>
      </c>
      <c r="B83" t="e">
        <f>VLOOKUP($A83,Lcode_mapping!$C:$AA,B$1,FALSE)</f>
        <v>#N/A</v>
      </c>
      <c r="C83" t="e">
        <f>VLOOKUP($A83,Lcode_mapping!$C:$AA,C$1,FALSE)</f>
        <v>#N/A</v>
      </c>
      <c r="D83" t="e">
        <f>VLOOKUP($A83,Lcode_mapping!$C:$AA,D$1,FALSE)</f>
        <v>#N/A</v>
      </c>
      <c r="E83" t="e">
        <f>VLOOKUP($A83,Lcode_mapping!$C:$AA,E$1,FALSE)</f>
        <v>#N/A</v>
      </c>
      <c r="F83" t="e">
        <f>VLOOKUP($A83,Lcode_mapping!$C:$AA,F$1,FALSE)</f>
        <v>#N/A</v>
      </c>
      <c r="G83" t="e">
        <f>VLOOKUP($A83,Lcode_mapping!$C:$AA,G$1,FALSE)</f>
        <v>#N/A</v>
      </c>
      <c r="H83" t="e">
        <f>VLOOKUP($A83,Lcode_mapping!$C:$AA,H$1,FALSE)</f>
        <v>#N/A</v>
      </c>
      <c r="I83" t="e">
        <f>VLOOKUP($A83,Lcode_mapping!$C:$AA,I$1,FALSE)</f>
        <v>#N/A</v>
      </c>
      <c r="J83" t="e">
        <f>VLOOKUP($A83,Lcode_mapping!$C:$AA,J$1,FALSE)</f>
        <v>#N/A</v>
      </c>
    </row>
    <row r="84" spans="1:10" x14ac:dyDescent="0.25">
      <c r="A84" s="12" t="s">
        <v>2007</v>
      </c>
      <c r="B84" t="str">
        <f>VLOOKUP($A84,Lcode_mapping!$C:$AA,B$1,FALSE)</f>
        <v>CalcInfo</v>
      </c>
      <c r="C84" t="str">
        <f>VLOOKUP($A84,Lcode_mapping!$C:$AA,C$1,FALSE)</f>
        <v>Solve</v>
      </c>
      <c r="D84" t="str">
        <f>VLOOKUP($A84,Lcode_mapping!$C:$AA,D$1,FALSE)</f>
        <v>Session</v>
      </c>
      <c r="E84" t="str">
        <f>VLOOKUP($A84,Lcode_mapping!$C:$AA,E$1,FALSE)</f>
        <v>OceanUpAmp</v>
      </c>
      <c r="F84" t="str">
        <f>VLOOKUP($A84,Lcode_mapping!$C:$AA,F$1,FALSE)</f>
        <v>R</v>
      </c>
      <c r="G84">
        <f>VLOOKUP($A84,Lcode_mapping!$C:$AA,G$1,FALSE)</f>
        <v>11</v>
      </c>
      <c r="H84">
        <f>VLOOKUP($A84,Lcode_mapping!$C:$AA,H$1,FALSE)</f>
        <v>11</v>
      </c>
      <c r="I84">
        <f>VLOOKUP($A84,Lcode_mapping!$C:$AA,I$1,FALSE)</f>
        <v>1</v>
      </c>
      <c r="J84" t="str">
        <f>VLOOKUP($A84,Lcode_mapping!$C:$AA,J$1,FALSE)</f>
        <v>Vert ocean loading ampltudes (m)</v>
      </c>
    </row>
    <row r="85" spans="1:10" x14ac:dyDescent="0.25">
      <c r="A85" s="12" t="s">
        <v>2008</v>
      </c>
      <c r="B85" t="str">
        <f>VLOOKUP($A85,Lcode_mapping!$C:$AA,B$1,FALSE)</f>
        <v>CalcInfo</v>
      </c>
      <c r="C85" t="str">
        <f>VLOOKUP($A85,Lcode_mapping!$C:$AA,C$1,FALSE)</f>
        <v>Solve</v>
      </c>
      <c r="D85" t="str">
        <f>VLOOKUP($A85,Lcode_mapping!$C:$AA,D$1,FALSE)</f>
        <v>Session</v>
      </c>
      <c r="E85" t="str">
        <f>VLOOKUP($A85,Lcode_mapping!$C:$AA,E$1,FALSE)</f>
        <v>OceanUpPhase</v>
      </c>
      <c r="F85" t="str">
        <f>VLOOKUP($A85,Lcode_mapping!$C:$AA,F$1,FALSE)</f>
        <v>R</v>
      </c>
      <c r="G85">
        <f>VLOOKUP($A85,Lcode_mapping!$C:$AA,G$1,FALSE)</f>
        <v>11</v>
      </c>
      <c r="H85">
        <f>VLOOKUP($A85,Lcode_mapping!$C:$AA,H$1,FALSE)</f>
        <v>11</v>
      </c>
      <c r="I85">
        <f>VLOOKUP($A85,Lcode_mapping!$C:$AA,I$1,FALSE)</f>
        <v>1</v>
      </c>
      <c r="J85" t="str">
        <f>VLOOKUP($A85,Lcode_mapping!$C:$AA,J$1,FALSE)</f>
        <v>Vert ocean loading phases (rad).</v>
      </c>
    </row>
    <row r="86" spans="1:10" x14ac:dyDescent="0.25">
      <c r="A86" s="12" t="s">
        <v>1994</v>
      </c>
      <c r="B86" t="e">
        <f>VLOOKUP($A86,Lcode_mapping!$C:$AA,B$1,FALSE)</f>
        <v>#N/A</v>
      </c>
      <c r="C86" t="e">
        <f>VLOOKUP($A86,Lcode_mapping!$C:$AA,C$1,FALSE)</f>
        <v>#N/A</v>
      </c>
      <c r="D86" t="e">
        <f>VLOOKUP($A86,Lcode_mapping!$C:$AA,D$1,FALSE)</f>
        <v>#N/A</v>
      </c>
      <c r="E86" t="e">
        <f>VLOOKUP($A86,Lcode_mapping!$C:$AA,E$1,FALSE)</f>
        <v>#N/A</v>
      </c>
      <c r="F86" t="e">
        <f>VLOOKUP($A86,Lcode_mapping!$C:$AA,F$1,FALSE)</f>
        <v>#N/A</v>
      </c>
      <c r="G86" t="e">
        <f>VLOOKUP($A86,Lcode_mapping!$C:$AA,G$1,FALSE)</f>
        <v>#N/A</v>
      </c>
      <c r="H86" t="e">
        <f>VLOOKUP($A86,Lcode_mapping!$C:$AA,H$1,FALSE)</f>
        <v>#N/A</v>
      </c>
      <c r="I86" t="e">
        <f>VLOOKUP($A86,Lcode_mapping!$C:$AA,I$1,FALSE)</f>
        <v>#N/A</v>
      </c>
      <c r="J86" t="e">
        <f>VLOOKUP($A86,Lcode_mapping!$C:$AA,J$1,FALSE)</f>
        <v>#N/A</v>
      </c>
    </row>
    <row r="87" spans="1:10" x14ac:dyDescent="0.25">
      <c r="A87" s="12" t="s">
        <v>1995</v>
      </c>
      <c r="B87" t="str">
        <f>VLOOKUP($A87,Lcode_mapping!$C:$AA,B$1,FALSE)</f>
        <v>CalcInfo</v>
      </c>
      <c r="C87" t="str">
        <f>VLOOKUP($A87,Lcode_mapping!$C:$AA,C$1,FALSE)</f>
        <v>Solve</v>
      </c>
      <c r="D87" t="str">
        <f>VLOOKUP($A87,Lcode_mapping!$C:$AA,D$1,FALSE)</f>
        <v>Session</v>
      </c>
      <c r="E87" t="str">
        <f>VLOOKUP($A87,Lcode_mapping!$C:$AA,E$1,FALSE)</f>
        <v>ParallaxMessage</v>
      </c>
      <c r="F87" t="str">
        <f>VLOOKUP($A87,Lcode_mapping!$C:$AA,F$1,FALSE)</f>
        <v>A</v>
      </c>
      <c r="G87">
        <f>VLOOKUP($A87,Lcode_mapping!$C:$AA,G$1,FALSE)</f>
        <v>40</v>
      </c>
      <c r="H87">
        <f>VLOOKUP($A87,Lcode_mapping!$C:$AA,H$1,FALSE)</f>
        <v>1</v>
      </c>
      <c r="I87">
        <f>VLOOKUP($A87,Lcode_mapping!$C:$AA,I$1,FALSE)</f>
        <v>1</v>
      </c>
      <c r="J87" t="str">
        <f>VLOOKUP($A87,Lcode_mapping!$C:$AA,J$1,FALSE)</f>
        <v>Parallax message definition</v>
      </c>
    </row>
    <row r="88" spans="1:10" x14ac:dyDescent="0.25">
      <c r="A88" s="12" t="s">
        <v>1993</v>
      </c>
      <c r="B88" t="str">
        <f>VLOOKUP($A88,Lcode_mapping!$C:$AA,B$1,FALSE)</f>
        <v>CalcInfo</v>
      </c>
      <c r="C88" t="str">
        <f>VLOOKUP($A88,Lcode_mapping!$C:$AA,C$1,FALSE)</f>
        <v>Solve</v>
      </c>
      <c r="D88" t="str">
        <f>VLOOKUP($A88,Lcode_mapping!$C:$AA,D$1,FALSE)</f>
        <v>Session</v>
      </c>
      <c r="E88" t="str">
        <f>VLOOKUP($A88,Lcode_mapping!$C:$AA,E$1,FALSE)</f>
        <v>PepMessage</v>
      </c>
      <c r="F88" t="str">
        <f>VLOOKUP($A88,Lcode_mapping!$C:$AA,F$1,FALSE)</f>
        <v>A</v>
      </c>
      <c r="G88">
        <f>VLOOKUP($A88,Lcode_mapping!$C:$AA,G$1,FALSE)</f>
        <v>40</v>
      </c>
      <c r="H88">
        <f>VLOOKUP($A88,Lcode_mapping!$C:$AA,H$1,FALSE)</f>
        <v>1</v>
      </c>
      <c r="I88">
        <f>VLOOKUP($A88,Lcode_mapping!$C:$AA,I$1,FALSE)</f>
        <v>1</v>
      </c>
      <c r="J88" t="str">
        <f>VLOOKUP($A88,Lcode_mapping!$C:$AA,J$1,FALSE)</f>
        <v>PEP Utility Message Definition</v>
      </c>
    </row>
    <row r="89" spans="1:10" x14ac:dyDescent="0.25">
      <c r="A89" s="12" t="s">
        <v>1999</v>
      </c>
      <c r="B89" t="e">
        <f>VLOOKUP($A89,Lcode_mapping!$C:$AA,B$1,FALSE)</f>
        <v>#N/A</v>
      </c>
      <c r="C89" t="e">
        <f>VLOOKUP($A89,Lcode_mapping!$C:$AA,C$1,FALSE)</f>
        <v>#N/A</v>
      </c>
      <c r="D89" t="e">
        <f>VLOOKUP($A89,Lcode_mapping!$C:$AA,D$1,FALSE)</f>
        <v>#N/A</v>
      </c>
      <c r="E89" t="e">
        <f>VLOOKUP($A89,Lcode_mapping!$C:$AA,E$1,FALSE)</f>
        <v>#N/A</v>
      </c>
      <c r="F89" t="e">
        <f>VLOOKUP($A89,Lcode_mapping!$C:$AA,F$1,FALSE)</f>
        <v>#N/A</v>
      </c>
      <c r="G89" t="e">
        <f>VLOOKUP($A89,Lcode_mapping!$C:$AA,G$1,FALSE)</f>
        <v>#N/A</v>
      </c>
      <c r="H89" t="e">
        <f>VLOOKUP($A89,Lcode_mapping!$C:$AA,H$1,FALSE)</f>
        <v>#N/A</v>
      </c>
      <c r="I89" t="e">
        <f>VLOOKUP($A89,Lcode_mapping!$C:$AA,I$1,FALSE)</f>
        <v>#N/A</v>
      </c>
      <c r="J89" t="e">
        <f>VLOOKUP($A89,Lcode_mapping!$C:$AA,J$1,FALSE)</f>
        <v>#N/A</v>
      </c>
    </row>
    <row r="90" spans="1:10" x14ac:dyDescent="0.25">
      <c r="A90" s="12" t="s">
        <v>2000</v>
      </c>
      <c r="B90" t="str">
        <f>VLOOKUP($A90,Lcode_mapping!$C:$AA,B$1,FALSE)</f>
        <v>CalcInfo</v>
      </c>
      <c r="C90" t="str">
        <f>VLOOKUP($A90,Lcode_mapping!$C:$AA,C$1,FALSE)</f>
        <v>Solve</v>
      </c>
      <c r="D90" t="str">
        <f>VLOOKUP($A90,Lcode_mapping!$C:$AA,D$1,FALSE)</f>
        <v>Session</v>
      </c>
      <c r="E90" t="str">
        <f>VLOOKUP($A90,Lcode_mapping!$C:$AA,E$1,FALSE)</f>
        <v>PoleTideMessage</v>
      </c>
      <c r="F90" t="str">
        <f>VLOOKUP($A90,Lcode_mapping!$C:$AA,F$1,FALSE)</f>
        <v>A</v>
      </c>
      <c r="G90">
        <f>VLOOKUP($A90,Lcode_mapping!$C:$AA,G$1,FALSE)</f>
        <v>40</v>
      </c>
      <c r="H90">
        <f>VLOOKUP($A90,Lcode_mapping!$C:$AA,H$1,FALSE)</f>
        <v>1</v>
      </c>
      <c r="I90">
        <f>VLOOKUP($A90,Lcode_mapping!$C:$AA,I$1,FALSE)</f>
        <v>1</v>
      </c>
      <c r="J90" t="str">
        <f>VLOOKUP($A90,Lcode_mapping!$C:$AA,J$1,FALSE)</f>
        <v>Pole tide message definition</v>
      </c>
    </row>
    <row r="91" spans="1:10" x14ac:dyDescent="0.25">
      <c r="A91" s="12" t="s">
        <v>1997</v>
      </c>
      <c r="B91" t="str">
        <f>VLOOKUP($A91,Lcode_mapping!$C:$AA,B$1,FALSE)</f>
        <v>CalcInfo</v>
      </c>
      <c r="C91" t="str">
        <f>VLOOKUP($A91,Lcode_mapping!$C:$AA,C$1,FALSE)</f>
        <v>Solve</v>
      </c>
      <c r="D91" t="str">
        <f>VLOOKUP($A91,Lcode_mapping!$C:$AA,D$1,FALSE)</f>
        <v>Session</v>
      </c>
      <c r="E91" t="str">
        <f>VLOOKUP($A91,Lcode_mapping!$C:$AA,E$1,FALSE)</f>
        <v>PrecessionData</v>
      </c>
      <c r="F91" t="str">
        <f>VLOOKUP($A91,Lcode_mapping!$C:$AA,F$1,FALSE)</f>
        <v>R</v>
      </c>
      <c r="G91">
        <f>VLOOKUP($A91,Lcode_mapping!$C:$AA,G$1,FALSE)</f>
        <v>1</v>
      </c>
      <c r="H91">
        <f>VLOOKUP($A91,Lcode_mapping!$C:$AA,H$1,FALSE)</f>
        <v>1</v>
      </c>
      <c r="I91">
        <f>VLOOKUP($A91,Lcode_mapping!$C:$AA,I$1,FALSE)</f>
        <v>1</v>
      </c>
      <c r="J91" t="str">
        <f>VLOOKUP($A91,Lcode_mapping!$C:$AA,J$1,FALSE)</f>
        <v>Precession constant (asec/cent).</v>
      </c>
    </row>
    <row r="92" spans="1:10" x14ac:dyDescent="0.25">
      <c r="A92" s="12" t="s">
        <v>1996</v>
      </c>
      <c r="B92" t="e">
        <f>VLOOKUP($A92,Lcode_mapping!$C:$AA,B$1,FALSE)</f>
        <v>#N/A</v>
      </c>
      <c r="C92" t="e">
        <f>VLOOKUP($A92,Lcode_mapping!$C:$AA,C$1,FALSE)</f>
        <v>#N/A</v>
      </c>
      <c r="D92" t="e">
        <f>VLOOKUP($A92,Lcode_mapping!$C:$AA,D$1,FALSE)</f>
        <v>#N/A</v>
      </c>
      <c r="E92" t="e">
        <f>VLOOKUP($A92,Lcode_mapping!$C:$AA,E$1,FALSE)</f>
        <v>#N/A</v>
      </c>
      <c r="F92" t="e">
        <f>VLOOKUP($A92,Lcode_mapping!$C:$AA,F$1,FALSE)</f>
        <v>#N/A</v>
      </c>
      <c r="G92" t="e">
        <f>VLOOKUP($A92,Lcode_mapping!$C:$AA,G$1,FALSE)</f>
        <v>#N/A</v>
      </c>
      <c r="H92" t="e">
        <f>VLOOKUP($A92,Lcode_mapping!$C:$AA,H$1,FALSE)</f>
        <v>#N/A</v>
      </c>
      <c r="I92" t="e">
        <f>VLOOKUP($A92,Lcode_mapping!$C:$AA,I$1,FALSE)</f>
        <v>#N/A</v>
      </c>
      <c r="J92" t="e">
        <f>VLOOKUP($A92,Lcode_mapping!$C:$AA,J$1,FALSE)</f>
        <v>#N/A</v>
      </c>
    </row>
    <row r="93" spans="1:10" x14ac:dyDescent="0.25">
      <c r="A93" s="12" t="s">
        <v>1998</v>
      </c>
      <c r="B93" t="str">
        <f>VLOOKUP($A93,Lcode_mapping!$C:$AA,B$1,FALSE)</f>
        <v>CalcInfo</v>
      </c>
      <c r="C93" t="str">
        <f>VLOOKUP($A93,Lcode_mapping!$C:$AA,C$1,FALSE)</f>
        <v>Solve</v>
      </c>
      <c r="D93" t="str">
        <f>VLOOKUP($A93,Lcode_mapping!$C:$AA,D$1,FALSE)</f>
        <v>Session</v>
      </c>
      <c r="E93" t="str">
        <f>VLOOKUP($A93,Lcode_mapping!$C:$AA,E$1,FALSE)</f>
        <v>PrecessionMessage</v>
      </c>
      <c r="F93" t="str">
        <f>VLOOKUP($A93,Lcode_mapping!$C:$AA,F$1,FALSE)</f>
        <v>A</v>
      </c>
      <c r="G93">
        <f>VLOOKUP($A93,Lcode_mapping!$C:$AA,G$1,FALSE)</f>
        <v>40</v>
      </c>
      <c r="H93">
        <f>VLOOKUP($A93,Lcode_mapping!$C:$AA,H$1,FALSE)</f>
        <v>1</v>
      </c>
      <c r="I93">
        <f>VLOOKUP($A93,Lcode_mapping!$C:$AA,I$1,FALSE)</f>
        <v>1</v>
      </c>
      <c r="J93" t="str">
        <f>VLOOKUP($A93,Lcode_mapping!$C:$AA,J$1,FALSE)</f>
        <v>Precession message definition</v>
      </c>
    </row>
    <row r="94" spans="1:10" x14ac:dyDescent="0.25">
      <c r="A94" s="12" t="s">
        <v>2001</v>
      </c>
      <c r="B94" t="e">
        <f>VLOOKUP($A94,Lcode_mapping!$C:$AA,B$1,FALSE)</f>
        <v>#N/A</v>
      </c>
      <c r="C94" t="e">
        <f>VLOOKUP($A94,Lcode_mapping!$C:$AA,C$1,FALSE)</f>
        <v>#N/A</v>
      </c>
      <c r="D94" t="e">
        <f>VLOOKUP($A94,Lcode_mapping!$C:$AA,D$1,FALSE)</f>
        <v>#N/A</v>
      </c>
      <c r="E94" t="e">
        <f>VLOOKUP($A94,Lcode_mapping!$C:$AA,E$1,FALSE)</f>
        <v>#N/A</v>
      </c>
      <c r="F94" t="e">
        <f>VLOOKUP($A94,Lcode_mapping!$C:$AA,F$1,FALSE)</f>
        <v>#N/A</v>
      </c>
      <c r="G94" t="e">
        <f>VLOOKUP($A94,Lcode_mapping!$C:$AA,G$1,FALSE)</f>
        <v>#N/A</v>
      </c>
      <c r="H94" t="e">
        <f>VLOOKUP($A94,Lcode_mapping!$C:$AA,H$1,FALSE)</f>
        <v>#N/A</v>
      </c>
      <c r="I94" t="e">
        <f>VLOOKUP($A94,Lcode_mapping!$C:$AA,I$1,FALSE)</f>
        <v>#N/A</v>
      </c>
      <c r="J94" t="e">
        <f>VLOOKUP($A94,Lcode_mapping!$C:$AA,J$1,FALSE)</f>
        <v>#N/A</v>
      </c>
    </row>
    <row r="95" spans="1:10" x14ac:dyDescent="0.25">
      <c r="A95" s="12" t="s">
        <v>2002</v>
      </c>
      <c r="B95" t="str">
        <f>VLOOKUP($A95,Lcode_mapping!$C:$AA,B$1,FALSE)</f>
        <v>CalcInfo</v>
      </c>
      <c r="C95" t="str">
        <f>VLOOKUP($A95,Lcode_mapping!$C:$AA,C$1,FALSE)</f>
        <v>Solve</v>
      </c>
      <c r="D95" t="str">
        <f>VLOOKUP($A95,Lcode_mapping!$C:$AA,D$1,FALSE)</f>
        <v>Session</v>
      </c>
      <c r="E95" t="str">
        <f>VLOOKUP($A95,Lcode_mapping!$C:$AA,E$1,FALSE)</f>
        <v>RelativityMessage</v>
      </c>
      <c r="F95" t="str">
        <f>VLOOKUP($A95,Lcode_mapping!$C:$AA,F$1,FALSE)</f>
        <v>R</v>
      </c>
      <c r="G95">
        <f>VLOOKUP($A95,Lcode_mapping!$C:$AA,G$1,FALSE)</f>
        <v>1</v>
      </c>
      <c r="H95">
        <f>VLOOKUP($A95,Lcode_mapping!$C:$AA,H$1,FALSE)</f>
        <v>1</v>
      </c>
      <c r="I95">
        <f>VLOOKUP($A95,Lcode_mapping!$C:$AA,I$1,FALSE)</f>
        <v>1</v>
      </c>
      <c r="J95" t="str">
        <f>VLOOKUP($A95,Lcode_mapping!$C:$AA,J$1,FALSE)</f>
        <v>Relativity mod data (gamma).</v>
      </c>
    </row>
    <row r="96" spans="1:10" x14ac:dyDescent="0.25">
      <c r="A96" s="12" t="s">
        <v>2003</v>
      </c>
      <c r="B96" t="str">
        <f>VLOOKUP($A96,Lcode_mapping!$C:$AA,B$1,FALSE)</f>
        <v>CalcInfo</v>
      </c>
      <c r="C96" t="str">
        <f>VLOOKUP($A96,Lcode_mapping!$C:$AA,C$1,FALSE)</f>
        <v>Solve</v>
      </c>
      <c r="D96" t="str">
        <f>VLOOKUP($A96,Lcode_mapping!$C:$AA,D$1,FALSE)</f>
        <v>Session</v>
      </c>
      <c r="E96" t="str">
        <f>VLOOKUP($A96,Lcode_mapping!$C:$AA,E$1,FALSE)</f>
        <v>SiteMessage</v>
      </c>
      <c r="F96" t="str">
        <f>VLOOKUP($A96,Lcode_mapping!$C:$AA,F$1,FALSE)</f>
        <v>A</v>
      </c>
      <c r="G96">
        <f>VLOOKUP($A96,Lcode_mapping!$C:$AA,G$1,FALSE)</f>
        <v>40</v>
      </c>
      <c r="H96">
        <f>VLOOKUP($A96,Lcode_mapping!$C:$AA,H$1,FALSE)</f>
        <v>1</v>
      </c>
      <c r="I96">
        <f>VLOOKUP($A96,Lcode_mapping!$C:$AA,I$1,FALSE)</f>
        <v>1</v>
      </c>
      <c r="J96" t="str">
        <f>VLOOKUP($A96,Lcode_mapping!$C:$AA,J$1,FALSE)</f>
        <v>Site Module Message Definition</v>
      </c>
    </row>
    <row r="97" spans="1:10" x14ac:dyDescent="0.25">
      <c r="A97" s="12" t="s">
        <v>2004</v>
      </c>
      <c r="B97" t="str">
        <f>VLOOKUP($A97,Lcode_mapping!$C:$AA,B$1,FALSE)</f>
        <v>CalcInfo</v>
      </c>
      <c r="C97" t="str">
        <f>VLOOKUP($A97,Lcode_mapping!$C:$AA,C$1,FALSE)</f>
        <v>Solve</v>
      </c>
      <c r="D97" t="str">
        <f>VLOOKUP($A97,Lcode_mapping!$C:$AA,D$1,FALSE)</f>
        <v>Session</v>
      </c>
      <c r="E97" t="str">
        <f>VLOOKUP($A97,Lcode_mapping!$C:$AA,E$1,FALSE)</f>
        <v>SiteZenithDelay</v>
      </c>
      <c r="F97" t="str">
        <f>VLOOKUP($A97,Lcode_mapping!$C:$AA,F$1,FALSE)</f>
        <v>R</v>
      </c>
      <c r="G97">
        <f>VLOOKUP($A97,Lcode_mapping!$C:$AA,G$1,FALSE)</f>
        <v>11</v>
      </c>
      <c r="H97">
        <f>VLOOKUP($A97,Lcode_mapping!$C:$AA,H$1,FALSE)</f>
        <v>1</v>
      </c>
      <c r="I97">
        <f>VLOOKUP($A97,Lcode_mapping!$C:$AA,I$1,FALSE)</f>
        <v>1</v>
      </c>
      <c r="J97" t="str">
        <f>VLOOKUP($A97,Lcode_mapping!$C:$AA,J$1,FALSE)</f>
        <v>Site zenith path delays (nsec).</v>
      </c>
    </row>
    <row r="98" spans="1:10" x14ac:dyDescent="0.25">
      <c r="A98" s="12" t="s">
        <v>2010</v>
      </c>
      <c r="B98" t="str">
        <f>VLOOKUP($A98,Lcode_mapping!$C:$AA,B$1,FALSE)</f>
        <v>CalcInfo</v>
      </c>
      <c r="C98" t="str">
        <f>VLOOKUP($A98,Lcode_mapping!$C:$AA,C$1,FALSE)</f>
        <v>Solve</v>
      </c>
      <c r="D98" t="str">
        <f>VLOOKUP($A98,Lcode_mapping!$C:$AA,D$1,FALSE)</f>
        <v>Session</v>
      </c>
      <c r="E98" t="str">
        <f>VLOOKUP($A98,Lcode_mapping!$C:$AA,E$1,FALSE)</f>
        <v>StarMessage</v>
      </c>
      <c r="F98" t="str">
        <f>VLOOKUP($A98,Lcode_mapping!$C:$AA,F$1,FALSE)</f>
        <v>A</v>
      </c>
      <c r="G98">
        <f>VLOOKUP($A98,Lcode_mapping!$C:$AA,G$1,FALSE)</f>
        <v>40</v>
      </c>
      <c r="H98">
        <f>VLOOKUP($A98,Lcode_mapping!$C:$AA,H$1,FALSE)</f>
        <v>1</v>
      </c>
      <c r="I98">
        <f>VLOOKUP($A98,Lcode_mapping!$C:$AA,I$1,FALSE)</f>
        <v>1</v>
      </c>
      <c r="J98" t="str">
        <f>VLOOKUP($A98,Lcode_mapping!$C:$AA,J$1,FALSE)</f>
        <v>Star module message definition</v>
      </c>
    </row>
    <row r="99" spans="1:10" x14ac:dyDescent="0.25">
      <c r="A99" s="12" t="s">
        <v>2009</v>
      </c>
      <c r="B99" t="e">
        <f>VLOOKUP($A99,Lcode_mapping!$C:$AA,B$1,FALSE)</f>
        <v>#N/A</v>
      </c>
      <c r="C99" t="e">
        <f>VLOOKUP($A99,Lcode_mapping!$C:$AA,C$1,FALSE)</f>
        <v>#N/A</v>
      </c>
      <c r="D99" t="e">
        <f>VLOOKUP($A99,Lcode_mapping!$C:$AA,D$1,FALSE)</f>
        <v>#N/A</v>
      </c>
      <c r="E99" t="e">
        <f>VLOOKUP($A99,Lcode_mapping!$C:$AA,E$1,FALSE)</f>
        <v>#N/A</v>
      </c>
      <c r="F99" t="e">
        <f>VLOOKUP($A99,Lcode_mapping!$C:$AA,F$1,FALSE)</f>
        <v>#N/A</v>
      </c>
      <c r="G99" t="e">
        <f>VLOOKUP($A99,Lcode_mapping!$C:$AA,G$1,FALSE)</f>
        <v>#N/A</v>
      </c>
      <c r="H99" t="e">
        <f>VLOOKUP($A99,Lcode_mapping!$C:$AA,H$1,FALSE)</f>
        <v>#N/A</v>
      </c>
      <c r="I99" t="e">
        <f>VLOOKUP($A99,Lcode_mapping!$C:$AA,I$1,FALSE)</f>
        <v>#N/A</v>
      </c>
      <c r="J99" t="e">
        <f>VLOOKUP($A99,Lcode_mapping!$C:$AA,J$1,FALSE)</f>
        <v>#N/A</v>
      </c>
    </row>
    <row r="100" spans="1:10" x14ac:dyDescent="0.25">
      <c r="A100" s="12" t="s">
        <v>2011</v>
      </c>
      <c r="B100" t="str">
        <f>VLOOKUP($A100,Lcode_mapping!$C:$AA,B$1,FALSE)</f>
        <v>CalcInfo</v>
      </c>
      <c r="C100" t="str">
        <f>VLOOKUP($A100,Lcode_mapping!$C:$AA,C$1,FALSE)</f>
        <v>Solve</v>
      </c>
      <c r="D100" t="str">
        <f>VLOOKUP($A100,Lcode_mapping!$C:$AA,D$1,FALSE)</f>
        <v>Session</v>
      </c>
      <c r="E100" t="str">
        <f>VLOOKUP($A100,Lcode_mapping!$C:$AA,E$1,FALSE)</f>
        <v>TheoryMessage</v>
      </c>
      <c r="F100" t="str">
        <f>VLOOKUP($A100,Lcode_mapping!$C:$AA,F$1,FALSE)</f>
        <v>A</v>
      </c>
      <c r="G100">
        <f>VLOOKUP($A100,Lcode_mapping!$C:$AA,G$1,FALSE)</f>
        <v>40</v>
      </c>
      <c r="H100">
        <f>VLOOKUP($A100,Lcode_mapping!$C:$AA,H$1,FALSE)</f>
        <v>1</v>
      </c>
      <c r="I100">
        <f>VLOOKUP($A100,Lcode_mapping!$C:$AA,I$1,FALSE)</f>
        <v>1</v>
      </c>
      <c r="J100" t="str">
        <f>VLOOKUP($A100,Lcode_mapping!$C:$AA,J$1,FALSE)</f>
        <v>Theory module identification</v>
      </c>
    </row>
    <row r="101" spans="1:10" x14ac:dyDescent="0.25">
      <c r="A101" s="12" t="s">
        <v>2206</v>
      </c>
      <c r="B101" t="e">
        <f>VLOOKUP($A101,Lcode_mapping!$C:$AA,B$1,FALSE)</f>
        <v>#N/A</v>
      </c>
      <c r="C101" t="e">
        <f>VLOOKUP($A101,Lcode_mapping!$C:$AA,C$1,FALSE)</f>
        <v>#N/A</v>
      </c>
      <c r="D101" t="e">
        <f>VLOOKUP($A101,Lcode_mapping!$C:$AA,D$1,FALSE)</f>
        <v>#N/A</v>
      </c>
      <c r="E101" t="e">
        <f>VLOOKUP($A101,Lcode_mapping!$C:$AA,E$1,FALSE)</f>
        <v>#N/A</v>
      </c>
      <c r="F101" t="e">
        <f>VLOOKUP($A101,Lcode_mapping!$C:$AA,F$1,FALSE)</f>
        <v>#N/A</v>
      </c>
      <c r="G101" t="e">
        <f>VLOOKUP($A101,Lcode_mapping!$C:$AA,G$1,FALSE)</f>
        <v>#N/A</v>
      </c>
      <c r="H101" t="e">
        <f>VLOOKUP($A101,Lcode_mapping!$C:$AA,H$1,FALSE)</f>
        <v>#N/A</v>
      </c>
      <c r="I101" t="e">
        <f>VLOOKUP($A101,Lcode_mapping!$C:$AA,I$1,FALSE)</f>
        <v>#N/A</v>
      </c>
      <c r="J101" t="e">
        <f>VLOOKUP($A101,Lcode_mapping!$C:$AA,J$1,FALSE)</f>
        <v>#N/A</v>
      </c>
    </row>
    <row r="102" spans="1:10" x14ac:dyDescent="0.25">
      <c r="A102" s="12" t="s">
        <v>511</v>
      </c>
      <c r="B102" t="str">
        <f>VLOOKUP($A102,Lcode_mapping!$C:$AA,B$1,FALSE)</f>
        <v>CalcInfo</v>
      </c>
      <c r="C102" t="str">
        <f>VLOOKUP($A102,Lcode_mapping!$C:$AA,C$1,FALSE)</f>
        <v>Solve</v>
      </c>
      <c r="D102" t="str">
        <f>VLOOKUP($A102,Lcode_mapping!$C:$AA,D$1,FALSE)</f>
        <v>Session</v>
      </c>
      <c r="E102" t="str">
        <f>VLOOKUP($A102,Lcode_mapping!$C:$AA,E$1,FALSE)</f>
        <v>UT1EPOCH</v>
      </c>
      <c r="F102" t="str">
        <f>VLOOKUP($A102,Lcode_mapping!$C:$AA,F$1,FALSE)</f>
        <v>R</v>
      </c>
      <c r="G102">
        <f>VLOOKUP($A102,Lcode_mapping!$C:$AA,G$1,FALSE)</f>
        <v>2</v>
      </c>
      <c r="H102">
        <f>VLOOKUP($A102,Lcode_mapping!$C:$AA,H$1,FALSE)</f>
        <v>2</v>
      </c>
      <c r="I102">
        <f>VLOOKUP($A102,Lcode_mapping!$C:$AA,I$1,FALSE)</f>
        <v>1</v>
      </c>
      <c r="J102" t="str">
        <f>VLOOKUP($A102,Lcode_mapping!$C:$AA,J$1,FALSE)</f>
        <v>TAI - UT1 epoch value definition</v>
      </c>
    </row>
    <row r="103" spans="1:10" x14ac:dyDescent="0.25">
      <c r="A103" s="12" t="s">
        <v>2012</v>
      </c>
      <c r="B103" t="e">
        <f>VLOOKUP($A103,Lcode_mapping!$C:$AA,B$1,FALSE)</f>
        <v>#N/A</v>
      </c>
      <c r="C103" t="e">
        <f>VLOOKUP($A103,Lcode_mapping!$C:$AA,C$1,FALSE)</f>
        <v>#N/A</v>
      </c>
      <c r="D103" t="e">
        <f>VLOOKUP($A103,Lcode_mapping!$C:$AA,D$1,FALSE)</f>
        <v>#N/A</v>
      </c>
      <c r="E103" t="e">
        <f>VLOOKUP($A103,Lcode_mapping!$C:$AA,E$1,FALSE)</f>
        <v>#N/A</v>
      </c>
      <c r="F103" t="e">
        <f>VLOOKUP($A103,Lcode_mapping!$C:$AA,F$1,FALSE)</f>
        <v>#N/A</v>
      </c>
      <c r="G103" t="e">
        <f>VLOOKUP($A103,Lcode_mapping!$C:$AA,G$1,FALSE)</f>
        <v>#N/A</v>
      </c>
      <c r="H103" t="e">
        <f>VLOOKUP($A103,Lcode_mapping!$C:$AA,H$1,FALSE)</f>
        <v>#N/A</v>
      </c>
      <c r="I103" t="e">
        <f>VLOOKUP($A103,Lcode_mapping!$C:$AA,I$1,FALSE)</f>
        <v>#N/A</v>
      </c>
      <c r="J103" t="e">
        <f>VLOOKUP($A103,Lcode_mapping!$C:$AA,J$1,FALSE)</f>
        <v>#N/A</v>
      </c>
    </row>
    <row r="104" spans="1:10" x14ac:dyDescent="0.25">
      <c r="A104" s="12" t="s">
        <v>2014</v>
      </c>
      <c r="B104" t="e">
        <f>VLOOKUP($A104,Lcode_mapping!$C:$AA,B$1,FALSE)</f>
        <v>#N/A</v>
      </c>
      <c r="C104" t="e">
        <f>VLOOKUP($A104,Lcode_mapping!$C:$AA,C$1,FALSE)</f>
        <v>#N/A</v>
      </c>
      <c r="D104" t="e">
        <f>VLOOKUP($A104,Lcode_mapping!$C:$AA,D$1,FALSE)</f>
        <v>#N/A</v>
      </c>
      <c r="E104" t="e">
        <f>VLOOKUP($A104,Lcode_mapping!$C:$AA,E$1,FALSE)</f>
        <v>#N/A</v>
      </c>
      <c r="F104" t="e">
        <f>VLOOKUP($A104,Lcode_mapping!$C:$AA,F$1,FALSE)</f>
        <v>#N/A</v>
      </c>
      <c r="G104" t="e">
        <f>VLOOKUP($A104,Lcode_mapping!$C:$AA,G$1,FALSE)</f>
        <v>#N/A</v>
      </c>
      <c r="H104" t="e">
        <f>VLOOKUP($A104,Lcode_mapping!$C:$AA,H$1,FALSE)</f>
        <v>#N/A</v>
      </c>
      <c r="I104" t="e">
        <f>VLOOKUP($A104,Lcode_mapping!$C:$AA,I$1,FALSE)</f>
        <v>#N/A</v>
      </c>
      <c r="J104" t="e">
        <f>VLOOKUP($A104,Lcode_mapping!$C:$AA,J$1,FALSE)</f>
        <v>#N/A</v>
      </c>
    </row>
    <row r="105" spans="1:10" x14ac:dyDescent="0.25">
      <c r="A105" s="12" t="s">
        <v>513</v>
      </c>
      <c r="B105" t="str">
        <f>VLOOKUP($A105,Lcode_mapping!$C:$AA,B$1,FALSE)</f>
        <v>CalcInfo</v>
      </c>
      <c r="C105" t="str">
        <f>VLOOKUP($A105,Lcode_mapping!$C:$AA,C$1,FALSE)</f>
        <v>Solve</v>
      </c>
      <c r="D105" t="str">
        <f>VLOOKUP($A105,Lcode_mapping!$C:$AA,D$1,FALSE)</f>
        <v>Session</v>
      </c>
      <c r="E105" t="str">
        <f>VLOOKUP($A105,Lcode_mapping!$C:$AA,E$1,FALSE)</f>
        <v>WOBEPOCH</v>
      </c>
      <c r="F105" t="str">
        <f>VLOOKUP($A105,Lcode_mapping!$C:$AA,F$1,FALSE)</f>
        <v>R</v>
      </c>
      <c r="G105">
        <f>VLOOKUP($A105,Lcode_mapping!$C:$AA,G$1,FALSE)</f>
        <v>2</v>
      </c>
      <c r="H105">
        <f>VLOOKUP($A105,Lcode_mapping!$C:$AA,H$1,FALSE)</f>
        <v>2</v>
      </c>
      <c r="I105">
        <f>VLOOKUP($A105,Lcode_mapping!$C:$AA,I$1,FALSE)</f>
        <v>1</v>
      </c>
      <c r="J105" t="str">
        <f>VLOOKUP($A105,Lcode_mapping!$C:$AA,J$1,FALSE)</f>
        <v>Interpolated wobble array def</v>
      </c>
    </row>
    <row r="106" spans="1:10" x14ac:dyDescent="0.25">
      <c r="A106" s="12" t="s">
        <v>1895</v>
      </c>
      <c r="B106" t="e">
        <f>VLOOKUP($A106,Lcode_mapping!$C:$AA,B$1,FALSE)</f>
        <v>#N/A</v>
      </c>
      <c r="C106" t="e">
        <f>VLOOKUP($A106,Lcode_mapping!$C:$AA,C$1,FALSE)</f>
        <v>#N/A</v>
      </c>
      <c r="D106" t="e">
        <f>VLOOKUP($A106,Lcode_mapping!$C:$AA,D$1,FALSE)</f>
        <v>#N/A</v>
      </c>
      <c r="E106" t="e">
        <f>VLOOKUP($A106,Lcode_mapping!$C:$AA,E$1,FALSE)</f>
        <v>#N/A</v>
      </c>
      <c r="F106" t="e">
        <f>VLOOKUP($A106,Lcode_mapping!$C:$AA,F$1,FALSE)</f>
        <v>#N/A</v>
      </c>
      <c r="G106" t="e">
        <f>VLOOKUP($A106,Lcode_mapping!$C:$AA,G$1,FALSE)</f>
        <v>#N/A</v>
      </c>
      <c r="H106" t="e">
        <f>VLOOKUP($A106,Lcode_mapping!$C:$AA,H$1,FALSE)</f>
        <v>#N/A</v>
      </c>
      <c r="I106" t="e">
        <f>VLOOKUP($A106,Lcode_mapping!$C:$AA,I$1,FALSE)</f>
        <v>#N/A</v>
      </c>
      <c r="J106" t="e">
        <f>VLOOKUP($A106,Lcode_mapping!$C:$AA,J$1,FALSE)</f>
        <v>#N/A</v>
      </c>
    </row>
    <row r="107" spans="1:10" x14ac:dyDescent="0.25">
      <c r="A107" s="12" t="s">
        <v>1894</v>
      </c>
      <c r="B107" t="str">
        <f>VLOOKUP($A107,Lcode_mapping!$C:$AA,B$1,FALSE)</f>
        <v>CalibrationSetup</v>
      </c>
      <c r="C107" t="str">
        <f>VLOOKUP($A107,Lcode_mapping!$C:$AA,C$1,FALSE)</f>
        <v>Solve</v>
      </c>
      <c r="D107" t="str">
        <f>VLOOKUP($A107,Lcode_mapping!$C:$AA,D$1,FALSE)</f>
        <v>Session</v>
      </c>
      <c r="E107" t="str">
        <f>VLOOKUP($A107,Lcode_mapping!$C:$AA,E$1,FALSE)</f>
        <v>FlybyFlag</v>
      </c>
      <c r="F107" t="str">
        <f>VLOOKUP($A107,Lcode_mapping!$C:$AA,F$1,FALSE)</f>
        <v>I</v>
      </c>
      <c r="G107">
        <f>VLOOKUP($A107,Lcode_mapping!$C:$AA,G$1,FALSE)</f>
        <v>7</v>
      </c>
      <c r="H107">
        <f>VLOOKUP($A107,Lcode_mapping!$C:$AA,H$1,FALSE)</f>
        <v>11</v>
      </c>
      <c r="I107">
        <f>VLOOKUP($A107,Lcode_mapping!$C:$AA,I$1,FALSE)</f>
        <v>1</v>
      </c>
      <c r="J107" t="str">
        <f>VLOOKUP($A107,Lcode_mapping!$C:$AA,J$1,FALSE)</f>
        <v>Standard flcal configuration</v>
      </c>
    </row>
    <row r="108" spans="1:10" x14ac:dyDescent="0.25">
      <c r="A108" s="12" t="s">
        <v>1893</v>
      </c>
      <c r="B108" t="e">
        <f>VLOOKUP($A108,Lcode_mapping!$C:$AA,B$1,FALSE)</f>
        <v>#N/A</v>
      </c>
      <c r="C108" t="e">
        <f>VLOOKUP($A108,Lcode_mapping!$C:$AA,C$1,FALSE)</f>
        <v>#N/A</v>
      </c>
      <c r="D108" t="e">
        <f>VLOOKUP($A108,Lcode_mapping!$C:$AA,D$1,FALSE)</f>
        <v>#N/A</v>
      </c>
      <c r="E108" t="e">
        <f>VLOOKUP($A108,Lcode_mapping!$C:$AA,E$1,FALSE)</f>
        <v>#N/A</v>
      </c>
      <c r="F108" t="e">
        <f>VLOOKUP($A108,Lcode_mapping!$C:$AA,F$1,FALSE)</f>
        <v>#N/A</v>
      </c>
      <c r="G108" t="e">
        <f>VLOOKUP($A108,Lcode_mapping!$C:$AA,G$1,FALSE)</f>
        <v>#N/A</v>
      </c>
      <c r="H108" t="e">
        <f>VLOOKUP($A108,Lcode_mapping!$C:$AA,H$1,FALSE)</f>
        <v>#N/A</v>
      </c>
      <c r="I108" t="e">
        <f>VLOOKUP($A108,Lcode_mapping!$C:$AA,I$1,FALSE)</f>
        <v>#N/A</v>
      </c>
      <c r="J108" t="e">
        <f>VLOOKUP($A108,Lcode_mapping!$C:$AA,J$1,FALSE)</f>
        <v>#N/A</v>
      </c>
    </row>
    <row r="109" spans="1:10" x14ac:dyDescent="0.25">
      <c r="A109" s="12" t="s">
        <v>1887</v>
      </c>
      <c r="B109" t="str">
        <f>VLOOKUP($A109,Lcode_mapping!$C:$AA,B$1,FALSE)</f>
        <v>CalibrationSetup</v>
      </c>
      <c r="C109" t="str">
        <f>VLOOKUP($A109,Lcode_mapping!$C:$AA,C$1,FALSE)</f>
        <v>Solve</v>
      </c>
      <c r="D109" t="str">
        <f>VLOOKUP($A109,Lcode_mapping!$C:$AA,D$1,FALSE)</f>
        <v>Session</v>
      </c>
      <c r="E109" t="str">
        <f>VLOOKUP($A109,Lcode_mapping!$C:$AA,E$1,FALSE)</f>
        <v>ObsCalFlag</v>
      </c>
      <c r="F109" t="str">
        <f>VLOOKUP($A109,Lcode_mapping!$C:$AA,F$1,FALSE)</f>
        <v>I</v>
      </c>
      <c r="G109">
        <f>VLOOKUP($A109,Lcode_mapping!$C:$AA,G$1,FALSE)</f>
        <v>1</v>
      </c>
      <c r="H109">
        <f>VLOOKUP($A109,Lcode_mapping!$C:$AA,H$1,FALSE)</f>
        <v>1</v>
      </c>
      <c r="I109">
        <f>VLOOKUP($A109,Lcode_mapping!$C:$AA,I$1,FALSE)</f>
        <v>1</v>
      </c>
      <c r="J109" t="str">
        <f>VLOOKUP($A109,Lcode_mapping!$C:$AA,J$1,FALSE)</f>
        <v>Bit set indicate that calibration is recommended.</v>
      </c>
    </row>
    <row r="110" spans="1:10" x14ac:dyDescent="0.25">
      <c r="A110" s="12" t="s">
        <v>1890</v>
      </c>
      <c r="B110" t="e">
        <f>VLOOKUP($A110,Lcode_mapping!$C:$AA,B$1,FALSE)</f>
        <v>#N/A</v>
      </c>
      <c r="C110" t="e">
        <f>VLOOKUP($A110,Lcode_mapping!$C:$AA,C$1,FALSE)</f>
        <v>#N/A</v>
      </c>
      <c r="D110" t="e">
        <f>VLOOKUP($A110,Lcode_mapping!$C:$AA,D$1,FALSE)</f>
        <v>#N/A</v>
      </c>
      <c r="E110" t="e">
        <f>VLOOKUP($A110,Lcode_mapping!$C:$AA,E$1,FALSE)</f>
        <v>#N/A</v>
      </c>
      <c r="F110" t="e">
        <f>VLOOKUP($A110,Lcode_mapping!$C:$AA,F$1,FALSE)</f>
        <v>#N/A</v>
      </c>
      <c r="G110" t="e">
        <f>VLOOKUP($A110,Lcode_mapping!$C:$AA,G$1,FALSE)</f>
        <v>#N/A</v>
      </c>
      <c r="H110" t="e">
        <f>VLOOKUP($A110,Lcode_mapping!$C:$AA,H$1,FALSE)</f>
        <v>#N/A</v>
      </c>
      <c r="I110" t="e">
        <f>VLOOKUP($A110,Lcode_mapping!$C:$AA,I$1,FALSE)</f>
        <v>#N/A</v>
      </c>
      <c r="J110" t="e">
        <f>VLOOKUP($A110,Lcode_mapping!$C:$AA,J$1,FALSE)</f>
        <v>#N/A</v>
      </c>
    </row>
    <row r="111" spans="1:10" x14ac:dyDescent="0.25">
      <c r="A111" s="12" t="s">
        <v>1889</v>
      </c>
      <c r="B111" t="str">
        <f>VLOOKUP($A111,Lcode_mapping!$C:$AA,B$1,FALSE)</f>
        <v>CalibrationSetup</v>
      </c>
      <c r="C111" t="str">
        <f>VLOOKUP($A111,Lcode_mapping!$C:$AA,C$1,FALSE)</f>
        <v>Solve</v>
      </c>
      <c r="D111" t="str">
        <f>VLOOKUP($A111,Lcode_mapping!$C:$AA,D$1,FALSE)</f>
        <v>Session</v>
      </c>
      <c r="E111" t="str">
        <f>VLOOKUP($A111,Lcode_mapping!$C:$AA,E$1,FALSE)</f>
        <v>StatCalFlag</v>
      </c>
      <c r="F111" t="str">
        <f>VLOOKUP($A111,Lcode_mapping!$C:$AA,F$1,FALSE)</f>
        <v>I</v>
      </c>
      <c r="G111">
        <f>VLOOKUP($A111,Lcode_mapping!$C:$AA,G$1,FALSE)</f>
        <v>11</v>
      </c>
      <c r="H111">
        <f>VLOOKUP($A111,Lcode_mapping!$C:$AA,H$1,FALSE)</f>
        <v>1</v>
      </c>
      <c r="I111">
        <f>VLOOKUP($A111,Lcode_mapping!$C:$AA,I$1,FALSE)</f>
        <v>1</v>
      </c>
      <c r="J111" t="str">
        <f>VLOOKUP($A111,Lcode_mapping!$C:$AA,J$1,FALSE)</f>
        <v>Bit set indicate that calibration is recommended.</v>
      </c>
    </row>
    <row r="112" spans="1:10" x14ac:dyDescent="0.25">
      <c r="A112" s="12" t="s">
        <v>1891</v>
      </c>
      <c r="B112" t="e">
        <f>VLOOKUP($A112,Lcode_mapping!$C:$AA,B$1,FALSE)</f>
        <v>#N/A</v>
      </c>
      <c r="C112" t="e">
        <f>VLOOKUP($A112,Lcode_mapping!$C:$AA,C$1,FALSE)</f>
        <v>#N/A</v>
      </c>
      <c r="D112" t="e">
        <f>VLOOKUP($A112,Lcode_mapping!$C:$AA,D$1,FALSE)</f>
        <v>#N/A</v>
      </c>
      <c r="E112" t="e">
        <f>VLOOKUP($A112,Lcode_mapping!$C:$AA,E$1,FALSE)</f>
        <v>#N/A</v>
      </c>
      <c r="F112" t="e">
        <f>VLOOKUP($A112,Lcode_mapping!$C:$AA,F$1,FALSE)</f>
        <v>#N/A</v>
      </c>
      <c r="G112" t="e">
        <f>VLOOKUP($A112,Lcode_mapping!$C:$AA,G$1,FALSE)</f>
        <v>#N/A</v>
      </c>
      <c r="H112" t="e">
        <f>VLOOKUP($A112,Lcode_mapping!$C:$AA,H$1,FALSE)</f>
        <v>#N/A</v>
      </c>
      <c r="I112" t="e">
        <f>VLOOKUP($A112,Lcode_mapping!$C:$AA,I$1,FALSE)</f>
        <v>#N/A</v>
      </c>
      <c r="J112" t="e">
        <f>VLOOKUP($A112,Lcode_mapping!$C:$AA,J$1,FALSE)</f>
        <v>#N/A</v>
      </c>
    </row>
    <row r="113" spans="1:10" x14ac:dyDescent="0.25">
      <c r="A113" s="12" t="s">
        <v>2148</v>
      </c>
      <c r="B113" t="e">
        <f>VLOOKUP($A113,Lcode_mapping!$C:$AA,B$1,FALSE)</f>
        <v>#N/A</v>
      </c>
      <c r="C113" t="e">
        <f>VLOOKUP($A113,Lcode_mapping!$C:$AA,C$1,FALSE)</f>
        <v>#N/A</v>
      </c>
      <c r="D113" t="e">
        <f>VLOOKUP($A113,Lcode_mapping!$C:$AA,D$1,FALSE)</f>
        <v>#N/A</v>
      </c>
      <c r="E113" t="e">
        <f>VLOOKUP($A113,Lcode_mapping!$C:$AA,E$1,FALSE)</f>
        <v>#N/A</v>
      </c>
      <c r="F113" t="e">
        <f>VLOOKUP($A113,Lcode_mapping!$C:$AA,F$1,FALSE)</f>
        <v>#N/A</v>
      </c>
      <c r="G113" t="e">
        <f>VLOOKUP($A113,Lcode_mapping!$C:$AA,G$1,FALSE)</f>
        <v>#N/A</v>
      </c>
      <c r="H113" t="e">
        <f>VLOOKUP($A113,Lcode_mapping!$C:$AA,H$1,FALSE)</f>
        <v>#N/A</v>
      </c>
      <c r="I113" t="e">
        <f>VLOOKUP($A113,Lcode_mapping!$C:$AA,I$1,FALSE)</f>
        <v>#N/A</v>
      </c>
      <c r="J113" t="e">
        <f>VLOOKUP($A113,Lcode_mapping!$C:$AA,J$1,FALSE)</f>
        <v>#N/A</v>
      </c>
    </row>
    <row r="114" spans="1:10" x14ac:dyDescent="0.25">
      <c r="A114" s="12" t="s">
        <v>2147</v>
      </c>
      <c r="B114" t="e">
        <f>VLOOKUP($A114,Lcode_mapping!$C:$AA,B$1,FALSE)</f>
        <v>#N/A</v>
      </c>
      <c r="C114" t="e">
        <f>VLOOKUP($A114,Lcode_mapping!$C:$AA,C$1,FALSE)</f>
        <v>#N/A</v>
      </c>
      <c r="D114" t="e">
        <f>VLOOKUP($A114,Lcode_mapping!$C:$AA,D$1,FALSE)</f>
        <v>#N/A</v>
      </c>
      <c r="E114" t="e">
        <f>VLOOKUP($A114,Lcode_mapping!$C:$AA,E$1,FALSE)</f>
        <v>#N/A</v>
      </c>
      <c r="F114" t="e">
        <f>VLOOKUP($A114,Lcode_mapping!$C:$AA,F$1,FALSE)</f>
        <v>#N/A</v>
      </c>
      <c r="G114" t="e">
        <f>VLOOKUP($A114,Lcode_mapping!$C:$AA,G$1,FALSE)</f>
        <v>#N/A</v>
      </c>
      <c r="H114" t="e">
        <f>VLOOKUP($A114,Lcode_mapping!$C:$AA,H$1,FALSE)</f>
        <v>#N/A</v>
      </c>
      <c r="I114" t="e">
        <f>VLOOKUP($A114,Lcode_mapping!$C:$AA,I$1,FALSE)</f>
        <v>#N/A</v>
      </c>
      <c r="J114" t="e">
        <f>VLOOKUP($A114,Lcode_mapping!$C:$AA,J$1,FALSE)</f>
        <v>#N/A</v>
      </c>
    </row>
    <row r="115" spans="1:10" x14ac:dyDescent="0.25">
      <c r="A115" s="12" t="s">
        <v>2179</v>
      </c>
      <c r="B115" t="e">
        <f>VLOOKUP($A115,Lcode_mapping!$C:$AA,B$1,FALSE)</f>
        <v>#N/A</v>
      </c>
      <c r="C115" t="e">
        <f>VLOOKUP($A115,Lcode_mapping!$C:$AA,C$1,FALSE)</f>
        <v>#N/A</v>
      </c>
      <c r="D115" t="e">
        <f>VLOOKUP($A115,Lcode_mapping!$C:$AA,D$1,FALSE)</f>
        <v>#N/A</v>
      </c>
      <c r="E115" t="e">
        <f>VLOOKUP($A115,Lcode_mapping!$C:$AA,E$1,FALSE)</f>
        <v>#N/A</v>
      </c>
      <c r="F115" t="e">
        <f>VLOOKUP($A115,Lcode_mapping!$C:$AA,F$1,FALSE)</f>
        <v>#N/A</v>
      </c>
      <c r="G115" t="e">
        <f>VLOOKUP($A115,Lcode_mapping!$C:$AA,G$1,FALSE)</f>
        <v>#N/A</v>
      </c>
      <c r="H115" t="e">
        <f>VLOOKUP($A115,Lcode_mapping!$C:$AA,H$1,FALSE)</f>
        <v>#N/A</v>
      </c>
      <c r="I115" t="e">
        <f>VLOOKUP($A115,Lcode_mapping!$C:$AA,I$1,FALSE)</f>
        <v>#N/A</v>
      </c>
      <c r="J115" t="e">
        <f>VLOOKUP($A115,Lcode_mapping!$C:$AA,J$1,FALSE)</f>
        <v>#N/A</v>
      </c>
    </row>
    <row r="116" spans="1:10" x14ac:dyDescent="0.25">
      <c r="A116" s="12" t="s">
        <v>568</v>
      </c>
      <c r="B116" t="str">
        <f>VLOOKUP($A116,Lcode_mapping!$C:$AA,B$1,FALSE)</f>
        <v>ClockBreak</v>
      </c>
      <c r="C116" t="str">
        <f>VLOOKUP($A116,Lcode_mapping!$C:$AA,C$1,FALSE)</f>
        <v>Session</v>
      </c>
      <c r="D116" t="str">
        <f>VLOOKUP($A116,Lcode_mapping!$C:$AA,D$1,FALSE)</f>
        <v>Session</v>
      </c>
      <c r="E116" t="str">
        <f>VLOOKUP($A116,Lcode_mapping!$C:$AA,E$1,FALSE)</f>
        <v>BRK_NUMB</v>
      </c>
      <c r="F116" t="str">
        <f>VLOOKUP($A116,Lcode_mapping!$C:$AA,F$1,FALSE)</f>
        <v>I</v>
      </c>
      <c r="G116">
        <f>VLOOKUP($A116,Lcode_mapping!$C:$AA,G$1,FALSE)</f>
        <v>1</v>
      </c>
      <c r="H116">
        <f>VLOOKUP($A116,Lcode_mapping!$C:$AA,H$1,FALSE)</f>
        <v>1</v>
      </c>
      <c r="I116">
        <f>VLOOKUP($A116,Lcode_mapping!$C:$AA,I$1,FALSE)</f>
        <v>1</v>
      </c>
      <c r="J116" t="str">
        <f>VLOOKUP($A116,Lcode_mapping!$C:$AA,J$1,FALSE)</f>
        <v>Number of batchmode clock breaks</v>
      </c>
    </row>
    <row r="117" spans="1:10" x14ac:dyDescent="0.25">
      <c r="A117" s="12" t="s">
        <v>700</v>
      </c>
      <c r="B117" t="str">
        <f>VLOOKUP($A117,Lcode_mapping!$C:$AA,B$1,FALSE)</f>
        <v>ClockBreak</v>
      </c>
      <c r="C117" t="str">
        <f>VLOOKUP($A117,Lcode_mapping!$C:$AA,C$1,FALSE)</f>
        <v>Session</v>
      </c>
      <c r="D117" t="str">
        <f>VLOOKUP($A117,Lcode_mapping!$C:$AA,D$1,FALSE)</f>
        <v>Session</v>
      </c>
      <c r="E117" t="str">
        <f>VLOOKUP($A117,Lcode_mapping!$C:$AA,E$1,FALSE)</f>
        <v>CLKBREAK</v>
      </c>
      <c r="F117" t="str">
        <f>VLOOKUP($A117,Lcode_mapping!$C:$AA,F$1,FALSE)</f>
        <v>A</v>
      </c>
      <c r="G117">
        <f>VLOOKUP($A117,Lcode_mapping!$C:$AA,G$1,FALSE)</f>
        <v>1</v>
      </c>
      <c r="H117">
        <f>VLOOKUP($A117,Lcode_mapping!$C:$AA,H$1,FALSE)</f>
        <v>1</v>
      </c>
      <c r="I117">
        <f>VLOOKUP($A117,Lcode_mapping!$C:$AA,I$1,FALSE)</f>
        <v>1</v>
      </c>
      <c r="J117" t="str">
        <f>VLOOKUP($A117,Lcode_mapping!$C:$AA,J$1,FALSE)</f>
        <v>Status of clock break existence</v>
      </c>
    </row>
    <row r="118" spans="1:10" x14ac:dyDescent="0.25">
      <c r="A118" s="12" t="s">
        <v>1881</v>
      </c>
      <c r="B118" t="str">
        <f>VLOOKUP($A118,Lcode_mapping!$C:$AA,B$1,FALSE)</f>
        <v>ClockBreak</v>
      </c>
      <c r="C118" t="str">
        <f>VLOOKUP($A118,Lcode_mapping!$C:$AA,C$1,FALSE)</f>
        <v>Session</v>
      </c>
      <c r="D118" t="str">
        <f>VLOOKUP($A118,Lcode_mapping!$C:$AA,D$1,FALSE)</f>
        <v>Session</v>
      </c>
      <c r="E118" t="str">
        <f>VLOOKUP($A118,Lcode_mapping!$C:$AA,E$1,FALSE)</f>
        <v>ClockBreakEpoch</v>
      </c>
      <c r="F118" t="str">
        <f>VLOOKUP($A118,Lcode_mapping!$C:$AA,F$1,FALSE)</f>
        <v>R</v>
      </c>
      <c r="G118">
        <f>VLOOKUP($A118,Lcode_mapping!$C:$AA,G$1,FALSE)</f>
        <v>1</v>
      </c>
      <c r="H118">
        <f>VLOOKUP($A118,Lcode_mapping!$C:$AA,H$1,FALSE)</f>
        <v>1</v>
      </c>
      <c r="I118">
        <f>VLOOKUP($A118,Lcode_mapping!$C:$AA,I$1,FALSE)</f>
        <v>1</v>
      </c>
      <c r="J118" t="str">
        <f>VLOOKUP($A118,Lcode_mapping!$C:$AA,J$1,FALSE)</f>
        <v>Batchmode clock break epochs</v>
      </c>
    </row>
    <row r="119" spans="1:10" x14ac:dyDescent="0.25">
      <c r="A119" s="12" t="s">
        <v>1892</v>
      </c>
      <c r="B119" t="str">
        <f>VLOOKUP($A119,Lcode_mapping!$C:$AA,B$1,FALSE)</f>
        <v>ClockBreak</v>
      </c>
      <c r="C119" t="str">
        <f>VLOOKUP($A119,Lcode_mapping!$C:$AA,C$1,FALSE)</f>
        <v>Session</v>
      </c>
      <c r="D119" t="str">
        <f>VLOOKUP($A119,Lcode_mapping!$C:$AA,D$1,FALSE)</f>
        <v>Session</v>
      </c>
      <c r="E119" t="str">
        <f>VLOOKUP($A119,Lcode_mapping!$C:$AA,E$1,FALSE)</f>
        <v>ClockBreakFlag</v>
      </c>
      <c r="F119" t="str">
        <f>VLOOKUP($A119,Lcode_mapping!$C:$AA,F$1,FALSE)</f>
        <v>I</v>
      </c>
      <c r="G119">
        <f>VLOOKUP($A119,Lcode_mapping!$C:$AA,G$1,FALSE)</f>
        <v>1</v>
      </c>
      <c r="H119">
        <f>VLOOKUP($A119,Lcode_mapping!$C:$AA,H$1,FALSE)</f>
        <v>1</v>
      </c>
      <c r="I119">
        <f>VLOOKUP($A119,Lcode_mapping!$C:$AA,I$1,FALSE)</f>
        <v>1</v>
      </c>
      <c r="J119" t="str">
        <f>VLOOKUP($A119,Lcode_mapping!$C:$AA,J$1,FALSE)</f>
        <v>Batchmode clock break flags</v>
      </c>
    </row>
    <row r="120" spans="1:10" x14ac:dyDescent="0.25">
      <c r="A120" s="12" t="s">
        <v>1880</v>
      </c>
      <c r="B120" t="e">
        <f>VLOOKUP($A120,Lcode_mapping!$C:$AA,B$1,FALSE)</f>
        <v>#N/A</v>
      </c>
      <c r="C120" t="e">
        <f>VLOOKUP($A120,Lcode_mapping!$C:$AA,C$1,FALSE)</f>
        <v>#N/A</v>
      </c>
      <c r="D120" t="e">
        <f>VLOOKUP($A120,Lcode_mapping!$C:$AA,D$1,FALSE)</f>
        <v>#N/A</v>
      </c>
      <c r="E120" t="e">
        <f>VLOOKUP($A120,Lcode_mapping!$C:$AA,E$1,FALSE)</f>
        <v>#N/A</v>
      </c>
      <c r="F120" t="e">
        <f>VLOOKUP($A120,Lcode_mapping!$C:$AA,F$1,FALSE)</f>
        <v>#N/A</v>
      </c>
      <c r="G120" t="e">
        <f>VLOOKUP($A120,Lcode_mapping!$C:$AA,G$1,FALSE)</f>
        <v>#N/A</v>
      </c>
      <c r="H120" t="e">
        <f>VLOOKUP($A120,Lcode_mapping!$C:$AA,H$1,FALSE)</f>
        <v>#N/A</v>
      </c>
      <c r="I120" t="e">
        <f>VLOOKUP($A120,Lcode_mapping!$C:$AA,I$1,FALSE)</f>
        <v>#N/A</v>
      </c>
      <c r="J120" t="e">
        <f>VLOOKUP($A120,Lcode_mapping!$C:$AA,J$1,FALSE)</f>
        <v>#N/A</v>
      </c>
    </row>
    <row r="121" spans="1:10" x14ac:dyDescent="0.25">
      <c r="A121" s="12" t="s">
        <v>1864</v>
      </c>
      <c r="B121" t="str">
        <f>VLOOKUP($A121,Lcode_mapping!$C:$AA,B$1,FALSE)</f>
        <v>ClockSetup</v>
      </c>
      <c r="C121" t="str">
        <f>VLOOKUP($A121,Lcode_mapping!$C:$AA,C$1,FALSE)</f>
        <v>Solve</v>
      </c>
      <c r="D121" t="str">
        <f>VLOOKUP($A121,Lcode_mapping!$C:$AA,D$1,FALSE)</f>
        <v>Session</v>
      </c>
      <c r="E121" t="str">
        <f>VLOOKUP($A121,Lcode_mapping!$C:$AA,E$1,FALSE)</f>
        <v>ClockInterval</v>
      </c>
      <c r="F121" t="str">
        <f>VLOOKUP($A121,Lcode_mapping!$C:$AA,F$1,FALSE)</f>
        <v>R</v>
      </c>
      <c r="G121">
        <f>VLOOKUP($A121,Lcode_mapping!$C:$AA,G$1,FALSE)</f>
        <v>1</v>
      </c>
      <c r="H121">
        <f>VLOOKUP($A121,Lcode_mapping!$C:$AA,H$1,FALSE)</f>
        <v>1</v>
      </c>
      <c r="I121">
        <f>VLOOKUP($A121,Lcode_mapping!$C:$AA,I$1,FALSE)</f>
        <v>1</v>
      </c>
      <c r="J121" t="str">
        <f>VLOOKUP($A121,Lcode_mapping!$C:$AA,J$1,FALSE)</f>
        <v>Batchmode clock interval - hours</v>
      </c>
    </row>
    <row r="122" spans="1:10" x14ac:dyDescent="0.25">
      <c r="A122" s="12" t="s">
        <v>1863</v>
      </c>
      <c r="B122" t="str">
        <f>VLOOKUP($A122,Lcode_mapping!$C:$AA,B$1,FALSE)</f>
        <v>ClockSetup</v>
      </c>
      <c r="C122" t="str">
        <f>VLOOKUP($A122,Lcode_mapping!$C:$AA,C$1,FALSE)</f>
        <v>Solve</v>
      </c>
      <c r="D122" t="str">
        <f>VLOOKUP($A122,Lcode_mapping!$C:$AA,D$1,FALSE)</f>
        <v>Session</v>
      </c>
      <c r="E122" t="str">
        <f>VLOOKUP($A122,Lcode_mapping!$C:$AA,E$1,FALSE)</f>
        <v>ClockRateConstraint</v>
      </c>
      <c r="F122" t="str">
        <f>VLOOKUP($A122,Lcode_mapping!$C:$AA,F$1,FALSE)</f>
        <v>R</v>
      </c>
      <c r="G122">
        <f>VLOOKUP($A122,Lcode_mapping!$C:$AA,G$1,FALSE)</f>
        <v>1</v>
      </c>
      <c r="H122">
        <f>VLOOKUP($A122,Lcode_mapping!$C:$AA,H$1,FALSE)</f>
        <v>1</v>
      </c>
      <c r="I122">
        <f>VLOOKUP($A122,Lcode_mapping!$C:$AA,I$1,FALSE)</f>
        <v>1</v>
      </c>
      <c r="J122" t="str">
        <f>VLOOKUP($A122,Lcode_mapping!$C:$AA,J$1,FALSE)</f>
        <v>Clock constraint-Parts in 1.e14</v>
      </c>
    </row>
    <row r="123" spans="1:10" x14ac:dyDescent="0.25">
      <c r="A123" s="12" t="s">
        <v>1904</v>
      </c>
      <c r="B123" t="e">
        <f>VLOOKUP($A123,Lcode_mapping!$C:$AA,B$1,FALSE)</f>
        <v>#N/A</v>
      </c>
      <c r="C123" t="e">
        <f>VLOOKUP($A123,Lcode_mapping!$C:$AA,C$1,FALSE)</f>
        <v>#N/A</v>
      </c>
      <c r="D123" t="e">
        <f>VLOOKUP($A123,Lcode_mapping!$C:$AA,D$1,FALSE)</f>
        <v>#N/A</v>
      </c>
      <c r="E123" t="e">
        <f>VLOOKUP($A123,Lcode_mapping!$C:$AA,E$1,FALSE)</f>
        <v>#N/A</v>
      </c>
      <c r="F123" t="e">
        <f>VLOOKUP($A123,Lcode_mapping!$C:$AA,F$1,FALSE)</f>
        <v>#N/A</v>
      </c>
      <c r="G123" t="e">
        <f>VLOOKUP($A123,Lcode_mapping!$C:$AA,G$1,FALSE)</f>
        <v>#N/A</v>
      </c>
      <c r="H123" t="e">
        <f>VLOOKUP($A123,Lcode_mapping!$C:$AA,H$1,FALSE)</f>
        <v>#N/A</v>
      </c>
      <c r="I123" t="e">
        <f>VLOOKUP($A123,Lcode_mapping!$C:$AA,I$1,FALSE)</f>
        <v>#N/A</v>
      </c>
      <c r="J123" t="e">
        <f>VLOOKUP($A123,Lcode_mapping!$C:$AA,J$1,FALSE)</f>
        <v>#N/A</v>
      </c>
    </row>
    <row r="124" spans="1:10" x14ac:dyDescent="0.25">
      <c r="A124" s="12" t="s">
        <v>2402</v>
      </c>
      <c r="B124" t="e">
        <f>VLOOKUP($A124,Lcode_mapping!$C:$AA,B$1,FALSE)</f>
        <v>#N/A</v>
      </c>
      <c r="C124" t="e">
        <f>VLOOKUP($A124,Lcode_mapping!$C:$AA,C$1,FALSE)</f>
        <v>#N/A</v>
      </c>
      <c r="D124" t="e">
        <f>VLOOKUP($A124,Lcode_mapping!$C:$AA,D$1,FALSE)</f>
        <v>#N/A</v>
      </c>
      <c r="E124" t="e">
        <f>VLOOKUP($A124,Lcode_mapping!$C:$AA,E$1,FALSE)</f>
        <v>#N/A</v>
      </c>
      <c r="F124" t="e">
        <f>VLOOKUP($A124,Lcode_mapping!$C:$AA,F$1,FALSE)</f>
        <v>#N/A</v>
      </c>
      <c r="G124" t="e">
        <f>VLOOKUP($A124,Lcode_mapping!$C:$AA,G$1,FALSE)</f>
        <v>#N/A</v>
      </c>
      <c r="H124" t="e">
        <f>VLOOKUP($A124,Lcode_mapping!$C:$AA,H$1,FALSE)</f>
        <v>#N/A</v>
      </c>
      <c r="I124" t="e">
        <f>VLOOKUP($A124,Lcode_mapping!$C:$AA,I$1,FALSE)</f>
        <v>#N/A</v>
      </c>
      <c r="J124" t="e">
        <f>VLOOKUP($A124,Lcode_mapping!$C:$AA,J$1,FALSE)</f>
        <v>#N/A</v>
      </c>
    </row>
    <row r="125" spans="1:10" x14ac:dyDescent="0.25">
      <c r="A125" s="12" t="s">
        <v>1857</v>
      </c>
      <c r="B125" t="e">
        <f>VLOOKUP($A125,Lcode_mapping!$C:$AA,B$1,FALSE)</f>
        <v>#N/A</v>
      </c>
      <c r="C125" t="e">
        <f>VLOOKUP($A125,Lcode_mapping!$C:$AA,C$1,FALSE)</f>
        <v>#N/A</v>
      </c>
      <c r="D125" t="e">
        <f>VLOOKUP($A125,Lcode_mapping!$C:$AA,D$1,FALSE)</f>
        <v>#N/A</v>
      </c>
      <c r="E125" t="e">
        <f>VLOOKUP($A125,Lcode_mapping!$C:$AA,E$1,FALSE)</f>
        <v>#N/A</v>
      </c>
      <c r="F125" t="e">
        <f>VLOOKUP($A125,Lcode_mapping!$C:$AA,F$1,FALSE)</f>
        <v>#N/A</v>
      </c>
      <c r="G125" t="e">
        <f>VLOOKUP($A125,Lcode_mapping!$C:$AA,G$1,FALSE)</f>
        <v>#N/A</v>
      </c>
      <c r="H125" t="e">
        <f>VLOOKUP($A125,Lcode_mapping!$C:$AA,H$1,FALSE)</f>
        <v>#N/A</v>
      </c>
      <c r="I125" t="e">
        <f>VLOOKUP($A125,Lcode_mapping!$C:$AA,I$1,FALSE)</f>
        <v>#N/A</v>
      </c>
      <c r="J125" t="e">
        <f>VLOOKUP($A125,Lcode_mapping!$C:$AA,J$1,FALSE)</f>
        <v>#N/A</v>
      </c>
    </row>
    <row r="126" spans="1:10" x14ac:dyDescent="0.25">
      <c r="A126" s="12" t="s">
        <v>2191</v>
      </c>
      <c r="B126" t="str">
        <f>VLOOKUP($A126,Lcode_mapping!$C:$AA,B$1,FALSE)</f>
        <v>Correlation_bS</v>
      </c>
      <c r="C126" t="str">
        <f>VLOOKUP($A126,Lcode_mapping!$C:$AA,C$1,FALSE)</f>
        <v>Observables</v>
      </c>
      <c r="D126" t="str">
        <f>VLOOKUP($A126,Lcode_mapping!$C:$AA,D$1,FALSE)</f>
        <v>Obs</v>
      </c>
      <c r="E126" t="str">
        <f>VLOOKUP($A126,Lcode_mapping!$C:$AA,E$1,FALSE)</f>
        <v>Correlation</v>
      </c>
      <c r="F126" t="str">
        <f>VLOOKUP($A126,Lcode_mapping!$C:$AA,F$1,FALSE)</f>
        <v>R</v>
      </c>
      <c r="G126">
        <f>VLOOKUP($A126,Lcode_mapping!$C:$AA,G$1,FALSE)</f>
        <v>1</v>
      </c>
      <c r="H126">
        <f>VLOOKUP($A126,Lcode_mapping!$C:$AA,H$1,FALSE)</f>
        <v>1</v>
      </c>
      <c r="I126">
        <f>VLOOKUP($A126,Lcode_mapping!$C:$AA,I$1,FALSE)</f>
        <v>1</v>
      </c>
      <c r="J126" t="str">
        <f>VLOOKUP($A126,Lcode_mapping!$C:$AA,J$1,FALSE)</f>
        <v>Corr coeff (0 --&gt; 1) for S-band</v>
      </c>
    </row>
    <row r="127" spans="1:10" x14ac:dyDescent="0.25">
      <c r="A127" s="12" t="s">
        <v>990</v>
      </c>
      <c r="B127" t="str">
        <f>VLOOKUP($A127,Lcode_mapping!$C:$AA,B$1,FALSE)</f>
        <v>CorrInfo_bX</v>
      </c>
      <c r="C127" t="str">
        <f>VLOOKUP($A127,Lcode_mapping!$C:$AA,C$1,FALSE)</f>
        <v>Observables</v>
      </c>
      <c r="D127" t="str">
        <f>VLOOKUP($A127,Lcode_mapping!$C:$AA,D$1,FALSE)</f>
        <v>Obs</v>
      </c>
      <c r="E127" t="str">
        <f>VLOOKUP($A127,Lcode_mapping!$C:$AA,E$1,FALSE)</f>
        <v>ABASACCE</v>
      </c>
      <c r="F127" t="str">
        <f>VLOOKUP($A127,Lcode_mapping!$C:$AA,F$1,FALSE)</f>
        <v>R</v>
      </c>
      <c r="G127">
        <f>VLOOKUP($A127,Lcode_mapping!$C:$AA,G$1,FALSE)</f>
        <v>1</v>
      </c>
      <c r="H127">
        <f>VLOOKUP($A127,Lcode_mapping!$C:$AA,H$1,FALSE)</f>
        <v>1</v>
      </c>
      <c r="I127">
        <f>VLOOKUP($A127,Lcode_mapping!$C:$AA,I$1,FALSE)</f>
        <v>1</v>
      </c>
      <c r="J127" t="str">
        <f>VLOOKUP($A127,Lcode_mapping!$C:$AA,J$1,FALSE)</f>
        <v>Corel bas/apr accel (1/sec**2).</v>
      </c>
    </row>
    <row r="128" spans="1:10" x14ac:dyDescent="0.25">
      <c r="A128" s="12" t="s">
        <v>992</v>
      </c>
      <c r="B128" t="str">
        <f>VLOOKUP($A128,Lcode_mapping!$C:$AA,B$1,FALSE)</f>
        <v>CorrInfo_bX</v>
      </c>
      <c r="C128" t="str">
        <f>VLOOKUP($A128,Lcode_mapping!$C:$AA,C$1,FALSE)</f>
        <v>Observables</v>
      </c>
      <c r="D128" t="str">
        <f>VLOOKUP($A128,Lcode_mapping!$C:$AA,D$1,FALSE)</f>
        <v>Obs</v>
      </c>
      <c r="E128" t="str">
        <f>VLOOKUP($A128,Lcode_mapping!$C:$AA,E$1,FALSE)</f>
        <v>ABASDEL</v>
      </c>
      <c r="F128" t="str">
        <f>VLOOKUP($A128,Lcode_mapping!$C:$AA,F$1,FALSE)</f>
        <v>R</v>
      </c>
      <c r="G128">
        <f>VLOOKUP($A128,Lcode_mapping!$C:$AA,G$1,FALSE)</f>
        <v>1</v>
      </c>
      <c r="H128">
        <f>VLOOKUP($A128,Lcode_mapping!$C:$AA,H$1,FALSE)</f>
        <v>1</v>
      </c>
      <c r="I128">
        <f>VLOOKUP($A128,Lcode_mapping!$C:$AA,I$1,FALSE)</f>
        <v>1</v>
      </c>
      <c r="J128" t="str">
        <f>VLOOKUP($A128,Lcode_mapping!$C:$AA,J$1,FALSE)</f>
        <v>Corel bas/apr delay (sec).</v>
      </c>
    </row>
    <row r="129" spans="1:10" x14ac:dyDescent="0.25">
      <c r="A129" s="12" t="s">
        <v>994</v>
      </c>
      <c r="B129" t="str">
        <f>VLOOKUP($A129,Lcode_mapping!$C:$AA,B$1,FALSE)</f>
        <v>CorrInfo_bX</v>
      </c>
      <c r="C129" t="str">
        <f>VLOOKUP($A129,Lcode_mapping!$C:$AA,C$1,FALSE)</f>
        <v>Observables</v>
      </c>
      <c r="D129" t="str">
        <f>VLOOKUP($A129,Lcode_mapping!$C:$AA,D$1,FALSE)</f>
        <v>Obs</v>
      </c>
      <c r="E129" t="str">
        <f>VLOOKUP($A129,Lcode_mapping!$C:$AA,E$1,FALSE)</f>
        <v>ABASRATE</v>
      </c>
      <c r="F129" t="str">
        <f>VLOOKUP($A129,Lcode_mapping!$C:$AA,F$1,FALSE)</f>
        <v>R</v>
      </c>
      <c r="G129">
        <f>VLOOKUP($A129,Lcode_mapping!$C:$AA,G$1,FALSE)</f>
        <v>1</v>
      </c>
      <c r="H129">
        <f>VLOOKUP($A129,Lcode_mapping!$C:$AA,H$1,FALSE)</f>
        <v>1</v>
      </c>
      <c r="I129">
        <f>VLOOKUP($A129,Lcode_mapping!$C:$AA,I$1,FALSE)</f>
        <v>1</v>
      </c>
      <c r="J129" t="str">
        <f>VLOOKUP($A129,Lcode_mapping!$C:$AA,J$1,FALSE)</f>
        <v>Corel bas/apr delay rate (s/s).</v>
      </c>
    </row>
    <row r="130" spans="1:10" x14ac:dyDescent="0.25">
      <c r="A130" s="12" t="s">
        <v>1405</v>
      </c>
      <c r="B130" t="str">
        <f>VLOOKUP($A130,Lcode_mapping!$C:$AA,B$1,FALSE)</f>
        <v>CorrInfo_bX</v>
      </c>
      <c r="C130" t="str">
        <f>VLOOKUP($A130,Lcode_mapping!$C:$AA,C$1,FALSE)</f>
        <v>Observables</v>
      </c>
      <c r="D130" t="str">
        <f>VLOOKUP($A130,Lcode_mapping!$C:$AA,D$1,FALSE)</f>
        <v>Obs</v>
      </c>
      <c r="E130" t="str">
        <f>VLOOKUP($A130,Lcode_mapping!$C:$AA,E$1,FALSE)</f>
        <v>APCLOFST</v>
      </c>
      <c r="F130" t="str">
        <f>VLOOKUP($A130,Lcode_mapping!$C:$AA,F$1,FALSE)</f>
        <v>R</v>
      </c>
      <c r="G130">
        <f>VLOOKUP($A130,Lcode_mapping!$C:$AA,G$1,FALSE)</f>
        <v>1</v>
      </c>
      <c r="H130">
        <f>VLOOKUP($A130,Lcode_mapping!$C:$AA,H$1,FALSE)</f>
        <v>1</v>
      </c>
      <c r="I130">
        <f>VLOOKUP($A130,Lcode_mapping!$C:$AA,I$1,FALSE)</f>
        <v>1</v>
      </c>
      <c r="J130" t="str">
        <f>VLOOKUP($A130,Lcode_mapping!$C:$AA,J$1,FALSE)</f>
        <v xml:space="preserve">Apriori clock offset microsec. </v>
      </c>
    </row>
    <row r="131" spans="1:10" x14ac:dyDescent="0.25">
      <c r="A131" s="12" t="s">
        <v>100</v>
      </c>
      <c r="B131" t="str">
        <f>VLOOKUP($A131,Lcode_mapping!$C:$AA,B$1,FALSE)</f>
        <v>CorrInfo_bX</v>
      </c>
      <c r="C131" t="str">
        <f>VLOOKUP($A131,Lcode_mapping!$C:$AA,C$1,FALSE)</f>
        <v>Observables</v>
      </c>
      <c r="D131" t="str">
        <f>VLOOKUP($A131,Lcode_mapping!$C:$AA,D$1,FALSE)</f>
        <v>Obs</v>
      </c>
      <c r="E131" t="str">
        <f>VLOOKUP($A131,Lcode_mapping!$C:$AA,E$1,FALSE)</f>
        <v>AUTOEDIT</v>
      </c>
      <c r="F131" t="str">
        <f>VLOOKUP($A131,Lcode_mapping!$C:$AA,F$1,FALSE)</f>
        <v>I</v>
      </c>
      <c r="G131">
        <f>VLOOKUP($A131,Lcode_mapping!$C:$AA,G$1,FALSE)</f>
        <v>1</v>
      </c>
      <c r="H131">
        <f>VLOOKUP($A131,Lcode_mapping!$C:$AA,H$1,FALSE)</f>
        <v>1</v>
      </c>
      <c r="I131">
        <f>VLOOKUP($A131,Lcode_mapping!$C:$AA,I$1,FALSE)</f>
        <v>1</v>
      </c>
      <c r="J131" t="str">
        <f>VLOOKUP($A131,Lcode_mapping!$C:$AA,J$1,FALSE)</f>
        <v xml:space="preserve">1=Run resulted from AUTOEDIT. </v>
      </c>
    </row>
    <row r="132" spans="1:10" x14ac:dyDescent="0.25">
      <c r="A132" s="12" t="s">
        <v>1538</v>
      </c>
      <c r="B132" t="str">
        <f>VLOOKUP($A132,Lcode_mapping!$C:$AA,B$1,FALSE)</f>
        <v>CorrInfo_bX</v>
      </c>
      <c r="C132" t="str">
        <f>VLOOKUP($A132,Lcode_mapping!$C:$AA,C$1,FALSE)</f>
        <v>Observables</v>
      </c>
      <c r="D132" t="str">
        <f>VLOOKUP($A132,Lcode_mapping!$C:$AA,D$1,FALSE)</f>
        <v>Obs</v>
      </c>
      <c r="E132" t="str">
        <f>VLOOKUP($A132,Lcode_mapping!$C:$AA,E$1,FALSE)</f>
        <v>BBCIndex</v>
      </c>
      <c r="F132" t="str">
        <f>VLOOKUP($A132,Lcode_mapping!$C:$AA,F$1,FALSE)</f>
        <v>I</v>
      </c>
      <c r="G132">
        <f>VLOOKUP($A132,Lcode_mapping!$C:$AA,G$1,FALSE)</f>
        <v>2</v>
      </c>
      <c r="H132">
        <f>VLOOKUP($A132,Lcode_mapping!$C:$AA,H$1,FALSE)</f>
        <v>16</v>
      </c>
      <c r="I132">
        <f>VLOOKUP($A132,Lcode_mapping!$C:$AA,I$1,FALSE)</f>
        <v>1</v>
      </c>
      <c r="J132" t="str">
        <f>VLOOKUP($A132,Lcode_mapping!$C:$AA,J$1,FALSE)</f>
        <v>Physical BBC number by channel.</v>
      </c>
    </row>
    <row r="133" spans="1:10" x14ac:dyDescent="0.25">
      <c r="A133" s="12" t="s">
        <v>1568</v>
      </c>
      <c r="B133" t="str">
        <f>VLOOKUP($A133,Lcode_mapping!$C:$AA,B$1,FALSE)</f>
        <v>CorrInfo_bX</v>
      </c>
      <c r="C133" t="str">
        <f>VLOOKUP($A133,Lcode_mapping!$C:$AA,C$1,FALSE)</f>
        <v>Observables</v>
      </c>
      <c r="D133" t="str">
        <f>VLOOKUP($A133,Lcode_mapping!$C:$AA,D$1,FALSE)</f>
        <v>Obs</v>
      </c>
      <c r="E133" t="str">
        <f>VLOOKUP($A133,Lcode_mapping!$C:$AA,E$1,FALSE)</f>
        <v>BITSAMPL</v>
      </c>
      <c r="F133" t="str">
        <f>VLOOKUP($A133,Lcode_mapping!$C:$AA,F$1,FALSE)</f>
        <v>I</v>
      </c>
      <c r="G133">
        <f>VLOOKUP($A133,Lcode_mapping!$C:$AA,G$1,FALSE)</f>
        <v>1</v>
      </c>
      <c r="H133">
        <f>VLOOKUP($A133,Lcode_mapping!$C:$AA,H$1,FALSE)</f>
        <v>1</v>
      </c>
      <c r="I133">
        <f>VLOOKUP($A133,Lcode_mapping!$C:$AA,I$1,FALSE)</f>
        <v>1</v>
      </c>
      <c r="J133" t="str">
        <f>VLOOKUP($A133,Lcode_mapping!$C:$AA,J$1,FALSE)</f>
        <v xml:space="preserve">Number of bits per sample. </v>
      </c>
    </row>
    <row r="134" spans="1:10" x14ac:dyDescent="0.25">
      <c r="A134" s="12" t="s">
        <v>1540</v>
      </c>
      <c r="B134" t="str">
        <f>VLOOKUP($A134,Lcode_mapping!$C:$AA,B$1,FALSE)</f>
        <v>CorrInfo_bX</v>
      </c>
      <c r="C134" t="str">
        <f>VLOOKUP($A134,Lcode_mapping!$C:$AA,C$1,FALSE)</f>
        <v>Observables</v>
      </c>
      <c r="D134" t="str">
        <f>VLOOKUP($A134,Lcode_mapping!$C:$AA,D$1,FALSE)</f>
        <v>Obs</v>
      </c>
      <c r="E134" t="str">
        <f>VLOOKUP($A134,Lcode_mapping!$C:$AA,E$1,FALSE)</f>
        <v>ChanAmpPhase</v>
      </c>
      <c r="F134" t="str">
        <f>VLOOKUP($A134,Lcode_mapping!$C:$AA,F$1,FALSE)</f>
        <v>R</v>
      </c>
      <c r="G134">
        <f>VLOOKUP($A134,Lcode_mapping!$C:$AA,G$1,FALSE)</f>
        <v>2</v>
      </c>
      <c r="H134">
        <f>VLOOKUP($A134,Lcode_mapping!$C:$AA,H$1,FALSE)</f>
        <v>16</v>
      </c>
      <c r="I134">
        <f>VLOOKUP($A134,Lcode_mapping!$C:$AA,I$1,FALSE)</f>
        <v>1</v>
      </c>
      <c r="J134" t="str">
        <f>VLOOKUP($A134,Lcode_mapping!$C:$AA,J$1,FALSE)</f>
        <v>Amp(0-1)  phs by chan(-180to180)</v>
      </c>
    </row>
    <row r="135" spans="1:10" x14ac:dyDescent="0.25">
      <c r="A135" s="12" t="s">
        <v>1544</v>
      </c>
      <c r="B135" t="str">
        <f>VLOOKUP($A135,Lcode_mapping!$C:$AA,B$1,FALSE)</f>
        <v>CorrInfo_bX</v>
      </c>
      <c r="C135" t="str">
        <f>VLOOKUP($A135,Lcode_mapping!$C:$AA,C$1,FALSE)</f>
        <v>Observables</v>
      </c>
      <c r="D135" t="str">
        <f>VLOOKUP($A135,Lcode_mapping!$C:$AA,D$1,FALSE)</f>
        <v>Obs</v>
      </c>
      <c r="E135" t="str">
        <f>VLOOKUP($A135,Lcode_mapping!$C:$AA,E$1,FALSE)</f>
        <v>ChannelFreq</v>
      </c>
      <c r="F135" t="str">
        <f>VLOOKUP($A135,Lcode_mapping!$C:$AA,F$1,FALSE)</f>
        <v>R</v>
      </c>
      <c r="G135">
        <f>VLOOKUP($A135,Lcode_mapping!$C:$AA,G$1,FALSE)</f>
        <v>16</v>
      </c>
      <c r="H135">
        <f>VLOOKUP($A135,Lcode_mapping!$C:$AA,H$1,FALSE)</f>
        <v>1</v>
      </c>
      <c r="I135">
        <f>VLOOKUP($A135,Lcode_mapping!$C:$AA,I$1,FALSE)</f>
        <v>1</v>
      </c>
      <c r="J135" t="str">
        <f>VLOOKUP($A135,Lcode_mapping!$C:$AA,J$1,FALSE)</f>
        <v>RF freq by channel (MHz).</v>
      </c>
    </row>
    <row r="136" spans="1:10" x14ac:dyDescent="0.25">
      <c r="A136" s="12" t="s">
        <v>1545</v>
      </c>
      <c r="B136" t="str">
        <f>VLOOKUP($A136,Lcode_mapping!$C:$AA,B$1,FALSE)</f>
        <v>CorrInfo_bX</v>
      </c>
      <c r="C136" t="str">
        <f>VLOOKUP($A136,Lcode_mapping!$C:$AA,C$1,FALSE)</f>
        <v>Observables</v>
      </c>
      <c r="D136" t="str">
        <f>VLOOKUP($A136,Lcode_mapping!$C:$AA,D$1,FALSE)</f>
        <v>Obs</v>
      </c>
      <c r="E136" t="str">
        <f>VLOOKUP($A136,Lcode_mapping!$C:$AA,E$1,FALSE)</f>
        <v>ChannelID</v>
      </c>
      <c r="F136" t="str">
        <f>VLOOKUP($A136,Lcode_mapping!$C:$AA,F$1,FALSE)</f>
        <v>A</v>
      </c>
      <c r="G136">
        <f>VLOOKUP($A136,Lcode_mapping!$C:$AA,G$1,FALSE)</f>
        <v>16</v>
      </c>
      <c r="H136">
        <f>VLOOKUP($A136,Lcode_mapping!$C:$AA,H$1,FALSE)</f>
        <v>1</v>
      </c>
      <c r="I136">
        <f>VLOOKUP($A136,Lcode_mapping!$C:$AA,I$1,FALSE)</f>
        <v>1</v>
      </c>
      <c r="J136" t="str">
        <f>VLOOKUP($A136,Lcode_mapping!$C:$AA,J$1,FALSE)</f>
        <v>One-letter Fourfit channel ID.</v>
      </c>
    </row>
    <row r="137" spans="1:10" x14ac:dyDescent="0.25">
      <c r="A137" s="12" t="s">
        <v>1050</v>
      </c>
      <c r="B137" t="str">
        <f>VLOOKUP($A137,Lcode_mapping!$C:$AA,B$1,FALSE)</f>
        <v>CorrInfo_bX</v>
      </c>
      <c r="C137" t="str">
        <f>VLOOKUP($A137,Lcode_mapping!$C:$AA,C$1,FALSE)</f>
        <v>Observables</v>
      </c>
      <c r="D137" t="str">
        <f>VLOOKUP($A137,Lcode_mapping!$C:$AA,D$1,FALSE)</f>
        <v>Obs</v>
      </c>
      <c r="E137" t="str">
        <f>VLOOKUP($A137,Lcode_mapping!$C:$AA,E$1,FALSE)</f>
        <v>CORBASCD</v>
      </c>
      <c r="F137" t="str">
        <f>VLOOKUP($A137,Lcode_mapping!$C:$AA,F$1,FALSE)</f>
        <v>A</v>
      </c>
      <c r="G137">
        <f>VLOOKUP($A137,Lcode_mapping!$C:$AA,G$1,FALSE)</f>
        <v>1</v>
      </c>
      <c r="H137">
        <f>VLOOKUP($A137,Lcode_mapping!$C:$AA,H$1,FALSE)</f>
        <v>1</v>
      </c>
      <c r="I137">
        <f>VLOOKUP($A137,Lcode_mapping!$C:$AA,I$1,FALSE)</f>
        <v>1</v>
      </c>
      <c r="J137" t="str">
        <f>VLOOKUP($A137,Lcode_mapping!$C:$AA,J$1,FALSE)</f>
        <v>Correlator baseline code (2 ch).</v>
      </c>
    </row>
    <row r="138" spans="1:10" x14ac:dyDescent="0.25">
      <c r="A138" s="12" t="s">
        <v>57</v>
      </c>
      <c r="B138" t="str">
        <f>VLOOKUP($A138,Lcode_mapping!$C:$AA,B$1,FALSE)</f>
        <v>CorrInfo_bX</v>
      </c>
      <c r="C138" t="str">
        <f>VLOOKUP($A138,Lcode_mapping!$C:$AA,C$1,FALSE)</f>
        <v>Observables</v>
      </c>
      <c r="D138" t="str">
        <f>VLOOKUP($A138,Lcode_mapping!$C:$AA,D$1,FALSE)</f>
        <v>Obs</v>
      </c>
      <c r="E138" t="str">
        <f>VLOOKUP($A138,Lcode_mapping!$C:$AA,E$1,FALSE)</f>
        <v>CORBASNO</v>
      </c>
      <c r="F138" t="str">
        <f>VLOOKUP($A138,Lcode_mapping!$C:$AA,F$1,FALSE)</f>
        <v>I</v>
      </c>
      <c r="G138">
        <f>VLOOKUP($A138,Lcode_mapping!$C:$AA,G$1,FALSE)</f>
        <v>1</v>
      </c>
      <c r="H138">
        <f>VLOOKUP($A138,Lcode_mapping!$C:$AA,H$1,FALSE)</f>
        <v>1</v>
      </c>
      <c r="I138">
        <f>VLOOKUP($A138,Lcode_mapping!$C:$AA,I$1,FALSE)</f>
        <v>1</v>
      </c>
      <c r="J138" t="str">
        <f>VLOOKUP($A138,Lcode_mapping!$C:$AA,J$1,FALSE)</f>
        <v xml:space="preserve">Correlator baseline number. </v>
      </c>
    </row>
    <row r="139" spans="1:10" x14ac:dyDescent="0.25">
      <c r="A139" s="12" t="s">
        <v>996</v>
      </c>
      <c r="B139" t="str">
        <f>VLOOKUP($A139,Lcode_mapping!$C:$AA,B$1,FALSE)</f>
        <v>CorrInfo_bX</v>
      </c>
      <c r="C139" t="str">
        <f>VLOOKUP($A139,Lcode_mapping!$C:$AA,C$1,FALSE)</f>
        <v>Observables</v>
      </c>
      <c r="D139" t="str">
        <f>VLOOKUP($A139,Lcode_mapping!$C:$AA,D$1,FALSE)</f>
        <v>Obs</v>
      </c>
      <c r="E139" t="str">
        <f>VLOOKUP($A139,Lcode_mapping!$C:$AA,E$1,FALSE)</f>
        <v>CORCLOCK</v>
      </c>
      <c r="F139" t="str">
        <f>VLOOKUP($A139,Lcode_mapping!$C:$AA,F$1,FALSE)</f>
        <v>R</v>
      </c>
      <c r="G139">
        <f>VLOOKUP($A139,Lcode_mapping!$C:$AA,G$1,FALSE)</f>
        <v>2</v>
      </c>
      <c r="H139">
        <f>VLOOKUP($A139,Lcode_mapping!$C:$AA,H$1,FALSE)</f>
        <v>2</v>
      </c>
      <c r="I139">
        <f>VLOOKUP($A139,Lcode_mapping!$C:$AA,I$1,FALSE)</f>
        <v>1</v>
      </c>
      <c r="J139" t="str">
        <f>VLOOKUP($A139,Lcode_mapping!$C:$AA,J$1,FALSE)</f>
        <v>Clock offset(sec)/rate(sec/sec).</v>
      </c>
    </row>
    <row r="140" spans="1:10" x14ac:dyDescent="0.25">
      <c r="A140" s="12" t="s">
        <v>2118</v>
      </c>
      <c r="B140" t="str">
        <f>VLOOKUP($A140,Lcode_mapping!$C:$AA,B$1,FALSE)</f>
        <v>CorrInfo_bX</v>
      </c>
      <c r="C140" t="str">
        <f>VLOOKUP($A140,Lcode_mapping!$C:$AA,C$1,FALSE)</f>
        <v>Observables</v>
      </c>
      <c r="D140" t="str">
        <f>VLOOKUP($A140,Lcode_mapping!$C:$AA,D$1,FALSE)</f>
        <v>Obs</v>
      </c>
      <c r="E140" t="str">
        <f>VLOOKUP($A140,Lcode_mapping!$C:$AA,E$1,FALSE)</f>
        <v>CorCofErr</v>
      </c>
      <c r="F140" t="str">
        <f>VLOOKUP($A140,Lcode_mapping!$C:$AA,F$1,FALSE)</f>
        <v>R</v>
      </c>
      <c r="G140">
        <f>VLOOKUP($A140,Lcode_mapping!$C:$AA,G$1,FALSE)</f>
        <v>1</v>
      </c>
      <c r="H140">
        <f>VLOOKUP($A140,Lcode_mapping!$C:$AA,H$1,FALSE)</f>
        <v>1</v>
      </c>
      <c r="I140">
        <f>VLOOKUP($A140,Lcode_mapping!$C:$AA,I$1,FALSE)</f>
        <v>1</v>
      </c>
      <c r="J140" t="str">
        <f>VLOOKUP($A140,Lcode_mapping!$C:$AA,J$1,FALSE)</f>
        <v>Corr. Coeff. formal error</v>
      </c>
    </row>
    <row r="141" spans="1:10" x14ac:dyDescent="0.25">
      <c r="A141" s="12" t="s">
        <v>1026</v>
      </c>
      <c r="B141" t="str">
        <f>VLOOKUP($A141,Lcode_mapping!$C:$AA,B$1,FALSE)</f>
        <v>CorrInfo_bX</v>
      </c>
      <c r="C141" t="str">
        <f>VLOOKUP($A141,Lcode_mapping!$C:$AA,C$1,FALSE)</f>
        <v>Observables</v>
      </c>
      <c r="D141" t="str">
        <f>VLOOKUP($A141,Lcode_mapping!$C:$AA,D$1,FALSE)</f>
        <v>Obs</v>
      </c>
      <c r="E141" t="str">
        <f>VLOOKUP($A141,Lcode_mapping!$C:$AA,E$1,FALSE)</f>
        <v>CORELVER</v>
      </c>
      <c r="F141" t="str">
        <f>VLOOKUP($A141,Lcode_mapping!$C:$AA,F$1,FALSE)</f>
        <v>I</v>
      </c>
      <c r="G141">
        <f>VLOOKUP($A141,Lcode_mapping!$C:$AA,G$1,FALSE)</f>
        <v>1</v>
      </c>
      <c r="H141">
        <f>VLOOKUP($A141,Lcode_mapping!$C:$AA,H$1,FALSE)</f>
        <v>1</v>
      </c>
      <c r="I141">
        <f>VLOOKUP($A141,Lcode_mapping!$C:$AA,I$1,FALSE)</f>
        <v>1</v>
      </c>
      <c r="J141" t="str">
        <f>VLOOKUP($A141,Lcode_mapping!$C:$AA,J$1,FALSE)</f>
        <v>Correlator software version numb</v>
      </c>
    </row>
    <row r="142" spans="1:10" x14ac:dyDescent="0.25">
      <c r="A142" s="12" t="s">
        <v>1052</v>
      </c>
      <c r="B142" t="str">
        <f>VLOOKUP($A142,Lcode_mapping!$C:$AA,B$1,FALSE)</f>
        <v>CorrInfo_bX</v>
      </c>
      <c r="C142" t="str">
        <f>VLOOKUP($A142,Lcode_mapping!$C:$AA,C$1,FALSE)</f>
        <v>Observables</v>
      </c>
      <c r="D142" t="str">
        <f>VLOOKUP($A142,Lcode_mapping!$C:$AA,D$1,FALSE)</f>
        <v>Obs</v>
      </c>
      <c r="E142" t="str">
        <f>VLOOKUP($A142,Lcode_mapping!$C:$AA,E$1,FALSE)</f>
        <v>CROOTFIL</v>
      </c>
      <c r="F142" t="str">
        <f>VLOOKUP($A142,Lcode_mapping!$C:$AA,F$1,FALSE)</f>
        <v>A</v>
      </c>
      <c r="G142">
        <f>VLOOKUP($A142,Lcode_mapping!$C:$AA,G$1,FALSE)</f>
        <v>8</v>
      </c>
      <c r="H142">
        <f>VLOOKUP($A142,Lcode_mapping!$C:$AA,H$1,FALSE)</f>
        <v>1</v>
      </c>
      <c r="I142">
        <f>VLOOKUP($A142,Lcode_mapping!$C:$AA,I$1,FALSE)</f>
        <v>1</v>
      </c>
      <c r="J142" t="str">
        <f>VLOOKUP($A142,Lcode_mapping!$C:$AA,J$1,FALSE)</f>
        <v>Correlator root file name.</v>
      </c>
    </row>
    <row r="143" spans="1:10" x14ac:dyDescent="0.25">
      <c r="A143" s="12" t="s">
        <v>1030</v>
      </c>
      <c r="B143" t="str">
        <f>VLOOKUP($A143,Lcode_mapping!$C:$AA,B$1,FALSE)</f>
        <v>CorrInfo_bX</v>
      </c>
      <c r="C143" t="str">
        <f>VLOOKUP($A143,Lcode_mapping!$C:$AA,C$1,FALSE)</f>
        <v>Observables</v>
      </c>
      <c r="D143" t="str">
        <f>VLOOKUP($A143,Lcode_mapping!$C:$AA,D$1,FALSE)</f>
        <v>Obs</v>
      </c>
      <c r="E143" t="str">
        <f>VLOOKUP($A143,Lcode_mapping!$C:$AA,E$1,FALSE)</f>
        <v>DBEDITVE</v>
      </c>
      <c r="F143" t="str">
        <f>VLOOKUP($A143,Lcode_mapping!$C:$AA,F$1,FALSE)</f>
        <v>I</v>
      </c>
      <c r="G143">
        <f>VLOOKUP($A143,Lcode_mapping!$C:$AA,G$1,FALSE)</f>
        <v>3</v>
      </c>
      <c r="H143">
        <f>VLOOKUP($A143,Lcode_mapping!$C:$AA,H$1,FALSE)</f>
        <v>1</v>
      </c>
      <c r="I143">
        <f>VLOOKUP($A143,Lcode_mapping!$C:$AA,I$1,FALSE)</f>
        <v>1</v>
      </c>
      <c r="J143" t="str">
        <f>VLOOKUP($A143,Lcode_mapping!$C:$AA,J$1,FALSE)</f>
        <v>Dbedit revision date YYYY MM DD</v>
      </c>
    </row>
    <row r="144" spans="1:10" x14ac:dyDescent="0.25">
      <c r="A144" s="12" t="s">
        <v>1443</v>
      </c>
      <c r="B144" t="str">
        <f>VLOOKUP($A144,Lcode_mapping!$C:$AA,B$1,FALSE)</f>
        <v>CorrInfo_bX</v>
      </c>
      <c r="C144" t="str">
        <f>VLOOKUP($A144,Lcode_mapping!$C:$AA,C$1,FALSE)</f>
        <v>Observables</v>
      </c>
      <c r="D144" t="str">
        <f>VLOOKUP($A144,Lcode_mapping!$C:$AA,D$1,FALSE)</f>
        <v>Obs</v>
      </c>
      <c r="E144" t="str">
        <f>VLOOKUP($A144,Lcode_mapping!$C:$AA,E$1,FALSE)</f>
        <v>DELOBSVM</v>
      </c>
      <c r="F144" t="str">
        <f>VLOOKUP($A144,Lcode_mapping!$C:$AA,F$1,FALSE)</f>
        <v>R</v>
      </c>
      <c r="G144">
        <f>VLOOKUP($A144,Lcode_mapping!$C:$AA,G$1,FALSE)</f>
        <v>2</v>
      </c>
      <c r="H144">
        <f>VLOOKUP($A144,Lcode_mapping!$C:$AA,H$1,FALSE)</f>
        <v>1</v>
      </c>
      <c r="I144">
        <f>VLOOKUP($A144,Lcode_mapping!$C:$AA,I$1,FALSE)</f>
        <v>1</v>
      </c>
      <c r="J144" t="str">
        <f>VLOOKUP($A144,Lcode_mapping!$C:$AA,J$1,FALSE)</f>
        <v xml:space="preserve">Obs delay at central epoch us. </v>
      </c>
    </row>
    <row r="145" spans="1:10" x14ac:dyDescent="0.25">
      <c r="A145" s="12" t="s">
        <v>743</v>
      </c>
      <c r="B145" t="str">
        <f>VLOOKUP($A145,Lcode_mapping!$C:$AA,B$1,FALSE)</f>
        <v>CorrInfo_bX</v>
      </c>
      <c r="C145" t="str">
        <f>VLOOKUP($A145,Lcode_mapping!$C:$AA,C$1,FALSE)</f>
        <v>Observables</v>
      </c>
      <c r="D145" t="str">
        <f>VLOOKUP($A145,Lcode_mapping!$C:$AA,D$1,FALSE)</f>
        <v>Obs</v>
      </c>
      <c r="E145" t="str">
        <f>VLOOKUP($A145,Lcode_mapping!$C:$AA,E$1,FALSE)</f>
        <v>DELRESID</v>
      </c>
      <c r="F145" t="str">
        <f>VLOOKUP($A145,Lcode_mapping!$C:$AA,F$1,FALSE)</f>
        <v>R</v>
      </c>
      <c r="G145">
        <f>VLOOKUP($A145,Lcode_mapping!$C:$AA,G$1,FALSE)</f>
        <v>1</v>
      </c>
      <c r="H145">
        <f>VLOOKUP($A145,Lcode_mapping!$C:$AA,H$1,FALSE)</f>
        <v>1</v>
      </c>
      <c r="I145">
        <f>VLOOKUP($A145,Lcode_mapping!$C:$AA,I$1,FALSE)</f>
        <v>1</v>
      </c>
      <c r="J145" t="str">
        <f>VLOOKUP($A145,Lcode_mapping!$C:$AA,J$1,FALSE)</f>
        <v>Delay residual (sec).</v>
      </c>
    </row>
    <row r="146" spans="1:10" x14ac:dyDescent="0.25">
      <c r="A146" s="12" t="s">
        <v>747</v>
      </c>
      <c r="B146" t="str">
        <f>VLOOKUP($A146,Lcode_mapping!$C:$AA,B$1,FALSE)</f>
        <v>CorrInfo_bX</v>
      </c>
      <c r="C146" t="str">
        <f>VLOOKUP($A146,Lcode_mapping!$C:$AA,C$1,FALSE)</f>
        <v>Observables</v>
      </c>
      <c r="D146" t="str">
        <f>VLOOKUP($A146,Lcode_mapping!$C:$AA,D$1,FALSE)</f>
        <v>Obs</v>
      </c>
      <c r="E146" t="str">
        <f>VLOOKUP($A146,Lcode_mapping!$C:$AA,E$1,FALSE)</f>
        <v>DELTAEPO</v>
      </c>
      <c r="F146" t="str">
        <f>VLOOKUP($A146,Lcode_mapping!$C:$AA,F$1,FALSE)</f>
        <v>R</v>
      </c>
      <c r="G146">
        <f>VLOOKUP($A146,Lcode_mapping!$C:$AA,G$1,FALSE)</f>
        <v>1</v>
      </c>
      <c r="H146">
        <f>VLOOKUP($A146,Lcode_mapping!$C:$AA,H$1,FALSE)</f>
        <v>1</v>
      </c>
      <c r="I146">
        <f>VLOOKUP($A146,Lcode_mapping!$C:$AA,I$1,FALSE)</f>
        <v>1</v>
      </c>
      <c r="J146" t="str">
        <f>VLOOKUP($A146,Lcode_mapping!$C:$AA,J$1,FALSE)</f>
        <v>Offset from center of scan (sec)</v>
      </c>
    </row>
    <row r="147" spans="1:10" x14ac:dyDescent="0.25">
      <c r="A147" s="12" t="s">
        <v>998</v>
      </c>
      <c r="B147" t="str">
        <f>VLOOKUP($A147,Lcode_mapping!$C:$AA,B$1,FALSE)</f>
        <v>CorrInfo_bX</v>
      </c>
      <c r="C147" t="str">
        <f>VLOOKUP($A147,Lcode_mapping!$C:$AA,C$1,FALSE)</f>
        <v>Observables</v>
      </c>
      <c r="D147" t="str">
        <f>VLOOKUP($A147,Lcode_mapping!$C:$AA,D$1,FALSE)</f>
        <v>Obs</v>
      </c>
      <c r="E147" t="str">
        <f>VLOOKUP($A147,Lcode_mapping!$C:$AA,E$1,FALSE)</f>
        <v>DISCARD</v>
      </c>
      <c r="F147" t="str">
        <f>VLOOKUP($A147,Lcode_mapping!$C:$AA,F$1,FALSE)</f>
        <v>R</v>
      </c>
      <c r="G147">
        <f>VLOOKUP($A147,Lcode_mapping!$C:$AA,G$1,FALSE)</f>
        <v>1</v>
      </c>
      <c r="H147">
        <f>VLOOKUP($A147,Lcode_mapping!$C:$AA,H$1,FALSE)</f>
        <v>1</v>
      </c>
      <c r="I147">
        <f>VLOOKUP($A147,Lcode_mapping!$C:$AA,I$1,FALSE)</f>
        <v>1</v>
      </c>
      <c r="J147" t="str">
        <f>VLOOKUP($A147,Lcode_mapping!$C:$AA,J$1,FALSE)</f>
        <v>Percent data discarded by FRNGE.</v>
      </c>
    </row>
    <row r="148" spans="1:10" x14ac:dyDescent="0.25">
      <c r="A148" s="12" t="s">
        <v>1445</v>
      </c>
      <c r="B148" t="str">
        <f>VLOOKUP($A148,Lcode_mapping!$C:$AA,B$1,FALSE)</f>
        <v>CorrInfo_bX</v>
      </c>
      <c r="C148" t="str">
        <f>VLOOKUP($A148,Lcode_mapping!$C:$AA,C$1,FALSE)</f>
        <v>Observables</v>
      </c>
      <c r="D148" t="str">
        <f>VLOOKUP($A148,Lcode_mapping!$C:$AA,D$1,FALSE)</f>
        <v>Obs</v>
      </c>
      <c r="E148" t="str">
        <f>VLOOKUP($A148,Lcode_mapping!$C:$AA,E$1,FALSE)</f>
        <v>DLYEPO+1</v>
      </c>
      <c r="F148" t="str">
        <f>VLOOKUP($A148,Lcode_mapping!$C:$AA,F$1,FALSE)</f>
        <v>R</v>
      </c>
      <c r="G148">
        <f>VLOOKUP($A148,Lcode_mapping!$C:$AA,G$1,FALSE)</f>
        <v>2</v>
      </c>
      <c r="H148">
        <f>VLOOKUP($A148,Lcode_mapping!$C:$AA,H$1,FALSE)</f>
        <v>1</v>
      </c>
      <c r="I148">
        <f>VLOOKUP($A148,Lcode_mapping!$C:$AA,I$1,FALSE)</f>
        <v>1</v>
      </c>
      <c r="J148" t="str">
        <f>VLOOKUP($A148,Lcode_mapping!$C:$AA,J$1,FALSE)</f>
        <v xml:space="preserve">Phase delay at epoch+1 sec. </v>
      </c>
    </row>
    <row r="149" spans="1:10" x14ac:dyDescent="0.25">
      <c r="A149" s="12" t="s">
        <v>1449</v>
      </c>
      <c r="B149" t="str">
        <f>VLOOKUP($A149,Lcode_mapping!$C:$AA,B$1,FALSE)</f>
        <v>CorrInfo_bX</v>
      </c>
      <c r="C149" t="str">
        <f>VLOOKUP($A149,Lcode_mapping!$C:$AA,C$1,FALSE)</f>
        <v>Observables</v>
      </c>
      <c r="D149" t="str">
        <f>VLOOKUP($A149,Lcode_mapping!$C:$AA,D$1,FALSE)</f>
        <v>Obs</v>
      </c>
      <c r="E149" t="str">
        <f>VLOOKUP($A149,Lcode_mapping!$C:$AA,E$1,FALSE)</f>
        <v>DLYEPO-1</v>
      </c>
      <c r="F149" t="str">
        <f>VLOOKUP($A149,Lcode_mapping!$C:$AA,F$1,FALSE)</f>
        <v>R</v>
      </c>
      <c r="G149">
        <f>VLOOKUP($A149,Lcode_mapping!$C:$AA,G$1,FALSE)</f>
        <v>2</v>
      </c>
      <c r="H149">
        <f>VLOOKUP($A149,Lcode_mapping!$C:$AA,H$1,FALSE)</f>
        <v>1</v>
      </c>
      <c r="I149">
        <f>VLOOKUP($A149,Lcode_mapping!$C:$AA,I$1,FALSE)</f>
        <v>1</v>
      </c>
      <c r="J149" t="str">
        <f>VLOOKUP($A149,Lcode_mapping!$C:$AA,J$1,FALSE)</f>
        <v xml:space="preserve">Phase delay at epoch-1 sec. </v>
      </c>
    </row>
    <row r="150" spans="1:10" x14ac:dyDescent="0.25">
      <c r="A150" s="12" t="s">
        <v>1756</v>
      </c>
      <c r="B150" t="str">
        <f>VLOOKUP($A150,Lcode_mapping!$C:$AA,B$1,FALSE)</f>
        <v>CorrInfo_bX</v>
      </c>
      <c r="C150" t="str">
        <f>VLOOKUP($A150,Lcode_mapping!$C:$AA,C$1,FALSE)</f>
        <v>Observables</v>
      </c>
      <c r="D150" t="str">
        <f>VLOOKUP($A150,Lcode_mapping!$C:$AA,D$1,FALSE)</f>
        <v>Obs</v>
      </c>
      <c r="E150" t="str">
        <f>VLOOKUP($A150,Lcode_mapping!$C:$AA,E$1,FALSE)</f>
        <v>DURATION</v>
      </c>
      <c r="F150" t="str">
        <f>VLOOKUP($A150,Lcode_mapping!$C:$AA,F$1,FALSE)</f>
        <v>R</v>
      </c>
      <c r="G150">
        <f>VLOOKUP($A150,Lcode_mapping!$C:$AA,G$1,FALSE)</f>
        <v>1</v>
      </c>
      <c r="H150">
        <f>VLOOKUP($A150,Lcode_mapping!$C:$AA,H$1,FALSE)</f>
        <v>1</v>
      </c>
      <c r="I150">
        <f>VLOOKUP($A150,Lcode_mapping!$C:$AA,I$1,FALSE)</f>
        <v>1</v>
      </c>
      <c r="J150" t="str">
        <f>VLOOKUP($A150,Lcode_mapping!$C:$AA,J$1,FALSE)</f>
        <v>Scan duration (sec).</v>
      </c>
    </row>
    <row r="151" spans="1:10" x14ac:dyDescent="0.25">
      <c r="A151" s="12" t="s">
        <v>1529</v>
      </c>
      <c r="B151" t="str">
        <f>VLOOKUP($A151,Lcode_mapping!$C:$AA,B$1,FALSE)</f>
        <v>CorrInfo_bX</v>
      </c>
      <c r="C151" t="str">
        <f>VLOOKUP($A151,Lcode_mapping!$C:$AA,C$1,FALSE)</f>
        <v>Observables</v>
      </c>
      <c r="D151" t="str">
        <f>VLOOKUP($A151,Lcode_mapping!$C:$AA,D$1,FALSE)</f>
        <v>Obs</v>
      </c>
      <c r="E151" t="str">
        <f>VLOOKUP($A151,Lcode_mapping!$C:$AA,E$1,FALSE)</f>
        <v>EffectiveDuration</v>
      </c>
      <c r="F151" t="str">
        <f>VLOOKUP($A151,Lcode_mapping!$C:$AA,F$1,FALSE)</f>
        <v>R</v>
      </c>
      <c r="G151">
        <f>VLOOKUP($A151,Lcode_mapping!$C:$AA,G$1,FALSE)</f>
        <v>1</v>
      </c>
      <c r="H151">
        <f>VLOOKUP($A151,Lcode_mapping!$C:$AA,H$1,FALSE)</f>
        <v>1</v>
      </c>
      <c r="I151">
        <f>VLOOKUP($A151,Lcode_mapping!$C:$AA,I$1,FALSE)</f>
        <v>1</v>
      </c>
      <c r="J151" t="str">
        <f>VLOOKUP($A151,Lcode_mapping!$C:$AA,J$1,FALSE)</f>
        <v>Effective run duration sec.</v>
      </c>
    </row>
    <row r="152" spans="1:10" x14ac:dyDescent="0.25">
      <c r="A152" s="12" t="s">
        <v>1032</v>
      </c>
      <c r="B152" t="str">
        <f>VLOOKUP($A152,Lcode_mapping!$C:$AA,B$1,FALSE)</f>
        <v>CorrInfo_bX</v>
      </c>
      <c r="C152" t="str">
        <f>VLOOKUP($A152,Lcode_mapping!$C:$AA,C$1,FALSE)</f>
        <v>Observables</v>
      </c>
      <c r="D152" t="str">
        <f>VLOOKUP($A152,Lcode_mapping!$C:$AA,D$1,FALSE)</f>
        <v>Obs</v>
      </c>
      <c r="E152" t="str">
        <f>VLOOKUP($A152,Lcode_mapping!$C:$AA,E$1,FALSE)</f>
        <v>ERRORATE</v>
      </c>
      <c r="F152" t="str">
        <f>VLOOKUP($A152,Lcode_mapping!$C:$AA,F$1,FALSE)</f>
        <v>I</v>
      </c>
      <c r="G152">
        <f>VLOOKUP($A152,Lcode_mapping!$C:$AA,G$1,FALSE)</f>
        <v>2</v>
      </c>
      <c r="H152">
        <f>VLOOKUP($A152,Lcode_mapping!$C:$AA,H$1,FALSE)</f>
        <v>2</v>
      </c>
      <c r="I152">
        <f>VLOOKUP($A152,Lcode_mapping!$C:$AA,I$1,FALSE)</f>
        <v>16</v>
      </c>
      <c r="J152" t="str">
        <f>VLOOKUP($A152,Lcode_mapping!$C:$AA,J$1,FALSE)</f>
        <v>Log err rate by sta  sb  channel</v>
      </c>
    </row>
    <row r="153" spans="1:10" x14ac:dyDescent="0.25">
      <c r="A153" s="12" t="s">
        <v>1054</v>
      </c>
      <c r="B153" t="str">
        <f>VLOOKUP($A153,Lcode_mapping!$C:$AA,B$1,FALSE)</f>
        <v>CorrInfo_bX</v>
      </c>
      <c r="C153" t="str">
        <f>VLOOKUP($A153,Lcode_mapping!$C:$AA,C$1,FALSE)</f>
        <v>Observables</v>
      </c>
      <c r="D153" t="str">
        <f>VLOOKUP($A153,Lcode_mapping!$C:$AA,D$1,FALSE)</f>
        <v>Obs</v>
      </c>
      <c r="E153" t="str">
        <f>VLOOKUP($A153,Lcode_mapping!$C:$AA,E$1,FALSE)</f>
        <v>FOURFFIL</v>
      </c>
      <c r="F153" t="str">
        <f>VLOOKUP($A153,Lcode_mapping!$C:$AA,F$1,FALSE)</f>
        <v>A</v>
      </c>
      <c r="G153">
        <f>VLOOKUP($A153,Lcode_mapping!$C:$AA,G$1,FALSE)</f>
        <v>8</v>
      </c>
      <c r="H153">
        <f>VLOOKUP($A153,Lcode_mapping!$C:$AA,H$1,FALSE)</f>
        <v>1</v>
      </c>
      <c r="I153">
        <f>VLOOKUP($A153,Lcode_mapping!$C:$AA,I$1,FALSE)</f>
        <v>1</v>
      </c>
      <c r="J153" t="str">
        <f>VLOOKUP($A153,Lcode_mapping!$C:$AA,J$1,FALSE)</f>
        <v>Fourfit output filename.</v>
      </c>
    </row>
    <row r="154" spans="1:10" x14ac:dyDescent="0.25">
      <c r="A154" s="12" t="s">
        <v>1064</v>
      </c>
      <c r="B154" t="str">
        <f>VLOOKUP($A154,Lcode_mapping!$C:$AA,B$1,FALSE)</f>
        <v>CorrInfo_bX</v>
      </c>
      <c r="C154" t="str">
        <f>VLOOKUP($A154,Lcode_mapping!$C:$AA,C$1,FALSE)</f>
        <v>Observables</v>
      </c>
      <c r="D154" t="str">
        <f>VLOOKUP($A154,Lcode_mapping!$C:$AA,D$1,FALSE)</f>
        <v>Obs</v>
      </c>
      <c r="E154" t="str">
        <f>VLOOKUP($A154,Lcode_mapping!$C:$AA,E$1,FALSE)</f>
        <v>FOURFFXS</v>
      </c>
      <c r="F154" t="str">
        <f>VLOOKUP($A154,Lcode_mapping!$C:$AA,F$1,FALSE)</f>
        <v>A</v>
      </c>
      <c r="G154">
        <f>VLOOKUP($A154,Lcode_mapping!$C:$AA,G$1,FALSE)</f>
        <v>8</v>
      </c>
      <c r="H154">
        <f>VLOOKUP($A154,Lcode_mapping!$C:$AA,H$1,FALSE)</f>
        <v>1</v>
      </c>
      <c r="I154">
        <f>VLOOKUP($A154,Lcode_mapping!$C:$AA,I$1,FALSE)</f>
        <v>1</v>
      </c>
      <c r="J154" t="str">
        <f>VLOOKUP($A154,Lcode_mapping!$C:$AA,J$1,FALSE)</f>
        <v>Fourfit output filename S-band</v>
      </c>
    </row>
    <row r="155" spans="1:10" x14ac:dyDescent="0.25">
      <c r="A155" s="12" t="s">
        <v>1034</v>
      </c>
      <c r="B155" t="str">
        <f>VLOOKUP($A155,Lcode_mapping!$C:$AA,B$1,FALSE)</f>
        <v>CorrInfo_bX</v>
      </c>
      <c r="C155" t="str">
        <f>VLOOKUP($A155,Lcode_mapping!$C:$AA,C$1,FALSE)</f>
        <v>Observables</v>
      </c>
      <c r="D155" t="str">
        <f>VLOOKUP($A155,Lcode_mapping!$C:$AA,D$1,FALSE)</f>
        <v>Obs</v>
      </c>
      <c r="E155" t="str">
        <f>VLOOKUP($A155,Lcode_mapping!$C:$AA,E$1,FALSE)</f>
        <v>FOURFUTC</v>
      </c>
      <c r="F155" t="str">
        <f>VLOOKUP($A155,Lcode_mapping!$C:$AA,F$1,FALSE)</f>
        <v>I</v>
      </c>
      <c r="G155">
        <f>VLOOKUP($A155,Lcode_mapping!$C:$AA,G$1,FALSE)</f>
        <v>6</v>
      </c>
      <c r="H155">
        <f>VLOOKUP($A155,Lcode_mapping!$C:$AA,H$1,FALSE)</f>
        <v>1</v>
      </c>
      <c r="I155">
        <f>VLOOKUP($A155,Lcode_mapping!$C:$AA,I$1,FALSE)</f>
        <v>1</v>
      </c>
      <c r="J155" t="str">
        <f>VLOOKUP($A155,Lcode_mapping!$C:$AA,J$1,FALSE)</f>
        <v>Fourfit processing time YMDHMS.</v>
      </c>
    </row>
    <row r="156" spans="1:10" x14ac:dyDescent="0.25">
      <c r="A156" s="12" t="s">
        <v>1036</v>
      </c>
      <c r="B156" t="str">
        <f>VLOOKUP($A156,Lcode_mapping!$C:$AA,B$1,FALSE)</f>
        <v>CorrInfo_bX</v>
      </c>
      <c r="C156" t="str">
        <f>VLOOKUP($A156,Lcode_mapping!$C:$AA,C$1,FALSE)</f>
        <v>Observables</v>
      </c>
      <c r="D156" t="str">
        <f>VLOOKUP($A156,Lcode_mapping!$C:$AA,D$1,FALSE)</f>
        <v>Obs</v>
      </c>
      <c r="E156" t="str">
        <f>VLOOKUP($A156,Lcode_mapping!$C:$AA,E$1,FALSE)</f>
        <v>FOURFVER</v>
      </c>
      <c r="F156" t="str">
        <f>VLOOKUP($A156,Lcode_mapping!$C:$AA,F$1,FALSE)</f>
        <v>I</v>
      </c>
      <c r="G156">
        <f>VLOOKUP($A156,Lcode_mapping!$C:$AA,G$1,FALSE)</f>
        <v>2</v>
      </c>
      <c r="H156">
        <f>VLOOKUP($A156,Lcode_mapping!$C:$AA,H$1,FALSE)</f>
        <v>1</v>
      </c>
      <c r="I156">
        <f>VLOOKUP($A156,Lcode_mapping!$C:$AA,I$1,FALSE)</f>
        <v>1</v>
      </c>
      <c r="J156" t="str">
        <f>VLOOKUP($A156,Lcode_mapping!$C:$AA,J$1,FALSE)</f>
        <v>Fourfit version number.</v>
      </c>
    </row>
    <row r="157" spans="1:10" x14ac:dyDescent="0.25">
      <c r="A157" s="12" t="s">
        <v>1056</v>
      </c>
      <c r="B157" t="str">
        <f>VLOOKUP($A157,Lcode_mapping!$C:$AA,B$1,FALSE)</f>
        <v>CorrInfo_bX</v>
      </c>
      <c r="C157" t="str">
        <f>VLOOKUP($A157,Lcode_mapping!$C:$AA,C$1,FALSE)</f>
        <v>Observables</v>
      </c>
      <c r="D157" t="str">
        <f>VLOOKUP($A157,Lcode_mapping!$C:$AA,D$1,FALSE)</f>
        <v>Obs</v>
      </c>
      <c r="E157" t="str">
        <f>VLOOKUP($A157,Lcode_mapping!$C:$AA,E$1,FALSE)</f>
        <v>FRNGERR</v>
      </c>
      <c r="F157" t="str">
        <f>VLOOKUP($A157,Lcode_mapping!$C:$AA,F$1,FALSE)</f>
        <v>A</v>
      </c>
      <c r="G157">
        <f>VLOOKUP($A157,Lcode_mapping!$C:$AA,G$1,FALSE)</f>
        <v>1</v>
      </c>
      <c r="H157">
        <f>VLOOKUP($A157,Lcode_mapping!$C:$AA,H$1,FALSE)</f>
        <v>1</v>
      </c>
      <c r="I157">
        <f>VLOOKUP($A157,Lcode_mapping!$C:$AA,I$1,FALSE)</f>
        <v>1</v>
      </c>
      <c r="J157" t="str">
        <f>VLOOKUP($A157,Lcode_mapping!$C:$AA,J$1,FALSE)</f>
        <v>Fourfit error flag blank=OK.</v>
      </c>
    </row>
    <row r="158" spans="1:10" x14ac:dyDescent="0.25">
      <c r="A158" s="12" t="s">
        <v>1058</v>
      </c>
      <c r="B158" t="str">
        <f>VLOOKUP($A158,Lcode_mapping!$C:$AA,B$1,FALSE)</f>
        <v>CorrInfo_bX</v>
      </c>
      <c r="C158" t="str">
        <f>VLOOKUP($A158,Lcode_mapping!$C:$AA,C$1,FALSE)</f>
        <v>Observables</v>
      </c>
      <c r="D158" t="str">
        <f>VLOOKUP($A158,Lcode_mapping!$C:$AA,D$1,FALSE)</f>
        <v>Obs</v>
      </c>
      <c r="E158" t="str">
        <f>VLOOKUP($A158,Lcode_mapping!$C:$AA,E$1,FALSE)</f>
        <v>FRQGROUP</v>
      </c>
      <c r="F158" t="str">
        <f>VLOOKUP($A158,Lcode_mapping!$C:$AA,F$1,FALSE)</f>
        <v>A</v>
      </c>
      <c r="G158">
        <f>VLOOKUP($A158,Lcode_mapping!$C:$AA,G$1,FALSE)</f>
        <v>1</v>
      </c>
      <c r="H158">
        <f>VLOOKUP($A158,Lcode_mapping!$C:$AA,H$1,FALSE)</f>
        <v>1</v>
      </c>
      <c r="I158">
        <f>VLOOKUP($A158,Lcode_mapping!$C:$AA,I$1,FALSE)</f>
        <v>1</v>
      </c>
      <c r="J158" t="str">
        <f>VLOOKUP($A158,Lcode_mapping!$C:$AA,J$1,FALSE)</f>
        <v>Frequency group code.</v>
      </c>
    </row>
    <row r="159" spans="1:10" x14ac:dyDescent="0.25">
      <c r="A159" s="12" t="s">
        <v>1531</v>
      </c>
      <c r="B159" t="str">
        <f>VLOOKUP($A159,Lcode_mapping!$C:$AA,B$1,FALSE)</f>
        <v>CorrInfo_bX</v>
      </c>
      <c r="C159" t="str">
        <f>VLOOKUP($A159,Lcode_mapping!$C:$AA,C$1,FALSE)</f>
        <v>Observables</v>
      </c>
      <c r="D159" t="str">
        <f>VLOOKUP($A159,Lcode_mapping!$C:$AA,D$1,FALSE)</f>
        <v>Obs</v>
      </c>
      <c r="E159" t="str">
        <f>VLOOKUP($A159,Lcode_mapping!$C:$AA,E$1,FALSE)</f>
        <v>GeocMBD</v>
      </c>
      <c r="F159" t="str">
        <f>VLOOKUP($A159,Lcode_mapping!$C:$AA,F$1,FALSE)</f>
        <v>R</v>
      </c>
      <c r="G159">
        <f>VLOOKUP($A159,Lcode_mapping!$C:$AA,G$1,FALSE)</f>
        <v>1</v>
      </c>
      <c r="H159">
        <f>VLOOKUP($A159,Lcode_mapping!$C:$AA,H$1,FALSE)</f>
        <v>1</v>
      </c>
      <c r="I159">
        <f>VLOOKUP($A159,Lcode_mapping!$C:$AA,I$1,FALSE)</f>
        <v>1</v>
      </c>
      <c r="J159" t="str">
        <f>VLOOKUP($A159,Lcode_mapping!$C:$AA,J$1,FALSE)</f>
        <v>Tot geocenter group delay (sec).</v>
      </c>
    </row>
    <row r="160" spans="1:10" x14ac:dyDescent="0.25">
      <c r="A160" s="12" t="s">
        <v>1543</v>
      </c>
      <c r="B160" t="str">
        <f>VLOOKUP($A160,Lcode_mapping!$C:$AA,B$1,FALSE)</f>
        <v>CorrInfo_bX</v>
      </c>
      <c r="C160" t="str">
        <f>VLOOKUP($A160,Lcode_mapping!$C:$AA,C$1,FALSE)</f>
        <v>Observables</v>
      </c>
      <c r="D160" t="str">
        <f>VLOOKUP($A160,Lcode_mapping!$C:$AA,D$1,FALSE)</f>
        <v>Obs</v>
      </c>
      <c r="E160" t="str">
        <f>VLOOKUP($A160,Lcode_mapping!$C:$AA,E$1,FALSE)</f>
        <v>GeocPhase</v>
      </c>
      <c r="F160" t="str">
        <f>VLOOKUP($A160,Lcode_mapping!$C:$AA,F$1,FALSE)</f>
        <v>R</v>
      </c>
      <c r="G160">
        <f>VLOOKUP($A160,Lcode_mapping!$C:$AA,G$1,FALSE)</f>
        <v>1</v>
      </c>
      <c r="H160">
        <f>VLOOKUP($A160,Lcode_mapping!$C:$AA,H$1,FALSE)</f>
        <v>1</v>
      </c>
      <c r="I160">
        <f>VLOOKUP($A160,Lcode_mapping!$C:$AA,I$1,FALSE)</f>
        <v>1</v>
      </c>
      <c r="J160" t="str">
        <f>VLOOKUP($A160,Lcode_mapping!$C:$AA,J$1,FALSE)</f>
        <v>Tot phase ref to cen of Earth.</v>
      </c>
    </row>
    <row r="161" spans="1:10" x14ac:dyDescent="0.25">
      <c r="A161" s="12" t="s">
        <v>1546</v>
      </c>
      <c r="B161" t="str">
        <f>VLOOKUP($A161,Lcode_mapping!$C:$AA,B$1,FALSE)</f>
        <v>CorrInfo_bX</v>
      </c>
      <c r="C161" t="str">
        <f>VLOOKUP($A161,Lcode_mapping!$C:$AA,C$1,FALSE)</f>
        <v>Observables</v>
      </c>
      <c r="D161" t="str">
        <f>VLOOKUP($A161,Lcode_mapping!$C:$AA,D$1,FALSE)</f>
        <v>Obs</v>
      </c>
      <c r="E161" t="str">
        <f>VLOOKUP($A161,Lcode_mapping!$C:$AA,E$1,FALSE)</f>
        <v>GeocRate</v>
      </c>
      <c r="F161" t="str">
        <f>VLOOKUP($A161,Lcode_mapping!$C:$AA,F$1,FALSE)</f>
        <v>R</v>
      </c>
      <c r="G161">
        <f>VLOOKUP($A161,Lcode_mapping!$C:$AA,G$1,FALSE)</f>
        <v>1</v>
      </c>
      <c r="H161">
        <f>VLOOKUP($A161,Lcode_mapping!$C:$AA,H$1,FALSE)</f>
        <v>1</v>
      </c>
      <c r="I161">
        <f>VLOOKUP($A161,Lcode_mapping!$C:$AA,I$1,FALSE)</f>
        <v>1</v>
      </c>
      <c r="J161" t="str">
        <f>VLOOKUP($A161,Lcode_mapping!$C:$AA,J$1,FALSE)</f>
        <v>Tot geocenter delay rate (s/s).</v>
      </c>
    </row>
    <row r="162" spans="1:10" x14ac:dyDescent="0.25">
      <c r="A162" s="12" t="s">
        <v>1548</v>
      </c>
      <c r="B162" t="str">
        <f>VLOOKUP($A162,Lcode_mapping!$C:$AA,B$1,FALSE)</f>
        <v>CorrInfo_bX</v>
      </c>
      <c r="C162" t="str">
        <f>VLOOKUP($A162,Lcode_mapping!$C:$AA,C$1,FALSE)</f>
        <v>Observables</v>
      </c>
      <c r="D162" t="str">
        <f>VLOOKUP($A162,Lcode_mapping!$C:$AA,D$1,FALSE)</f>
        <v>Obs</v>
      </c>
      <c r="E162" t="str">
        <f>VLOOKUP($A162,Lcode_mapping!$C:$AA,E$1,FALSE)</f>
        <v>GeocResidPhase</v>
      </c>
      <c r="F162" t="str">
        <f>VLOOKUP($A162,Lcode_mapping!$C:$AA,F$1,FALSE)</f>
        <v>R</v>
      </c>
      <c r="G162">
        <f>VLOOKUP($A162,Lcode_mapping!$C:$AA,G$1,FALSE)</f>
        <v>1</v>
      </c>
      <c r="H162">
        <f>VLOOKUP($A162,Lcode_mapping!$C:$AA,H$1,FALSE)</f>
        <v>1</v>
      </c>
      <c r="I162">
        <f>VLOOKUP($A162,Lcode_mapping!$C:$AA,I$1,FALSE)</f>
        <v>1</v>
      </c>
      <c r="J162" t="str">
        <f>VLOOKUP($A162,Lcode_mapping!$C:$AA,J$1,FALSE)</f>
        <v>Resid phs corrected to cen of E.</v>
      </c>
    </row>
    <row r="163" spans="1:10" x14ac:dyDescent="0.25">
      <c r="A163" s="12" t="s">
        <v>1547</v>
      </c>
      <c r="B163" t="str">
        <f>VLOOKUP($A163,Lcode_mapping!$C:$AA,B$1,FALSE)</f>
        <v>CorrInfo_bX</v>
      </c>
      <c r="C163" t="str">
        <f>VLOOKUP($A163,Lcode_mapping!$C:$AA,C$1,FALSE)</f>
        <v>Observables</v>
      </c>
      <c r="D163" t="str">
        <f>VLOOKUP($A163,Lcode_mapping!$C:$AA,D$1,FALSE)</f>
        <v>Obs</v>
      </c>
      <c r="E163" t="str">
        <f>VLOOKUP($A163,Lcode_mapping!$C:$AA,E$1,FALSE)</f>
        <v>GeocSBD</v>
      </c>
      <c r="F163" t="str">
        <f>VLOOKUP($A163,Lcode_mapping!$C:$AA,F$1,FALSE)</f>
        <v>R</v>
      </c>
      <c r="G163">
        <f>VLOOKUP($A163,Lcode_mapping!$C:$AA,G$1,FALSE)</f>
        <v>1</v>
      </c>
      <c r="H163">
        <f>VLOOKUP($A163,Lcode_mapping!$C:$AA,H$1,FALSE)</f>
        <v>1</v>
      </c>
      <c r="I163">
        <f>VLOOKUP($A163,Lcode_mapping!$C:$AA,I$1,FALSE)</f>
        <v>1</v>
      </c>
      <c r="J163" t="str">
        <f>VLOOKUP($A163,Lcode_mapping!$C:$AA,J$1,FALSE)</f>
        <v>Tot geocenter sbd delay (sec).</v>
      </c>
    </row>
    <row r="164" spans="1:10" x14ac:dyDescent="0.25">
      <c r="A164" s="12" t="s">
        <v>1012</v>
      </c>
      <c r="B164" t="str">
        <f>VLOOKUP($A164,Lcode_mapping!$C:$AA,B$1,FALSE)</f>
        <v>CorrInfo_bX</v>
      </c>
      <c r="C164" t="str">
        <f>VLOOKUP($A164,Lcode_mapping!$C:$AA,C$1,FALSE)</f>
        <v>Observables</v>
      </c>
      <c r="D164" t="str">
        <f>VLOOKUP($A164,Lcode_mapping!$C:$AA,D$1,FALSE)</f>
        <v>Obs</v>
      </c>
      <c r="E164" t="str">
        <f>VLOOKUP($A164,Lcode_mapping!$C:$AA,E$1,FALSE)</f>
        <v>IDELAY</v>
      </c>
      <c r="F164" t="str">
        <f>VLOOKUP($A164,Lcode_mapping!$C:$AA,F$1,FALSE)</f>
        <v>R</v>
      </c>
      <c r="G164">
        <f>VLOOKUP($A164,Lcode_mapping!$C:$AA,G$1,FALSE)</f>
        <v>2</v>
      </c>
      <c r="H164">
        <f>VLOOKUP($A164,Lcode_mapping!$C:$AA,H$1,FALSE)</f>
        <v>1</v>
      </c>
      <c r="I164">
        <f>VLOOKUP($A164,Lcode_mapping!$C:$AA,I$1,FALSE)</f>
        <v>1</v>
      </c>
      <c r="J164" t="str">
        <f>VLOOKUP($A164,Lcode_mapping!$C:$AA,J$1,FALSE)</f>
        <v>Corel instrumental delay (sec).</v>
      </c>
    </row>
    <row r="165" spans="1:10" x14ac:dyDescent="0.25">
      <c r="A165" s="12" t="s">
        <v>1014</v>
      </c>
      <c r="B165" t="str">
        <f>VLOOKUP($A165,Lcode_mapping!$C:$AA,B$1,FALSE)</f>
        <v>CorrInfo_bX</v>
      </c>
      <c r="C165" t="str">
        <f>VLOOKUP($A165,Lcode_mapping!$C:$AA,C$1,FALSE)</f>
        <v>Observables</v>
      </c>
      <c r="D165" t="str">
        <f>VLOOKUP($A165,Lcode_mapping!$C:$AA,D$1,FALSE)</f>
        <v>Obs</v>
      </c>
      <c r="E165" t="str">
        <f>VLOOKUP($A165,Lcode_mapping!$C:$AA,E$1,FALSE)</f>
        <v>INCOH2</v>
      </c>
      <c r="F165" t="str">
        <f>VLOOKUP($A165,Lcode_mapping!$C:$AA,F$1,FALSE)</f>
        <v>R</v>
      </c>
      <c r="G165">
        <f>VLOOKUP($A165,Lcode_mapping!$C:$AA,G$1,FALSE)</f>
        <v>1</v>
      </c>
      <c r="H165">
        <f>VLOOKUP($A165,Lcode_mapping!$C:$AA,H$1,FALSE)</f>
        <v>1</v>
      </c>
      <c r="I165">
        <f>VLOOKUP($A165,Lcode_mapping!$C:$AA,I$1,FALSE)</f>
        <v>1</v>
      </c>
      <c r="J165" t="str">
        <f>VLOOKUP($A165,Lcode_mapping!$C:$AA,J$1,FALSE)</f>
        <v>Incoh amp from FRNGE plot segs.</v>
      </c>
    </row>
    <row r="166" spans="1:10" x14ac:dyDescent="0.25">
      <c r="A166" s="12" t="s">
        <v>1016</v>
      </c>
      <c r="B166" t="str">
        <f>VLOOKUP($A166,Lcode_mapping!$C:$AA,B$1,FALSE)</f>
        <v>CorrInfo_bX</v>
      </c>
      <c r="C166" t="str">
        <f>VLOOKUP($A166,Lcode_mapping!$C:$AA,C$1,FALSE)</f>
        <v>Observables</v>
      </c>
      <c r="D166" t="str">
        <f>VLOOKUP($A166,Lcode_mapping!$C:$AA,D$1,FALSE)</f>
        <v>Obs</v>
      </c>
      <c r="E166" t="str">
        <f>VLOOKUP($A166,Lcode_mapping!$C:$AA,E$1,FALSE)</f>
        <v>INCOHAMP</v>
      </c>
      <c r="F166" t="str">
        <f>VLOOKUP($A166,Lcode_mapping!$C:$AA,F$1,FALSE)</f>
        <v>R</v>
      </c>
      <c r="G166">
        <f>VLOOKUP($A166,Lcode_mapping!$C:$AA,G$1,FALSE)</f>
        <v>1</v>
      </c>
      <c r="H166">
        <f>VLOOKUP($A166,Lcode_mapping!$C:$AA,H$1,FALSE)</f>
        <v>1</v>
      </c>
      <c r="I166">
        <f>VLOOKUP($A166,Lcode_mapping!$C:$AA,I$1,FALSE)</f>
        <v>1</v>
      </c>
      <c r="J166" t="str">
        <f>VLOOKUP($A166,Lcode_mapping!$C:$AA,J$1,FALSE)</f>
        <v>Fr. amp from incoh int of chan.</v>
      </c>
    </row>
    <row r="167" spans="1:10" x14ac:dyDescent="0.25">
      <c r="A167" s="12" t="s">
        <v>1038</v>
      </c>
      <c r="B167" t="str">
        <f>VLOOKUP($A167,Lcode_mapping!$C:$AA,B$1,FALSE)</f>
        <v>CorrInfo_bX</v>
      </c>
      <c r="C167" t="str">
        <f>VLOOKUP($A167,Lcode_mapping!$C:$AA,C$1,FALSE)</f>
        <v>Observables</v>
      </c>
      <c r="D167" t="str">
        <f>VLOOKUP($A167,Lcode_mapping!$C:$AA,D$1,FALSE)</f>
        <v>Obs</v>
      </c>
      <c r="E167" t="str">
        <f>VLOOKUP($A167,Lcode_mapping!$C:$AA,E$1,FALSE)</f>
        <v>INDEXNUM</v>
      </c>
      <c r="F167" t="str">
        <f>VLOOKUP($A167,Lcode_mapping!$C:$AA,F$1,FALSE)</f>
        <v>I</v>
      </c>
      <c r="G167">
        <f>VLOOKUP($A167,Lcode_mapping!$C:$AA,G$1,FALSE)</f>
        <v>2</v>
      </c>
      <c r="H167">
        <f>VLOOKUP($A167,Lcode_mapping!$C:$AA,H$1,FALSE)</f>
        <v>16</v>
      </c>
      <c r="I167">
        <f>VLOOKUP($A167,Lcode_mapping!$C:$AA,I$1,FALSE)</f>
        <v>1</v>
      </c>
      <c r="J167" t="str">
        <f>VLOOKUP($A167,Lcode_mapping!$C:$AA,J$1,FALSE)</f>
        <v>Corel index numbers by sb freq.</v>
      </c>
    </row>
    <row r="168" spans="1:10" x14ac:dyDescent="0.25">
      <c r="A168" s="12" t="s">
        <v>1539</v>
      </c>
      <c r="B168" t="str">
        <f>VLOOKUP($A168,Lcode_mapping!$C:$AA,B$1,FALSE)</f>
        <v>CorrInfo_bX</v>
      </c>
      <c r="C168" t="str">
        <f>VLOOKUP($A168,Lcode_mapping!$C:$AA,C$1,FALSE)</f>
        <v>Observables</v>
      </c>
      <c r="D168" t="str">
        <f>VLOOKUP($A168,Lcode_mapping!$C:$AA,D$1,FALSE)</f>
        <v>Obs</v>
      </c>
      <c r="E168" t="str">
        <f>VLOOKUP($A168,Lcode_mapping!$C:$AA,E$1,FALSE)</f>
        <v>LOFreq</v>
      </c>
      <c r="F168" t="str">
        <f>VLOOKUP($A168,Lcode_mapping!$C:$AA,F$1,FALSE)</f>
        <v>R</v>
      </c>
      <c r="G168">
        <f>VLOOKUP($A168,Lcode_mapping!$C:$AA,G$1,FALSE)</f>
        <v>2</v>
      </c>
      <c r="H168">
        <f>VLOOKUP($A168,Lcode_mapping!$C:$AA,H$1,FALSE)</f>
        <v>16</v>
      </c>
      <c r="I168">
        <f>VLOOKUP($A168,Lcode_mapping!$C:$AA,I$1,FALSE)</f>
        <v>1</v>
      </c>
      <c r="J168" t="str">
        <f>VLOOKUP($A168,Lcode_mapping!$C:$AA,J$1,FALSE)</f>
        <v>LO frequencies per cha/sta MHz.</v>
      </c>
    </row>
    <row r="169" spans="1:10" x14ac:dyDescent="0.25">
      <c r="A169" s="12" t="s">
        <v>2123</v>
      </c>
      <c r="B169" t="str">
        <f>VLOOKUP($A169,Lcode_mapping!$C:$AA,B$1,FALSE)</f>
        <v>CorrInfo_bX</v>
      </c>
      <c r="C169" t="str">
        <f>VLOOKUP($A169,Lcode_mapping!$C:$AA,C$1,FALSE)</f>
        <v>Observables</v>
      </c>
      <c r="D169" t="str">
        <f>VLOOKUP($A169,Lcode_mapping!$C:$AA,D$1,FALSE)</f>
        <v>Obs</v>
      </c>
      <c r="E169" t="str">
        <f>VLOOKUP($A169,Lcode_mapping!$C:$AA,E$1,FALSE)</f>
        <v>NumAccum</v>
      </c>
      <c r="F169" t="str">
        <f>VLOOKUP($A169,Lcode_mapping!$C:$AA,F$1,FALSE)</f>
        <v>I</v>
      </c>
      <c r="G169">
        <f>VLOOKUP($A169,Lcode_mapping!$C:$AA,G$1,FALSE)</f>
        <v>32</v>
      </c>
      <c r="H169">
        <f>VLOOKUP($A169,Lcode_mapping!$C:$AA,H$1,FALSE)</f>
        <v>1</v>
      </c>
      <c r="I169">
        <f>VLOOKUP($A169,Lcode_mapping!$C:$AA,I$1,FALSE)</f>
        <v>1</v>
      </c>
      <c r="J169" t="str">
        <f>VLOOKUP($A169,Lcode_mapping!$C:$AA,J$1,FALSE)</f>
        <v>No. of accum. periods in Channel</v>
      </c>
    </row>
    <row r="170" spans="1:10" x14ac:dyDescent="0.25">
      <c r="A170" s="12" t="s">
        <v>1541</v>
      </c>
      <c r="B170" t="str">
        <f>VLOOKUP($A170,Lcode_mapping!$C:$AA,B$1,FALSE)</f>
        <v>CorrInfo_bX</v>
      </c>
      <c r="C170" t="str">
        <f>VLOOKUP($A170,Lcode_mapping!$C:$AA,C$1,FALSE)</f>
        <v>Observables</v>
      </c>
      <c r="D170" t="str">
        <f>VLOOKUP($A170,Lcode_mapping!$C:$AA,D$1,FALSE)</f>
        <v>Obs</v>
      </c>
      <c r="E170" t="str">
        <f>VLOOKUP($A170,Lcode_mapping!$C:$AA,E$1,FALSE)</f>
        <v>NumAp</v>
      </c>
      <c r="F170" t="str">
        <f>VLOOKUP($A170,Lcode_mapping!$C:$AA,F$1,FALSE)</f>
        <v>I</v>
      </c>
      <c r="G170">
        <f>VLOOKUP($A170,Lcode_mapping!$C:$AA,G$1,FALSE)</f>
        <v>2</v>
      </c>
      <c r="H170">
        <f>VLOOKUP($A170,Lcode_mapping!$C:$AA,H$1,FALSE)</f>
        <v>16</v>
      </c>
      <c r="I170">
        <f>VLOOKUP($A170,Lcode_mapping!$C:$AA,I$1,FALSE)</f>
        <v>1</v>
      </c>
      <c r="J170" t="str">
        <f>VLOOKUP($A170,Lcode_mapping!$C:$AA,J$1,FALSE)</f>
        <v># of AP by sideband and channel.</v>
      </c>
    </row>
    <row r="171" spans="1:10" x14ac:dyDescent="0.25">
      <c r="A171" s="12" t="s">
        <v>2122</v>
      </c>
      <c r="B171" t="str">
        <f>VLOOKUP($A171,Lcode_mapping!$C:$AA,B$1,FALSE)</f>
        <v>CorrInfo_bX</v>
      </c>
      <c r="C171" t="str">
        <f>VLOOKUP($A171,Lcode_mapping!$C:$AA,C$1,FALSE)</f>
        <v>Observables</v>
      </c>
      <c r="D171" t="str">
        <f>VLOOKUP($A171,Lcode_mapping!$C:$AA,D$1,FALSE)</f>
        <v>Obs</v>
      </c>
      <c r="E171" t="str">
        <f>VLOOKUP($A171,Lcode_mapping!$C:$AA,E$1,FALSE)</f>
        <v>NumBBCFreqs</v>
      </c>
      <c r="F171" t="str">
        <f>VLOOKUP($A171,Lcode_mapping!$C:$AA,F$1,FALSE)</f>
        <v>I</v>
      </c>
      <c r="G171">
        <f>VLOOKUP($A171,Lcode_mapping!$C:$AA,G$1,FALSE)</f>
        <v>1</v>
      </c>
      <c r="H171">
        <f>VLOOKUP($A171,Lcode_mapping!$C:$AA,H$1,FALSE)</f>
        <v>1</v>
      </c>
      <c r="I171">
        <f>VLOOKUP($A171,Lcode_mapping!$C:$AA,I$1,FALSE)</f>
        <v>1</v>
      </c>
      <c r="J171" t="str">
        <f>VLOOKUP($A171,Lcode_mapping!$C:$AA,J$1,FALSE)</f>
        <v>No. of BBC frequencies in Band</v>
      </c>
    </row>
    <row r="172" spans="1:10" x14ac:dyDescent="0.25">
      <c r="A172" s="12" t="s">
        <v>1471</v>
      </c>
      <c r="B172" t="str">
        <f>VLOOKUP($A172,Lcode_mapping!$C:$AA,B$1,FALSE)</f>
        <v>CorrInfo_bX</v>
      </c>
      <c r="C172" t="str">
        <f>VLOOKUP($A172,Lcode_mapping!$C:$AA,C$1,FALSE)</f>
        <v>Observables</v>
      </c>
      <c r="D172" t="str">
        <f>VLOOKUP($A172,Lcode_mapping!$C:$AA,D$1,FALSE)</f>
        <v>Obs</v>
      </c>
      <c r="E172" t="str">
        <f>VLOOKUP($A172,Lcode_mapping!$C:$AA,E$1,FALSE)</f>
        <v>NumChannels</v>
      </c>
      <c r="F172" t="str">
        <f>VLOOKUP($A172,Lcode_mapping!$C:$AA,F$1,FALSE)</f>
        <v>I</v>
      </c>
      <c r="G172">
        <f>VLOOKUP($A172,Lcode_mapping!$C:$AA,G$1,FALSE)</f>
        <v>1</v>
      </c>
      <c r="H172">
        <f>VLOOKUP($A172,Lcode_mapping!$C:$AA,H$1,FALSE)</f>
        <v>1</v>
      </c>
      <c r="I172">
        <f>VLOOKUP($A172,Lcode_mapping!$C:$AA,I$1,FALSE)</f>
        <v>1</v>
      </c>
      <c r="J172" t="str">
        <f>VLOOKUP($A172,Lcode_mapping!$C:$AA,J$1,FALSE)</f>
        <v>No. of U-L pairs in integration.</v>
      </c>
    </row>
    <row r="173" spans="1:10" x14ac:dyDescent="0.25">
      <c r="A173" s="12" t="s">
        <v>1532</v>
      </c>
      <c r="B173" t="str">
        <f>VLOOKUP($A173,Lcode_mapping!$C:$AA,B$1,FALSE)</f>
        <v>CorrInfo_bX</v>
      </c>
      <c r="C173" t="str">
        <f>VLOOKUP($A173,Lcode_mapping!$C:$AA,C$1,FALSE)</f>
        <v>Observables</v>
      </c>
      <c r="D173" t="str">
        <f>VLOOKUP($A173,Lcode_mapping!$C:$AA,D$1,FALSE)</f>
        <v>Obs</v>
      </c>
      <c r="E173" t="str">
        <f>VLOOKUP($A173,Lcode_mapping!$C:$AA,E$1,FALSE)</f>
        <v>NumSamples</v>
      </c>
      <c r="F173" t="str">
        <f>VLOOKUP($A173,Lcode_mapping!$C:$AA,F$1,FALSE)</f>
        <v>R</v>
      </c>
      <c r="G173">
        <f>VLOOKUP($A173,Lcode_mapping!$C:$AA,G$1,FALSE)</f>
        <v>2</v>
      </c>
      <c r="H173">
        <f>VLOOKUP($A173,Lcode_mapping!$C:$AA,H$1,FALSE)</f>
        <v>16</v>
      </c>
      <c r="I173">
        <f>VLOOKUP($A173,Lcode_mapping!$C:$AA,I$1,FALSE)</f>
        <v>1</v>
      </c>
      <c r="J173" t="str">
        <f>VLOOKUP($A173,Lcode_mapping!$C:$AA,J$1,FALSE)</f>
        <v># of samples by sideband and cha</v>
      </c>
    </row>
    <row r="174" spans="1:10" x14ac:dyDescent="0.25">
      <c r="A174" s="12" t="s">
        <v>435</v>
      </c>
      <c r="B174" t="str">
        <f>VLOOKUP($A174,Lcode_mapping!$C:$AA,B$1,FALSE)</f>
        <v>CorrInfo_bX</v>
      </c>
      <c r="C174" t="str">
        <f>VLOOKUP($A174,Lcode_mapping!$C:$AA,C$1,FALSE)</f>
        <v>Observables</v>
      </c>
      <c r="D174" t="str">
        <f>VLOOKUP($A174,Lcode_mapping!$C:$AA,D$1,FALSE)</f>
        <v>Obs</v>
      </c>
      <c r="E174" t="str">
        <f>VLOOKUP($A174,Lcode_mapping!$C:$AA,E$1,FALSE)</f>
        <v>OCCUPNUM</v>
      </c>
      <c r="F174" t="str">
        <f>VLOOKUP($A174,Lcode_mapping!$C:$AA,F$1,FALSE)</f>
        <v>A</v>
      </c>
      <c r="G174">
        <f>VLOOKUP($A174,Lcode_mapping!$C:$AA,G$1,FALSE)</f>
        <v>4</v>
      </c>
      <c r="H174">
        <f>VLOOKUP($A174,Lcode_mapping!$C:$AA,H$1,FALSE)</f>
        <v>2</v>
      </c>
      <c r="I174">
        <f>VLOOKUP($A174,Lcode_mapping!$C:$AA,I$1,FALSE)</f>
        <v>1</v>
      </c>
      <c r="J174" t="str">
        <f>VLOOKUP($A174,Lcode_mapping!$C:$AA,J$1,FALSE)</f>
        <v xml:space="preserve">Site Occupation Number. </v>
      </c>
    </row>
    <row r="175" spans="1:10" x14ac:dyDescent="0.25">
      <c r="A175" s="12" t="s">
        <v>103</v>
      </c>
      <c r="B175" t="str">
        <f>VLOOKUP($A175,Lcode_mapping!$C:$AA,B$1,FALSE)</f>
        <v>CorrInfo_bX</v>
      </c>
      <c r="C175" t="str">
        <f>VLOOKUP($A175,Lcode_mapping!$C:$AA,C$1,FALSE)</f>
        <v>Observables</v>
      </c>
      <c r="D175" t="str">
        <f>VLOOKUP($A175,Lcode_mapping!$C:$AA,D$1,FALSE)</f>
        <v>Obs</v>
      </c>
      <c r="E175" t="str">
        <f>VLOOKUP($A175,Lcode_mapping!$C:$AA,E$1,FALSE)</f>
        <v>ORIGFILE</v>
      </c>
      <c r="F175" t="str">
        <f>VLOOKUP($A175,Lcode_mapping!$C:$AA,F$1,FALSE)</f>
        <v>A</v>
      </c>
      <c r="G175">
        <f>VLOOKUP($A175,Lcode_mapping!$C:$AA,G$1,FALSE)</f>
        <v>3</v>
      </c>
      <c r="H175">
        <f>VLOOKUP($A175,Lcode_mapping!$C:$AA,H$1,FALSE)</f>
        <v>1</v>
      </c>
      <c r="I175">
        <f>VLOOKUP($A175,Lcode_mapping!$C:$AA,I$1,FALSE)</f>
        <v>1</v>
      </c>
      <c r="J175" t="str">
        <f>VLOOKUP($A175,Lcode_mapping!$C:$AA,J$1,FALSE)</f>
        <v xml:space="preserve">Original COREL file name. </v>
      </c>
    </row>
    <row r="176" spans="1:10" x14ac:dyDescent="0.25">
      <c r="A176" s="12" t="s">
        <v>757</v>
      </c>
      <c r="B176" t="str">
        <f>VLOOKUP($A176,Lcode_mapping!$C:$AA,B$1,FALSE)</f>
        <v>CorrInfo_bX</v>
      </c>
      <c r="C176" t="str">
        <f>VLOOKUP($A176,Lcode_mapping!$C:$AA,C$1,FALSE)</f>
        <v>Observables</v>
      </c>
      <c r="D176" t="str">
        <f>VLOOKUP($A176,Lcode_mapping!$C:$AA,D$1,FALSE)</f>
        <v>Obs</v>
      </c>
      <c r="E176" t="str">
        <f>VLOOKUP($A176,Lcode_mapping!$C:$AA,E$1,FALSE)</f>
        <v>PHASECAL</v>
      </c>
      <c r="F176" t="str">
        <f>VLOOKUP($A176,Lcode_mapping!$C:$AA,F$1,FALSE)</f>
        <v>R</v>
      </c>
      <c r="G176">
        <f>VLOOKUP($A176,Lcode_mapping!$C:$AA,G$1,FALSE)</f>
        <v>2</v>
      </c>
      <c r="H176">
        <f>VLOOKUP($A176,Lcode_mapping!$C:$AA,H$1,FALSE)</f>
        <v>1</v>
      </c>
      <c r="I176">
        <f>VLOOKUP($A176,Lcode_mapping!$C:$AA,I$1,FALSE)</f>
        <v>1</v>
      </c>
      <c r="J176" t="str">
        <f>VLOOKUP($A176,Lcode_mapping!$C:$AA,J$1,FALSE)</f>
        <v>PC rate by sta ( us per s).</v>
      </c>
    </row>
    <row r="177" spans="1:10" x14ac:dyDescent="0.25">
      <c r="A177" s="12" t="s">
        <v>1557</v>
      </c>
      <c r="B177" t="str">
        <f>VLOOKUP($A177,Lcode_mapping!$C:$AA,B$1,FALSE)</f>
        <v>CorrInfo_bX</v>
      </c>
      <c r="C177" t="str">
        <f>VLOOKUP($A177,Lcode_mapping!$C:$AA,C$1,FALSE)</f>
        <v>Observables</v>
      </c>
      <c r="D177" t="str">
        <f>VLOOKUP($A177,Lcode_mapping!$C:$AA,D$1,FALSE)</f>
        <v>Obs</v>
      </c>
      <c r="E177" t="str">
        <f>VLOOKUP($A177,Lcode_mapping!$C:$AA,E$1,FALSE)</f>
        <v>PhaseCalAmpPhase</v>
      </c>
      <c r="F177" t="str">
        <f>VLOOKUP($A177,Lcode_mapping!$C:$AA,F$1,FALSE)</f>
        <v>I</v>
      </c>
      <c r="G177">
        <f>VLOOKUP($A177,Lcode_mapping!$C:$AA,G$1,FALSE)</f>
        <v>3</v>
      </c>
      <c r="H177">
        <f>VLOOKUP($A177,Lcode_mapping!$C:$AA,H$1,FALSE)</f>
        <v>2</v>
      </c>
      <c r="I177">
        <f>VLOOKUP($A177,Lcode_mapping!$C:$AA,I$1,FALSE)</f>
        <v>16</v>
      </c>
      <c r="J177" t="str">
        <f>VLOOKUP($A177,Lcode_mapping!$C:$AA,J$1,FALSE)</f>
        <v>PC amp phs frq by sta channel.</v>
      </c>
    </row>
    <row r="178" spans="1:10" x14ac:dyDescent="0.25">
      <c r="A178" s="12" t="s">
        <v>1556</v>
      </c>
      <c r="B178" t="str">
        <f>VLOOKUP($A178,Lcode_mapping!$C:$AA,B$1,FALSE)</f>
        <v>CorrInfo_bX</v>
      </c>
      <c r="C178" t="str">
        <f>VLOOKUP($A178,Lcode_mapping!$C:$AA,C$1,FALSE)</f>
        <v>Observables</v>
      </c>
      <c r="D178" t="str">
        <f>VLOOKUP($A178,Lcode_mapping!$C:$AA,D$1,FALSE)</f>
        <v>Obs</v>
      </c>
      <c r="E178" t="str">
        <f>VLOOKUP($A178,Lcode_mapping!$C:$AA,E$1,FALSE)</f>
        <v>PhaseCalOffset</v>
      </c>
      <c r="F178" t="str">
        <f>VLOOKUP($A178,Lcode_mapping!$C:$AA,F$1,FALSE)</f>
        <v>I</v>
      </c>
      <c r="G178">
        <f>VLOOKUP($A178,Lcode_mapping!$C:$AA,G$1,FALSE)</f>
        <v>2</v>
      </c>
      <c r="H178">
        <f>VLOOKUP($A178,Lcode_mapping!$C:$AA,H$1,FALSE)</f>
        <v>16</v>
      </c>
      <c r="I178">
        <f>VLOOKUP($A178,Lcode_mapping!$C:$AA,I$1,FALSE)</f>
        <v>1</v>
      </c>
      <c r="J178" t="str">
        <f>VLOOKUP($A178,Lcode_mapping!$C:$AA,J$1,FALSE)</f>
        <v>Phase cal offset (-18000/18000).</v>
      </c>
    </row>
    <row r="179" spans="1:10" x14ac:dyDescent="0.25">
      <c r="A179" s="12" t="s">
        <v>1542</v>
      </c>
      <c r="B179" t="str">
        <f>VLOOKUP($A179,Lcode_mapping!$C:$AA,B$1,FALSE)</f>
        <v>CorrInfo_bX</v>
      </c>
      <c r="C179" t="str">
        <f>VLOOKUP($A179,Lcode_mapping!$C:$AA,C$1,FALSE)</f>
        <v>Observables</v>
      </c>
      <c r="D179" t="str">
        <f>VLOOKUP($A179,Lcode_mapping!$C:$AA,D$1,FALSE)</f>
        <v>Obs</v>
      </c>
      <c r="E179" t="str">
        <f>VLOOKUP($A179,Lcode_mapping!$C:$AA,E$1,FALSE)</f>
        <v>Polarization</v>
      </c>
      <c r="F179" t="str">
        <f>VLOOKUP($A179,Lcode_mapping!$C:$AA,F$1,FALSE)</f>
        <v>A</v>
      </c>
      <c r="G179">
        <f>VLOOKUP($A179,Lcode_mapping!$C:$AA,G$1,FALSE)</f>
        <v>2</v>
      </c>
      <c r="H179">
        <f>VLOOKUP($A179,Lcode_mapping!$C:$AA,H$1,FALSE)</f>
        <v>16</v>
      </c>
      <c r="I179">
        <f>VLOOKUP($A179,Lcode_mapping!$C:$AA,I$1,FALSE)</f>
        <v>1</v>
      </c>
      <c r="J179" t="str">
        <f>VLOOKUP($A179,Lcode_mapping!$C:$AA,J$1,FALSE)</f>
        <v>Polarization per sta/chan R/L.</v>
      </c>
    </row>
    <row r="180" spans="1:10" x14ac:dyDescent="0.25">
      <c r="A180" s="12" t="s">
        <v>1530</v>
      </c>
      <c r="B180" t="str">
        <f>VLOOKUP($A180,Lcode_mapping!$C:$AA,B$1,FALSE)</f>
        <v>CorrInfo_bX</v>
      </c>
      <c r="C180" t="str">
        <f>VLOOKUP($A180,Lcode_mapping!$C:$AA,C$1,FALSE)</f>
        <v>Observables</v>
      </c>
      <c r="D180" t="str">
        <f>VLOOKUP($A180,Lcode_mapping!$C:$AA,D$1,FALSE)</f>
        <v>Obs</v>
      </c>
      <c r="E180" t="str">
        <f>VLOOKUP($A180,Lcode_mapping!$C:$AA,E$1,FALSE)</f>
        <v>ProbFalseDetection</v>
      </c>
      <c r="F180" t="str">
        <f>VLOOKUP($A180,Lcode_mapping!$C:$AA,F$1,FALSE)</f>
        <v>R</v>
      </c>
      <c r="G180">
        <f>VLOOKUP($A180,Lcode_mapping!$C:$AA,G$1,FALSE)</f>
        <v>1</v>
      </c>
      <c r="H180">
        <f>VLOOKUP($A180,Lcode_mapping!$C:$AA,H$1,FALSE)</f>
        <v>1</v>
      </c>
      <c r="I180">
        <f>VLOOKUP($A180,Lcode_mapping!$C:$AA,I$1,FALSE)</f>
        <v>1</v>
      </c>
      <c r="J180" t="str">
        <f>VLOOKUP($A180,Lcode_mapping!$C:$AA,J$1,FALSE)</f>
        <v>Prob of false det from FRNGE.</v>
      </c>
    </row>
    <row r="181" spans="1:10" x14ac:dyDescent="0.25">
      <c r="A181" s="12" t="s">
        <v>1018</v>
      </c>
      <c r="B181" t="str">
        <f>VLOOKUP($A181,Lcode_mapping!$C:$AA,B$1,FALSE)</f>
        <v>CorrInfo_bX</v>
      </c>
      <c r="C181" t="str">
        <f>VLOOKUP($A181,Lcode_mapping!$C:$AA,C$1,FALSE)</f>
        <v>Observables</v>
      </c>
      <c r="D181" t="str">
        <f>VLOOKUP($A181,Lcode_mapping!$C:$AA,D$1,FALSE)</f>
        <v>Obs</v>
      </c>
      <c r="E181" t="str">
        <f>VLOOKUP($A181,Lcode_mapping!$C:$AA,E$1,FALSE)</f>
        <v>QBFACTOR</v>
      </c>
      <c r="F181" t="str">
        <f>VLOOKUP($A181,Lcode_mapping!$C:$AA,F$1,FALSE)</f>
        <v>R</v>
      </c>
      <c r="G181">
        <f>VLOOKUP($A181,Lcode_mapping!$C:$AA,G$1,FALSE)</f>
        <v>1</v>
      </c>
      <c r="H181">
        <f>VLOOKUP($A181,Lcode_mapping!$C:$AA,H$1,FALSE)</f>
        <v>1</v>
      </c>
      <c r="I181">
        <f>VLOOKUP($A181,Lcode_mapping!$C:$AA,I$1,FALSE)</f>
        <v>1</v>
      </c>
      <c r="J181" t="str">
        <f>VLOOKUP($A181,Lcode_mapping!$C:$AA,J$1,FALSE)</f>
        <v>Measure of uniformity of data.</v>
      </c>
    </row>
    <row r="182" spans="1:10" x14ac:dyDescent="0.25">
      <c r="A182" s="12" t="s">
        <v>1430</v>
      </c>
      <c r="B182" t="str">
        <f>VLOOKUP($A182,Lcode_mapping!$C:$AA,B$1,FALSE)</f>
        <v>CorrInfo_bX</v>
      </c>
      <c r="C182" t="str">
        <f>VLOOKUP($A182,Lcode_mapping!$C:$AA,C$1,FALSE)</f>
        <v>Observables</v>
      </c>
      <c r="D182" t="str">
        <f>VLOOKUP($A182,Lcode_mapping!$C:$AA,D$1,FALSE)</f>
        <v>Obs</v>
      </c>
      <c r="E182" t="str">
        <f>VLOOKUP($A182,Lcode_mapping!$C:$AA,E$1,FALSE)</f>
        <v>RATOBSVM</v>
      </c>
      <c r="F182" t="str">
        <f>VLOOKUP($A182,Lcode_mapping!$C:$AA,F$1,FALSE)</f>
        <v>R</v>
      </c>
      <c r="G182">
        <f>VLOOKUP($A182,Lcode_mapping!$C:$AA,G$1,FALSE)</f>
        <v>1</v>
      </c>
      <c r="H182">
        <f>VLOOKUP($A182,Lcode_mapping!$C:$AA,H$1,FALSE)</f>
        <v>1</v>
      </c>
      <c r="I182">
        <f>VLOOKUP($A182,Lcode_mapping!$C:$AA,I$1,FALSE)</f>
        <v>1</v>
      </c>
      <c r="J182" t="str">
        <f>VLOOKUP($A182,Lcode_mapping!$C:$AA,J$1,FALSE)</f>
        <v xml:space="preserve">Obs rate at central epoch . </v>
      </c>
    </row>
    <row r="183" spans="1:10" x14ac:dyDescent="0.25">
      <c r="A183" s="12" t="s">
        <v>761</v>
      </c>
      <c r="B183" t="str">
        <f>VLOOKUP($A183,Lcode_mapping!$C:$AA,B$1,FALSE)</f>
        <v>CorrInfo_bX</v>
      </c>
      <c r="C183" t="str">
        <f>VLOOKUP($A183,Lcode_mapping!$C:$AA,C$1,FALSE)</f>
        <v>Observables</v>
      </c>
      <c r="D183" t="str">
        <f>VLOOKUP($A183,Lcode_mapping!$C:$AA,D$1,FALSE)</f>
        <v>Obs</v>
      </c>
      <c r="E183" t="str">
        <f>VLOOKUP($A183,Lcode_mapping!$C:$AA,E$1,FALSE)</f>
        <v>RATRESID</v>
      </c>
      <c r="F183" t="str">
        <f>VLOOKUP($A183,Lcode_mapping!$C:$AA,F$1,FALSE)</f>
        <v>R</v>
      </c>
      <c r="G183">
        <f>VLOOKUP($A183,Lcode_mapping!$C:$AA,G$1,FALSE)</f>
        <v>1</v>
      </c>
      <c r="H183">
        <f>VLOOKUP($A183,Lcode_mapping!$C:$AA,H$1,FALSE)</f>
        <v>1</v>
      </c>
      <c r="I183">
        <f>VLOOKUP($A183,Lcode_mapping!$C:$AA,I$1,FALSE)</f>
        <v>1</v>
      </c>
      <c r="J183" t="str">
        <f>VLOOKUP($A183,Lcode_mapping!$C:$AA,J$1,FALSE)</f>
        <v>Rate resid (sec per sec).</v>
      </c>
    </row>
    <row r="184" spans="1:10" x14ac:dyDescent="0.25">
      <c r="A184" s="12" t="s">
        <v>1234</v>
      </c>
      <c r="B184" t="str">
        <f>VLOOKUP($A184,Lcode_mapping!$C:$AA,B$1,FALSE)</f>
        <v>CorrInfo_bX</v>
      </c>
      <c r="C184" t="str">
        <f>VLOOKUP($A184,Lcode_mapping!$C:$AA,C$1,FALSE)</f>
        <v>Observables</v>
      </c>
      <c r="D184" t="str">
        <f>VLOOKUP($A184,Lcode_mapping!$C:$AA,D$1,FALSE)</f>
        <v>Obs</v>
      </c>
      <c r="E184" t="str">
        <f>VLOOKUP($A184,Lcode_mapping!$C:$AA,E$1,FALSE)</f>
        <v>RECSETUP</v>
      </c>
      <c r="F184" t="str">
        <f>VLOOKUP($A184,Lcode_mapping!$C:$AA,F$1,FALSE)</f>
        <v>I</v>
      </c>
      <c r="G184">
        <f>VLOOKUP($A184,Lcode_mapping!$C:$AA,G$1,FALSE)</f>
        <v>3</v>
      </c>
      <c r="H184">
        <f>VLOOKUP($A184,Lcode_mapping!$C:$AA,H$1,FALSE)</f>
        <v>1</v>
      </c>
      <c r="I184">
        <f>VLOOKUP($A184,Lcode_mapping!$C:$AA,I$1,FALSE)</f>
        <v>1</v>
      </c>
      <c r="J184" t="str">
        <f>VLOOKUP($A184,Lcode_mapping!$C:$AA,J$1,FALSE)</f>
        <v xml:space="preserve">Samp rate(kHz) Frames/PP PP/AP. </v>
      </c>
    </row>
    <row r="185" spans="1:10" x14ac:dyDescent="0.25">
      <c r="A185" s="12" t="s">
        <v>60</v>
      </c>
      <c r="B185" t="str">
        <f>VLOOKUP($A185,Lcode_mapping!$C:$AA,B$1,FALSE)</f>
        <v>CorrInfo_bX</v>
      </c>
      <c r="C185" t="str">
        <f>VLOOKUP($A185,Lcode_mapping!$C:$AA,C$1,FALSE)</f>
        <v>Observables</v>
      </c>
      <c r="D185" t="str">
        <f>VLOOKUP($A185,Lcode_mapping!$C:$AA,D$1,FALSE)</f>
        <v>Obs</v>
      </c>
      <c r="E185" t="str">
        <f>VLOOKUP($A185,Lcode_mapping!$C:$AA,E$1,FALSE)</f>
        <v>RECTRACK</v>
      </c>
      <c r="F185" t="str">
        <f>VLOOKUP($A185,Lcode_mapping!$C:$AA,F$1,FALSE)</f>
        <v>I</v>
      </c>
      <c r="G185">
        <f>VLOOKUP($A185,Lcode_mapping!$C:$AA,G$1,FALSE)</f>
        <v>2</v>
      </c>
      <c r="H185">
        <f>VLOOKUP($A185,Lcode_mapping!$C:$AA,H$1,FALSE)</f>
        <v>2</v>
      </c>
      <c r="I185">
        <f>VLOOKUP($A185,Lcode_mapping!$C:$AA,I$1,FALSE)</f>
        <v>14</v>
      </c>
      <c r="J185" t="str">
        <f>VLOOKUP($A185,Lcode_mapping!$C:$AA,J$1,FALSE)</f>
        <v xml:space="preserve">Trk table by sta sideb channel. </v>
      </c>
    </row>
    <row r="186" spans="1:10" x14ac:dyDescent="0.25">
      <c r="A186" s="12" t="s">
        <v>1020</v>
      </c>
      <c r="B186" t="str">
        <f>VLOOKUP($A186,Lcode_mapping!$C:$AA,B$1,FALSE)</f>
        <v>CorrInfo_bX</v>
      </c>
      <c r="C186" t="str">
        <f>VLOOKUP($A186,Lcode_mapping!$C:$AA,C$1,FALSE)</f>
        <v>Observables</v>
      </c>
      <c r="D186" t="str">
        <f>VLOOKUP($A186,Lcode_mapping!$C:$AA,D$1,FALSE)</f>
        <v>Obs</v>
      </c>
      <c r="E186" t="str">
        <f>VLOOKUP($A186,Lcode_mapping!$C:$AA,E$1,FALSE)</f>
        <v>REFCLKER</v>
      </c>
      <c r="F186" t="str">
        <f>VLOOKUP($A186,Lcode_mapping!$C:$AA,F$1,FALSE)</f>
        <v>R</v>
      </c>
      <c r="G186">
        <f>VLOOKUP($A186,Lcode_mapping!$C:$AA,G$1,FALSE)</f>
        <v>1</v>
      </c>
      <c r="H186">
        <f>VLOOKUP($A186,Lcode_mapping!$C:$AA,H$1,FALSE)</f>
        <v>1</v>
      </c>
      <c r="I186">
        <f>VLOOKUP($A186,Lcode_mapping!$C:$AA,I$1,FALSE)</f>
        <v>1</v>
      </c>
      <c r="J186" t="str">
        <f>VLOOKUP($A186,Lcode_mapping!$C:$AA,J$1,FALSE)</f>
        <v>Ref sta clock epoch microsec.</v>
      </c>
    </row>
    <row r="187" spans="1:10" x14ac:dyDescent="0.25">
      <c r="A187" s="12" t="s">
        <v>1570</v>
      </c>
      <c r="B187" t="str">
        <f>VLOOKUP($A187,Lcode_mapping!$C:$AA,B$1,FALSE)</f>
        <v>CorrInfo_bX</v>
      </c>
      <c r="C187" t="str">
        <f>VLOOKUP($A187,Lcode_mapping!$C:$AA,C$1,FALSE)</f>
        <v>Observables</v>
      </c>
      <c r="D187" t="str">
        <f>VLOOKUP($A187,Lcode_mapping!$C:$AA,D$1,FALSE)</f>
        <v>Obs</v>
      </c>
      <c r="E187" t="str">
        <f>VLOOKUP($A187,Lcode_mapping!$C:$AA,E$1,FALSE)</f>
        <v>RunCode</v>
      </c>
      <c r="F187" t="str">
        <f>VLOOKUP($A187,Lcode_mapping!$C:$AA,F$1,FALSE)</f>
        <v>A</v>
      </c>
      <c r="G187">
        <f>VLOOKUP($A187,Lcode_mapping!$C:$AA,G$1,FALSE)</f>
        <v>4</v>
      </c>
      <c r="H187">
        <f>VLOOKUP($A187,Lcode_mapping!$C:$AA,H$1,FALSE)</f>
        <v>1</v>
      </c>
      <c r="I187">
        <f>VLOOKUP($A187,Lcode_mapping!$C:$AA,I$1,FALSE)</f>
        <v>1</v>
      </c>
      <c r="J187" t="str">
        <f>VLOOKUP($A187,Lcode_mapping!$C:$AA,J$1,FALSE)</f>
        <v xml:space="preserve">Run code  e.g.  "329-1300". </v>
      </c>
    </row>
    <row r="188" spans="1:10" x14ac:dyDescent="0.25">
      <c r="A188" s="12" t="s">
        <v>1761</v>
      </c>
      <c r="B188" t="str">
        <f>VLOOKUP($A188,Lcode_mapping!$C:$AA,B$1,FALSE)</f>
        <v>CorrInfo_bX</v>
      </c>
      <c r="C188" t="str">
        <f>VLOOKUP($A188,Lcode_mapping!$C:$AA,C$1,FALSE)</f>
        <v>Observables</v>
      </c>
      <c r="D188" t="str">
        <f>VLOOKUP($A188,Lcode_mapping!$C:$AA,D$1,FALSE)</f>
        <v>Obs</v>
      </c>
      <c r="E188" t="str">
        <f>VLOOKUP($A188,Lcode_mapping!$C:$AA,E$1,FALSE)</f>
        <v>S2EFFREQ</v>
      </c>
      <c r="F188" t="str">
        <f>VLOOKUP($A188,Lcode_mapping!$C:$AA,F$1,FALSE)</f>
        <v>R</v>
      </c>
      <c r="G188">
        <f>VLOOKUP($A188,Lcode_mapping!$C:$AA,G$1,FALSE)</f>
        <v>1</v>
      </c>
      <c r="H188">
        <f>VLOOKUP($A188,Lcode_mapping!$C:$AA,H$1,FALSE)</f>
        <v>1</v>
      </c>
      <c r="I188">
        <f>VLOOKUP($A188,Lcode_mapping!$C:$AA,I$1,FALSE)</f>
        <v>1</v>
      </c>
      <c r="J188" t="str">
        <f>VLOOKUP($A188,Lcode_mapping!$C:$AA,J$1,FALSE)</f>
        <v>Effective group freq for ion.</v>
      </c>
    </row>
    <row r="189" spans="1:10" x14ac:dyDescent="0.25">
      <c r="A189" s="12" t="s">
        <v>1763</v>
      </c>
      <c r="B189" t="str">
        <f>VLOOKUP($A189,Lcode_mapping!$C:$AA,B$1,FALSE)</f>
        <v>CorrInfo_bX</v>
      </c>
      <c r="C189" t="str">
        <f>VLOOKUP($A189,Lcode_mapping!$C:$AA,C$1,FALSE)</f>
        <v>Observables</v>
      </c>
      <c r="D189" t="str">
        <f>VLOOKUP($A189,Lcode_mapping!$C:$AA,D$1,FALSE)</f>
        <v>Obs</v>
      </c>
      <c r="E189" t="str">
        <f>VLOOKUP($A189,Lcode_mapping!$C:$AA,E$1,FALSE)</f>
        <v>S2PHEFRQ</v>
      </c>
      <c r="F189" t="str">
        <f>VLOOKUP($A189,Lcode_mapping!$C:$AA,F$1,FALSE)</f>
        <v>R</v>
      </c>
      <c r="G189">
        <f>VLOOKUP($A189,Lcode_mapping!$C:$AA,G$1,FALSE)</f>
        <v>1</v>
      </c>
      <c r="H189">
        <f>VLOOKUP($A189,Lcode_mapping!$C:$AA,H$1,FALSE)</f>
        <v>1</v>
      </c>
      <c r="I189">
        <f>VLOOKUP($A189,Lcode_mapping!$C:$AA,I$1,FALSE)</f>
        <v>1</v>
      </c>
      <c r="J189" t="str">
        <f>VLOOKUP($A189,Lcode_mapping!$C:$AA,J$1,FALSE)</f>
        <v>Effective phase frequency</v>
      </c>
    </row>
    <row r="190" spans="1:10" x14ac:dyDescent="0.25">
      <c r="A190" s="12" t="s">
        <v>1762</v>
      </c>
      <c r="B190" t="str">
        <f>VLOOKUP($A190,Lcode_mapping!$C:$AA,B$1,FALSE)</f>
        <v>CorrInfo_bX</v>
      </c>
      <c r="C190" t="str">
        <f>VLOOKUP($A190,Lcode_mapping!$C:$AA,C$1,FALSE)</f>
        <v>Observables</v>
      </c>
      <c r="D190" t="str">
        <f>VLOOKUP($A190,Lcode_mapping!$C:$AA,D$1,FALSE)</f>
        <v>Obs</v>
      </c>
      <c r="E190" t="str">
        <f>VLOOKUP($A190,Lcode_mapping!$C:$AA,E$1,FALSE)</f>
        <v>S2REFREQ</v>
      </c>
      <c r="F190" t="str">
        <f>VLOOKUP($A190,Lcode_mapping!$C:$AA,F$1,FALSE)</f>
        <v>R</v>
      </c>
      <c r="G190">
        <f>VLOOKUP($A190,Lcode_mapping!$C:$AA,G$1,FALSE)</f>
        <v>1</v>
      </c>
      <c r="H190">
        <f>VLOOKUP($A190,Lcode_mapping!$C:$AA,H$1,FALSE)</f>
        <v>1</v>
      </c>
      <c r="I190">
        <f>VLOOKUP($A190,Lcode_mapping!$C:$AA,I$1,FALSE)</f>
        <v>1</v>
      </c>
      <c r="J190" t="str">
        <f>VLOOKUP($A190,Lcode_mapping!$C:$AA,J$1,FALSE)</f>
        <v>Effective frequency for rate</v>
      </c>
    </row>
    <row r="191" spans="1:10" x14ac:dyDescent="0.25">
      <c r="A191" s="12" t="s">
        <v>1558</v>
      </c>
      <c r="B191" t="str">
        <f>VLOOKUP($A191,Lcode_mapping!$C:$AA,B$1,FALSE)</f>
        <v>CorrInfo_bX</v>
      </c>
      <c r="C191" t="str">
        <f>VLOOKUP($A191,Lcode_mapping!$C:$AA,C$1,FALSE)</f>
        <v>Observables</v>
      </c>
      <c r="D191" t="str">
        <f>VLOOKUP($A191,Lcode_mapping!$C:$AA,D$1,FALSE)</f>
        <v>Obs</v>
      </c>
      <c r="E191" t="str">
        <f>VLOOKUP($A191,Lcode_mapping!$C:$AA,E$1,FALSE)</f>
        <v>SampleRate</v>
      </c>
      <c r="F191" t="str">
        <f>VLOOKUP($A191,Lcode_mapping!$C:$AA,F$1,FALSE)</f>
        <v>R</v>
      </c>
      <c r="G191">
        <f>VLOOKUP($A191,Lcode_mapping!$C:$AA,G$1,FALSE)</f>
        <v>1</v>
      </c>
      <c r="H191">
        <f>VLOOKUP($A191,Lcode_mapping!$C:$AA,H$1,FALSE)</f>
        <v>1</v>
      </c>
      <c r="I191">
        <f>VLOOKUP($A191,Lcode_mapping!$C:$AA,I$1,FALSE)</f>
        <v>1</v>
      </c>
      <c r="J191" t="str">
        <f>VLOOKUP($A191,Lcode_mapping!$C:$AA,J$1,FALSE)</f>
        <v>Sample rate (Hz).</v>
      </c>
    </row>
    <row r="192" spans="1:10" x14ac:dyDescent="0.25">
      <c r="A192" s="12" t="s">
        <v>775</v>
      </c>
      <c r="B192" t="str">
        <f>VLOOKUP($A192,Lcode_mapping!$C:$AA,B$1,FALSE)</f>
        <v>CorrInfo_bX</v>
      </c>
      <c r="C192" t="str">
        <f>VLOOKUP($A192,Lcode_mapping!$C:$AA,C$1,FALSE)</f>
        <v>Observables</v>
      </c>
      <c r="D192" t="str">
        <f>VLOOKUP($A192,Lcode_mapping!$C:$AA,D$1,FALSE)</f>
        <v>Obs</v>
      </c>
      <c r="E192" t="str">
        <f>VLOOKUP($A192,Lcode_mapping!$C:$AA,E$1,FALSE)</f>
        <v>SBRESID</v>
      </c>
      <c r="F192" t="str">
        <f>VLOOKUP($A192,Lcode_mapping!$C:$AA,F$1,FALSE)</f>
        <v>R</v>
      </c>
      <c r="G192">
        <f>VLOOKUP($A192,Lcode_mapping!$C:$AA,G$1,FALSE)</f>
        <v>1</v>
      </c>
      <c r="H192">
        <f>VLOOKUP($A192,Lcode_mapping!$C:$AA,H$1,FALSE)</f>
        <v>1</v>
      </c>
      <c r="I192">
        <f>VLOOKUP($A192,Lcode_mapping!$C:$AA,I$1,FALSE)</f>
        <v>1</v>
      </c>
      <c r="J192" t="str">
        <f>VLOOKUP($A192,Lcode_mapping!$C:$AA,J$1,FALSE)</f>
        <v>Single band delay residual.</v>
      </c>
    </row>
    <row r="193" spans="1:10" x14ac:dyDescent="0.25">
      <c r="A193" s="12" t="s">
        <v>781</v>
      </c>
      <c r="B193" t="str">
        <f>VLOOKUP($A193,Lcode_mapping!$C:$AA,B$1,FALSE)</f>
        <v>CorrInfo_bX</v>
      </c>
      <c r="C193" t="str">
        <f>VLOOKUP($A193,Lcode_mapping!$C:$AA,C$1,FALSE)</f>
        <v>Observables</v>
      </c>
      <c r="D193" t="str">
        <f>VLOOKUP($A193,Lcode_mapping!$C:$AA,D$1,FALSE)</f>
        <v>Obs</v>
      </c>
      <c r="E193" t="str">
        <f>VLOOKUP($A193,Lcode_mapping!$C:$AA,E$1,FALSE)</f>
        <v>SRCHPAR</v>
      </c>
      <c r="F193" t="str">
        <f>VLOOKUP($A193,Lcode_mapping!$C:$AA,F$1,FALSE)</f>
        <v>R</v>
      </c>
      <c r="G193">
        <f>VLOOKUP($A193,Lcode_mapping!$C:$AA,G$1,FALSE)</f>
        <v>6</v>
      </c>
      <c r="H193">
        <f>VLOOKUP($A193,Lcode_mapping!$C:$AA,H$1,FALSE)</f>
        <v>1</v>
      </c>
      <c r="I193">
        <f>VLOOKUP($A193,Lcode_mapping!$C:$AA,I$1,FALSE)</f>
        <v>1</v>
      </c>
      <c r="J193" t="str">
        <f>VLOOKUP($A193,Lcode_mapping!$C:$AA,J$1,FALSE)</f>
        <v>FRNGE/Fourfit search parameters.</v>
      </c>
    </row>
    <row r="194" spans="1:10" x14ac:dyDescent="0.25">
      <c r="A194" s="12" t="s">
        <v>1022</v>
      </c>
      <c r="B194" t="str">
        <f>VLOOKUP($A194,Lcode_mapping!$C:$AA,B$1,FALSE)</f>
        <v>CorrInfo_bX</v>
      </c>
      <c r="C194" t="str">
        <f>VLOOKUP($A194,Lcode_mapping!$C:$AA,C$1,FALSE)</f>
        <v>Observables</v>
      </c>
      <c r="D194" t="str">
        <f>VLOOKUP($A194,Lcode_mapping!$C:$AA,D$1,FALSE)</f>
        <v>Obs</v>
      </c>
      <c r="E194" t="str">
        <f>VLOOKUP($A194,Lcode_mapping!$C:$AA,E$1,FALSE)</f>
        <v>STARELEV</v>
      </c>
      <c r="F194" t="str">
        <f>VLOOKUP($A194,Lcode_mapping!$C:$AA,F$1,FALSE)</f>
        <v>R</v>
      </c>
      <c r="G194">
        <f>VLOOKUP($A194,Lcode_mapping!$C:$AA,G$1,FALSE)</f>
        <v>2</v>
      </c>
      <c r="H194">
        <f>VLOOKUP($A194,Lcode_mapping!$C:$AA,H$1,FALSE)</f>
        <v>1</v>
      </c>
      <c r="I194">
        <f>VLOOKUP($A194,Lcode_mapping!$C:$AA,I$1,FALSE)</f>
        <v>1</v>
      </c>
      <c r="J194" t="str">
        <f>VLOOKUP($A194,Lcode_mapping!$C:$AA,J$1,FALSE)</f>
        <v>Elev angles calc by COREL.</v>
      </c>
    </row>
    <row r="195" spans="1:10" x14ac:dyDescent="0.25">
      <c r="A195" s="12" t="s">
        <v>1562</v>
      </c>
      <c r="B195" t="str">
        <f>VLOOKUP($A195,Lcode_mapping!$C:$AA,B$1,FALSE)</f>
        <v>CorrInfo_bX</v>
      </c>
      <c r="C195" t="str">
        <f>VLOOKUP($A195,Lcode_mapping!$C:$AA,C$1,FALSE)</f>
        <v>Observables</v>
      </c>
      <c r="D195" t="str">
        <f>VLOOKUP($A195,Lcode_mapping!$C:$AA,D$1,FALSE)</f>
        <v>Obs</v>
      </c>
      <c r="E195" t="str">
        <f>VLOOKUP($A195,Lcode_mapping!$C:$AA,E$1,FALSE)</f>
        <v>StartOffset</v>
      </c>
      <c r="F195" t="str">
        <f>VLOOKUP($A195,Lcode_mapping!$C:$AA,F$1,FALSE)</f>
        <v>I</v>
      </c>
      <c r="G195">
        <f>VLOOKUP($A195,Lcode_mapping!$C:$AA,G$1,FALSE)</f>
        <v>1</v>
      </c>
      <c r="H195">
        <f>VLOOKUP($A195,Lcode_mapping!$C:$AA,H$1,FALSE)</f>
        <v>1</v>
      </c>
      <c r="I195">
        <f>VLOOKUP($A195,Lcode_mapping!$C:$AA,I$1,FALSE)</f>
        <v>1</v>
      </c>
      <c r="J195" t="str">
        <f>VLOOKUP($A195,Lcode_mapping!$C:$AA,J$1,FALSE)</f>
        <v>Offset nominal start time (sec).</v>
      </c>
    </row>
    <row r="196" spans="1:10" x14ac:dyDescent="0.25">
      <c r="A196" s="12" t="s">
        <v>783</v>
      </c>
      <c r="B196" t="str">
        <f>VLOOKUP($A196,Lcode_mapping!$C:$AA,B$1,FALSE)</f>
        <v>CorrInfo_bX</v>
      </c>
      <c r="C196" t="str">
        <f>VLOOKUP($A196,Lcode_mapping!$C:$AA,C$1,FALSE)</f>
        <v>Observables</v>
      </c>
      <c r="D196" t="str">
        <f>VLOOKUP($A196,Lcode_mapping!$C:$AA,D$1,FALSE)</f>
        <v>Obs</v>
      </c>
      <c r="E196" t="str">
        <f>VLOOKUP($A196,Lcode_mapping!$C:$AA,E$1,FALSE)</f>
        <v>STARTSEC</v>
      </c>
      <c r="F196" t="str">
        <f>VLOOKUP($A196,Lcode_mapping!$C:$AA,F$1,FALSE)</f>
        <v>R</v>
      </c>
      <c r="G196">
        <f>VLOOKUP($A196,Lcode_mapping!$C:$AA,G$1,FALSE)</f>
        <v>1</v>
      </c>
      <c r="H196">
        <f>VLOOKUP($A196,Lcode_mapping!$C:$AA,H$1,FALSE)</f>
        <v>1</v>
      </c>
      <c r="I196">
        <f>VLOOKUP($A196,Lcode_mapping!$C:$AA,I$1,FALSE)</f>
        <v>1</v>
      </c>
      <c r="J196" t="str">
        <f>VLOOKUP($A196,Lcode_mapping!$C:$AA,J$1,FALSE)</f>
        <v>Start time in sec past hour.</v>
      </c>
    </row>
    <row r="197" spans="1:10" x14ac:dyDescent="0.25">
      <c r="A197" s="12" t="s">
        <v>1561</v>
      </c>
      <c r="B197" t="str">
        <f>VLOOKUP($A197,Lcode_mapping!$C:$AA,B$1,FALSE)</f>
        <v>CorrInfo_bX</v>
      </c>
      <c r="C197" t="str">
        <f>VLOOKUP($A197,Lcode_mapping!$C:$AA,C$1,FALSE)</f>
        <v>Observables</v>
      </c>
      <c r="D197" t="str">
        <f>VLOOKUP($A197,Lcode_mapping!$C:$AA,D$1,FALSE)</f>
        <v>Obs</v>
      </c>
      <c r="E197" t="str">
        <f>VLOOKUP($A197,Lcode_mapping!$C:$AA,E$1,FALSE)</f>
        <v>StopOffset</v>
      </c>
      <c r="F197" t="str">
        <f>VLOOKUP($A197,Lcode_mapping!$C:$AA,F$1,FALSE)</f>
        <v>I</v>
      </c>
      <c r="G197">
        <f>VLOOKUP($A197,Lcode_mapping!$C:$AA,G$1,FALSE)</f>
        <v>1</v>
      </c>
      <c r="H197">
        <f>VLOOKUP($A197,Lcode_mapping!$C:$AA,H$1,FALSE)</f>
        <v>1</v>
      </c>
      <c r="I197">
        <f>VLOOKUP($A197,Lcode_mapping!$C:$AA,I$1,FALSE)</f>
        <v>1</v>
      </c>
      <c r="J197" t="str">
        <f>VLOOKUP($A197,Lcode_mapping!$C:$AA,J$1,FALSE)</f>
        <v>Offset nominal stop time (sec).</v>
      </c>
    </row>
    <row r="198" spans="1:10" x14ac:dyDescent="0.25">
      <c r="A198" s="12" t="s">
        <v>2078</v>
      </c>
      <c r="B198" t="str">
        <f>VLOOKUP($A198,Lcode_mapping!$C:$AA,B$1,FALSE)</f>
        <v>CorrInfo_bX</v>
      </c>
      <c r="C198" t="str">
        <f>VLOOKUP($A198,Lcode_mapping!$C:$AA,C$1,FALSE)</f>
        <v>Observables</v>
      </c>
      <c r="D198" t="str">
        <f>VLOOKUP($A198,Lcode_mapping!$C:$AA,D$1,FALSE)</f>
        <v>Obs</v>
      </c>
      <c r="E198" t="str">
        <f>VLOOKUP($A198,Lcode_mapping!$C:$AA,E$1,FALSE)</f>
        <v>StopSec</v>
      </c>
      <c r="F198" t="str">
        <f>VLOOKUP($A198,Lcode_mapping!$C:$AA,F$1,FALSE)</f>
        <v>R</v>
      </c>
      <c r="G198">
        <f>VLOOKUP($A198,Lcode_mapping!$C:$AA,G$1,FALSE)</f>
        <v>1</v>
      </c>
      <c r="H198">
        <f>VLOOKUP($A198,Lcode_mapping!$C:$AA,H$1,FALSE)</f>
        <v>1</v>
      </c>
      <c r="I198">
        <f>VLOOKUP($A198,Lcode_mapping!$C:$AA,I$1,FALSE)</f>
        <v>1</v>
      </c>
      <c r="J198" t="str">
        <f>VLOOKUP($A198,Lcode_mapping!$C:$AA,J$1,FALSE)</f>
        <v>Stop  time in sec past hour.</v>
      </c>
    </row>
    <row r="199" spans="1:10" x14ac:dyDescent="0.25">
      <c r="A199" s="12" t="s">
        <v>1534</v>
      </c>
      <c r="B199" t="str">
        <f>VLOOKUP($A199,Lcode_mapping!$C:$AA,B$1,FALSE)</f>
        <v>CorrInfo_bX</v>
      </c>
      <c r="C199" t="str">
        <f>VLOOKUP($A199,Lcode_mapping!$C:$AA,C$1,FALSE)</f>
        <v>Observables</v>
      </c>
      <c r="D199" t="str">
        <f>VLOOKUP($A199,Lcode_mapping!$C:$AA,D$1,FALSE)</f>
        <v>Obs</v>
      </c>
      <c r="E199" t="str">
        <f>VLOOKUP($A199,Lcode_mapping!$C:$AA,E$1,FALSE)</f>
        <v>TapeCode</v>
      </c>
      <c r="F199" t="str">
        <f>VLOOKUP($A199,Lcode_mapping!$C:$AA,F$1,FALSE)</f>
        <v>A</v>
      </c>
      <c r="G199">
        <f>VLOOKUP($A199,Lcode_mapping!$C:$AA,G$1,FALSE)</f>
        <v>3</v>
      </c>
      <c r="H199">
        <f>VLOOKUP($A199,Lcode_mapping!$C:$AA,H$1,FALSE)</f>
        <v>1</v>
      </c>
      <c r="I199">
        <f>VLOOKUP($A199,Lcode_mapping!$C:$AA,I$1,FALSE)</f>
        <v>1</v>
      </c>
      <c r="J199" t="str">
        <f>VLOOKUP($A199,Lcode_mapping!$C:$AA,J$1,FALSE)</f>
        <v>Tape quality code.</v>
      </c>
    </row>
    <row r="200" spans="1:10" x14ac:dyDescent="0.25">
      <c r="A200" s="12" t="s">
        <v>1060</v>
      </c>
      <c r="B200" t="str">
        <f>VLOOKUP($A200,Lcode_mapping!$C:$AA,B$1,FALSE)</f>
        <v>CorrInfo_bX</v>
      </c>
      <c r="C200" t="str">
        <f>VLOOKUP($A200,Lcode_mapping!$C:$AA,C$1,FALSE)</f>
        <v>Observables</v>
      </c>
      <c r="D200" t="str">
        <f>VLOOKUP($A200,Lcode_mapping!$C:$AA,D$1,FALSE)</f>
        <v>Obs</v>
      </c>
      <c r="E200" t="str">
        <f>VLOOKUP($A200,Lcode_mapping!$C:$AA,E$1,FALSE)</f>
        <v>TAPEID</v>
      </c>
      <c r="F200" t="str">
        <f>VLOOKUP($A200,Lcode_mapping!$C:$AA,F$1,FALSE)</f>
        <v>A</v>
      </c>
      <c r="G200">
        <f>VLOOKUP($A200,Lcode_mapping!$C:$AA,G$1,FALSE)</f>
        <v>4</v>
      </c>
      <c r="H200">
        <f>VLOOKUP($A200,Lcode_mapping!$C:$AA,H$1,FALSE)</f>
        <v>2</v>
      </c>
      <c r="I200">
        <f>VLOOKUP($A200,Lcode_mapping!$C:$AA,I$1,FALSE)</f>
        <v>1</v>
      </c>
      <c r="J200" t="str">
        <f>VLOOKUP($A200,Lcode_mapping!$C:$AA,J$1,FALSE)</f>
        <v>Raw data tape ID for ref and rem</v>
      </c>
    </row>
    <row r="201" spans="1:10" x14ac:dyDescent="0.25">
      <c r="A201" s="12" t="s">
        <v>2121</v>
      </c>
      <c r="B201" t="str">
        <f>VLOOKUP($A201,Lcode_mapping!$C:$AA,B$1,FALSE)</f>
        <v>CorrInfo_bX</v>
      </c>
      <c r="C201" t="str">
        <f>VLOOKUP($A201,Lcode_mapping!$C:$AA,C$1,FALSE)</f>
        <v>Observables</v>
      </c>
      <c r="D201" t="str">
        <f>VLOOKUP($A201,Lcode_mapping!$C:$AA,D$1,FALSE)</f>
        <v>Obs</v>
      </c>
      <c r="E201" t="str">
        <f>VLOOKUP($A201,Lcode_mapping!$C:$AA,E$1,FALSE)</f>
        <v>TimeSinceStart</v>
      </c>
      <c r="F201" t="str">
        <f>VLOOKUP($A201,Lcode_mapping!$C:$AA,F$1,FALSE)</f>
        <v>R</v>
      </c>
      <c r="G201">
        <f>VLOOKUP($A201,Lcode_mapping!$C:$AA,G$1,FALSE)</f>
        <v>1</v>
      </c>
      <c r="H201">
        <f>VLOOKUP($A201,Lcode_mapping!$C:$AA,H$1,FALSE)</f>
        <v>1</v>
      </c>
      <c r="I201">
        <f>VLOOKUP($A201,Lcode_mapping!$C:$AA,I$1,FALSE)</f>
        <v>1</v>
      </c>
      <c r="J201" t="str">
        <f>VLOOKUP($A201,Lcode_mapping!$C:$AA,J$1,FALSE)</f>
        <v>Interval since start time (sec).</v>
      </c>
    </row>
    <row r="202" spans="1:10" x14ac:dyDescent="0.25">
      <c r="A202" s="12" t="s">
        <v>2120</v>
      </c>
      <c r="B202" t="str">
        <f>VLOOKUP($A202,Lcode_mapping!$C:$AA,B$1,FALSE)</f>
        <v>CorrInfo_bX</v>
      </c>
      <c r="C202" t="str">
        <f>VLOOKUP($A202,Lcode_mapping!$C:$AA,C$1,FALSE)</f>
        <v>Observables</v>
      </c>
      <c r="D202" t="str">
        <f>VLOOKUP($A202,Lcode_mapping!$C:$AA,D$1,FALSE)</f>
        <v>Obs</v>
      </c>
      <c r="E202" t="str">
        <f>VLOOKUP($A202,Lcode_mapping!$C:$AA,E$1,FALSE)</f>
        <v>TotalFringeErr</v>
      </c>
      <c r="F202" t="str">
        <f>VLOOKUP($A202,Lcode_mapping!$C:$AA,F$1,FALSE)</f>
        <v>R</v>
      </c>
      <c r="G202">
        <f>VLOOKUP($A202,Lcode_mapping!$C:$AA,G$1,FALSE)</f>
        <v>1</v>
      </c>
      <c r="H202">
        <f>VLOOKUP($A202,Lcode_mapping!$C:$AA,H$1,FALSE)</f>
        <v>1</v>
      </c>
      <c r="I202">
        <f>VLOOKUP($A202,Lcode_mapping!$C:$AA,I$1,FALSE)</f>
        <v>1</v>
      </c>
      <c r="J202" t="str">
        <f>VLOOKUP($A202,Lcode_mapping!$C:$AA,J$1,FALSE)</f>
        <v>Total fringe phase error (deg)</v>
      </c>
    </row>
    <row r="203" spans="1:10" x14ac:dyDescent="0.25">
      <c r="A203" s="12" t="s">
        <v>1440</v>
      </c>
      <c r="B203" t="str">
        <f>VLOOKUP($A203,Lcode_mapping!$C:$AA,B$1,FALSE)</f>
        <v>CorrInfo_bX</v>
      </c>
      <c r="C203" t="str">
        <f>VLOOKUP($A203,Lcode_mapping!$C:$AA,C$1,FALSE)</f>
        <v>Observables</v>
      </c>
      <c r="D203" t="str">
        <f>VLOOKUP($A203,Lcode_mapping!$C:$AA,D$1,FALSE)</f>
        <v>Obs</v>
      </c>
      <c r="E203" t="str">
        <f>VLOOKUP($A203,Lcode_mapping!$C:$AA,E$1,FALSE)</f>
        <v>TOTPCENT</v>
      </c>
      <c r="F203" t="str">
        <f>VLOOKUP($A203,Lcode_mapping!$C:$AA,F$1,FALSE)</f>
        <v>R</v>
      </c>
      <c r="G203">
        <f>VLOOKUP($A203,Lcode_mapping!$C:$AA,G$1,FALSE)</f>
        <v>1</v>
      </c>
      <c r="H203">
        <f>VLOOKUP($A203,Lcode_mapping!$C:$AA,H$1,FALSE)</f>
        <v>1</v>
      </c>
      <c r="I203">
        <f>VLOOKUP($A203,Lcode_mapping!$C:$AA,I$1,FALSE)</f>
        <v>1</v>
      </c>
      <c r="J203" t="str">
        <f>VLOOKUP($A203,Lcode_mapping!$C:$AA,J$1,FALSE)</f>
        <v xml:space="preserve">Tot phase at central epoch. </v>
      </c>
    </row>
    <row r="204" spans="1:10" x14ac:dyDescent="0.25">
      <c r="A204" s="12" t="s">
        <v>1564</v>
      </c>
      <c r="B204" t="str">
        <f>VLOOKUP($A204,Lcode_mapping!$C:$AA,B$1,FALSE)</f>
        <v>CorrInfo_bX</v>
      </c>
      <c r="C204" t="str">
        <f>VLOOKUP($A204,Lcode_mapping!$C:$AA,C$1,FALSE)</f>
        <v>Observables</v>
      </c>
      <c r="D204" t="str">
        <f>VLOOKUP($A204,Lcode_mapping!$C:$AA,D$1,FALSE)</f>
        <v>Obs</v>
      </c>
      <c r="E204" t="str">
        <f>VLOOKUP($A204,Lcode_mapping!$C:$AA,E$1,FALSE)</f>
        <v>UTCCorr</v>
      </c>
      <c r="F204" t="str">
        <f>VLOOKUP($A204,Lcode_mapping!$C:$AA,F$1,FALSE)</f>
        <v>I</v>
      </c>
      <c r="G204">
        <f>VLOOKUP($A204,Lcode_mapping!$C:$AA,G$1,FALSE)</f>
        <v>6</v>
      </c>
      <c r="H204">
        <f>VLOOKUP($A204,Lcode_mapping!$C:$AA,H$1,FALSE)</f>
        <v>1</v>
      </c>
      <c r="I204">
        <f>VLOOKUP($A204,Lcode_mapping!$C:$AA,I$1,FALSE)</f>
        <v>1</v>
      </c>
      <c r="J204" t="str">
        <f>VLOOKUP($A204,Lcode_mapping!$C:$AA,J$1,FALSE)</f>
        <v>UTC time tag of correlation.</v>
      </c>
    </row>
    <row r="205" spans="1:10" x14ac:dyDescent="0.25">
      <c r="A205" s="12" t="s">
        <v>2119</v>
      </c>
      <c r="B205" t="str">
        <f>VLOOKUP($A205,Lcode_mapping!$C:$AA,B$1,FALSE)</f>
        <v>CorrInfo_bX</v>
      </c>
      <c r="C205" t="str">
        <f>VLOOKUP($A205,Lcode_mapping!$C:$AA,C$1,FALSE)</f>
        <v>Observables</v>
      </c>
      <c r="D205" t="str">
        <f>VLOOKUP($A205,Lcode_mapping!$C:$AA,D$1,FALSE)</f>
        <v>Obs</v>
      </c>
      <c r="E205" t="str">
        <f>VLOOKUP($A205,Lcode_mapping!$C:$AA,E$1,FALSE)</f>
        <v>UTCErr</v>
      </c>
      <c r="F205" t="str">
        <f>VLOOKUP($A205,Lcode_mapping!$C:$AA,F$1,FALSE)</f>
        <v>R</v>
      </c>
      <c r="G205">
        <f>VLOOKUP($A205,Lcode_mapping!$C:$AA,G$1,FALSE)</f>
        <v>1</v>
      </c>
      <c r="H205">
        <f>VLOOKUP($A205,Lcode_mapping!$C:$AA,H$1,FALSE)</f>
        <v>1</v>
      </c>
      <c r="I205">
        <f>VLOOKUP($A205,Lcode_mapping!$C:$AA,I$1,FALSE)</f>
        <v>1</v>
      </c>
      <c r="J205" t="str">
        <f>VLOOKUP($A205,Lcode_mapping!$C:$AA,J$1,FALSE)</f>
        <v>A priori UTC error site 1 (sec)</v>
      </c>
    </row>
    <row r="206" spans="1:10" x14ac:dyDescent="0.25">
      <c r="A206" s="12" t="s">
        <v>1560</v>
      </c>
      <c r="B206" t="str">
        <f>VLOOKUP($A206,Lcode_mapping!$C:$AA,B$1,FALSE)</f>
        <v>CorrInfo_bX</v>
      </c>
      <c r="C206" t="str">
        <f>VLOOKUP($A206,Lcode_mapping!$C:$AA,C$1,FALSE)</f>
        <v>Observables</v>
      </c>
      <c r="D206" t="str">
        <f>VLOOKUP($A206,Lcode_mapping!$C:$AA,D$1,FALSE)</f>
        <v>Obs</v>
      </c>
      <c r="E206" t="str">
        <f>VLOOKUP($A206,Lcode_mapping!$C:$AA,E$1,FALSE)</f>
        <v>UTCMidObs</v>
      </c>
      <c r="F206" t="str">
        <f>VLOOKUP($A206,Lcode_mapping!$C:$AA,F$1,FALSE)</f>
        <v>I</v>
      </c>
      <c r="G206">
        <f>VLOOKUP($A206,Lcode_mapping!$C:$AA,G$1,FALSE)</f>
        <v>6</v>
      </c>
      <c r="H206">
        <f>VLOOKUP($A206,Lcode_mapping!$C:$AA,H$1,FALSE)</f>
        <v>1</v>
      </c>
      <c r="I206">
        <f>VLOOKUP($A206,Lcode_mapping!$C:$AA,I$1,FALSE)</f>
        <v>1</v>
      </c>
      <c r="J206" t="str">
        <f>VLOOKUP($A206,Lcode_mapping!$C:$AA,J$1,FALSE)</f>
        <v>UTC at central epoch YMDHMS.</v>
      </c>
    </row>
    <row r="207" spans="1:10" x14ac:dyDescent="0.25">
      <c r="A207" s="12" t="s">
        <v>1569</v>
      </c>
      <c r="B207" t="str">
        <f>VLOOKUP($A207,Lcode_mapping!$C:$AA,B$1,FALSE)</f>
        <v>CorrInfo_bX</v>
      </c>
      <c r="C207" t="str">
        <f>VLOOKUP($A207,Lcode_mapping!$C:$AA,C$1,FALSE)</f>
        <v>Observables</v>
      </c>
      <c r="D207" t="str">
        <f>VLOOKUP($A207,Lcode_mapping!$C:$AA,D$1,FALSE)</f>
        <v>Obs</v>
      </c>
      <c r="E207" t="str">
        <f>VLOOKUP($A207,Lcode_mapping!$C:$AA,E$1,FALSE)</f>
        <v>UTCProc</v>
      </c>
      <c r="F207" t="str">
        <f>VLOOKUP($A207,Lcode_mapping!$C:$AA,F$1,FALSE)</f>
        <v>I</v>
      </c>
      <c r="G207">
        <f>VLOOKUP($A207,Lcode_mapping!$C:$AA,G$1,FALSE)</f>
        <v>2</v>
      </c>
      <c r="H207">
        <f>VLOOKUP($A207,Lcode_mapping!$C:$AA,H$1,FALSE)</f>
        <v>14</v>
      </c>
      <c r="I207">
        <f>VLOOKUP($A207,Lcode_mapping!$C:$AA,I$1,FALSE)</f>
        <v>1</v>
      </c>
      <c r="J207" t="str">
        <f>VLOOKUP($A207,Lcode_mapping!$C:$AA,J$1,FALSE)</f>
        <v xml:space="preserve">YDDD of COREL by sta channel. </v>
      </c>
    </row>
    <row r="208" spans="1:10" x14ac:dyDescent="0.25">
      <c r="A208" s="12" t="s">
        <v>1563</v>
      </c>
      <c r="B208" t="str">
        <f>VLOOKUP($A208,Lcode_mapping!$C:$AA,B$1,FALSE)</f>
        <v>CorrInfo_bX</v>
      </c>
      <c r="C208" t="str">
        <f>VLOOKUP($A208,Lcode_mapping!$C:$AA,C$1,FALSE)</f>
        <v>Observables</v>
      </c>
      <c r="D208" t="str">
        <f>VLOOKUP($A208,Lcode_mapping!$C:$AA,D$1,FALSE)</f>
        <v>Obs</v>
      </c>
      <c r="E208" t="str">
        <f>VLOOKUP($A208,Lcode_mapping!$C:$AA,E$1,FALSE)</f>
        <v>UTCScan</v>
      </c>
      <c r="F208" t="str">
        <f>VLOOKUP($A208,Lcode_mapping!$C:$AA,F$1,FALSE)</f>
        <v>I</v>
      </c>
      <c r="G208">
        <f>VLOOKUP($A208,Lcode_mapping!$C:$AA,G$1,FALSE)</f>
        <v>6</v>
      </c>
      <c r="H208">
        <f>VLOOKUP($A208,Lcode_mapping!$C:$AA,H$1,FALSE)</f>
        <v>1</v>
      </c>
      <c r="I208">
        <f>VLOOKUP($A208,Lcode_mapping!$C:$AA,I$1,FALSE)</f>
        <v>1</v>
      </c>
      <c r="J208" t="str">
        <f>VLOOKUP($A208,Lcode_mapping!$C:$AA,J$1,FALSE)</f>
        <v>Nominal scan time YMDHMS.</v>
      </c>
    </row>
    <row r="209" spans="1:10" x14ac:dyDescent="0.25">
      <c r="A209" s="12" t="s">
        <v>1571</v>
      </c>
      <c r="B209" t="str">
        <f>VLOOKUP($A209,Lcode_mapping!$C:$AA,B$1,FALSE)</f>
        <v>CorrInfo_bX</v>
      </c>
      <c r="C209" t="str">
        <f>VLOOKUP($A209,Lcode_mapping!$C:$AA,C$1,FALSE)</f>
        <v>Observables</v>
      </c>
      <c r="D209" t="str">
        <f>VLOOKUP($A209,Lcode_mapping!$C:$AA,D$1,FALSE)</f>
        <v>Obs</v>
      </c>
      <c r="E209" t="str">
        <f>VLOOKUP($A209,Lcode_mapping!$C:$AA,E$1,FALSE)</f>
        <v>UTCVLB2</v>
      </c>
      <c r="F209" t="str">
        <f>VLOOKUP($A209,Lcode_mapping!$C:$AA,F$1,FALSE)</f>
        <v>I</v>
      </c>
      <c r="G209">
        <f>VLOOKUP($A209,Lcode_mapping!$C:$AA,G$1,FALSE)</f>
        <v>6</v>
      </c>
      <c r="H209">
        <f>VLOOKUP($A209,Lcode_mapping!$C:$AA,H$1,FALSE)</f>
        <v>1</v>
      </c>
      <c r="I209">
        <f>VLOOKUP($A209,Lcode_mapping!$C:$AA,I$1,FALSE)</f>
        <v>1</v>
      </c>
      <c r="J209" t="str">
        <f>VLOOKUP($A209,Lcode_mapping!$C:$AA,J$1,FALSE)</f>
        <v xml:space="preserve">UTC of FRNGE proc YMDHMS. </v>
      </c>
    </row>
    <row r="210" spans="1:10" x14ac:dyDescent="0.25">
      <c r="A210" s="12" t="s">
        <v>1758</v>
      </c>
      <c r="B210" t="str">
        <f>VLOOKUP($A210,Lcode_mapping!$C:$AA,B$1,FALSE)</f>
        <v>CorrInfo_bX</v>
      </c>
      <c r="C210" t="str">
        <f>VLOOKUP($A210,Lcode_mapping!$C:$AA,C$1,FALSE)</f>
        <v>Observables</v>
      </c>
      <c r="D210" t="str">
        <f>VLOOKUP($A210,Lcode_mapping!$C:$AA,D$1,FALSE)</f>
        <v>Obs</v>
      </c>
      <c r="E210" t="str">
        <f>VLOOKUP($A210,Lcode_mapping!$C:$AA,E$1,FALSE)</f>
        <v>VFDWELL</v>
      </c>
      <c r="F210" t="str">
        <f>VLOOKUP($A210,Lcode_mapping!$C:$AA,F$1,FALSE)</f>
        <v>R</v>
      </c>
      <c r="G210">
        <f>VLOOKUP($A210,Lcode_mapping!$C:$AA,G$1,FALSE)</f>
        <v>1</v>
      </c>
      <c r="H210">
        <f>VLOOKUP($A210,Lcode_mapping!$C:$AA,H$1,FALSE)</f>
        <v>1</v>
      </c>
      <c r="I210">
        <f>VLOOKUP($A210,Lcode_mapping!$C:$AA,I$1,FALSE)</f>
        <v>1</v>
      </c>
      <c r="J210" t="str">
        <f>VLOOKUP($A210,Lcode_mapping!$C:$AA,J$1,FALSE)</f>
        <v>Dwell time in each channel (sec)</v>
      </c>
    </row>
    <row r="211" spans="1:10" x14ac:dyDescent="0.25">
      <c r="A211" s="12" t="s">
        <v>1770</v>
      </c>
      <c r="B211" t="str">
        <f>VLOOKUP($A211,Lcode_mapping!$C:$AA,B$1,FALSE)</f>
        <v>CorrInfo_bX</v>
      </c>
      <c r="C211" t="str">
        <f>VLOOKUP($A211,Lcode_mapping!$C:$AA,C$1,FALSE)</f>
        <v>Observables</v>
      </c>
      <c r="D211" t="str">
        <f>VLOOKUP($A211,Lcode_mapping!$C:$AA,D$1,FALSE)</f>
        <v>Obs</v>
      </c>
      <c r="E211" t="str">
        <f>VLOOKUP($A211,Lcode_mapping!$C:$AA,E$1,FALSE)</f>
        <v>VFRQAM</v>
      </c>
      <c r="F211" t="str">
        <f>VLOOKUP($A211,Lcode_mapping!$C:$AA,F$1,FALSE)</f>
        <v>R</v>
      </c>
      <c r="G211">
        <f>VLOOKUP($A211,Lcode_mapping!$C:$AA,G$1,FALSE)</f>
        <v>32</v>
      </c>
      <c r="H211">
        <f>VLOOKUP($A211,Lcode_mapping!$C:$AA,H$1,FALSE)</f>
        <v>1</v>
      </c>
      <c r="I211">
        <f>VLOOKUP($A211,Lcode_mapping!$C:$AA,I$1,FALSE)</f>
        <v>1</v>
      </c>
      <c r="J211" t="str">
        <f>VLOOKUP($A211,Lcode_mapping!$C:$AA,J$1,FALSE)</f>
        <v>Normalized channel amplitude</v>
      </c>
    </row>
    <row r="212" spans="1:10" x14ac:dyDescent="0.25">
      <c r="A212" s="12" t="s">
        <v>1765</v>
      </c>
      <c r="B212" t="str">
        <f>VLOOKUP($A212,Lcode_mapping!$C:$AA,B$1,FALSE)</f>
        <v>CorrInfo_bX</v>
      </c>
      <c r="C212" t="str">
        <f>VLOOKUP($A212,Lcode_mapping!$C:$AA,C$1,FALSE)</f>
        <v>Observables</v>
      </c>
      <c r="D212" t="str">
        <f>VLOOKUP($A212,Lcode_mapping!$C:$AA,D$1,FALSE)</f>
        <v>Obs</v>
      </c>
      <c r="E212" t="str">
        <f>VLOOKUP($A212,Lcode_mapping!$C:$AA,E$1,FALSE)</f>
        <v>VFRQPCAM</v>
      </c>
      <c r="F212" t="str">
        <f>VLOOKUP($A212,Lcode_mapping!$C:$AA,F$1,FALSE)</f>
        <v>R</v>
      </c>
      <c r="G212">
        <f>VLOOKUP($A212,Lcode_mapping!$C:$AA,G$1,FALSE)</f>
        <v>2</v>
      </c>
      <c r="H212">
        <f>VLOOKUP($A212,Lcode_mapping!$C:$AA,H$1,FALSE)</f>
        <v>32</v>
      </c>
      <c r="I212">
        <f>VLOOKUP($A212,Lcode_mapping!$C:$AA,I$1,FALSE)</f>
        <v>1</v>
      </c>
      <c r="J212" t="str">
        <f>VLOOKUP($A212,Lcode_mapping!$C:$AA,J$1,FALSE)</f>
        <v>Phase cal tone Amplitudes</v>
      </c>
    </row>
    <row r="213" spans="1:10" x14ac:dyDescent="0.25">
      <c r="A213" s="12" t="s">
        <v>1769</v>
      </c>
      <c r="B213" t="str">
        <f>VLOOKUP($A213,Lcode_mapping!$C:$AA,B$1,FALSE)</f>
        <v>CorrInfo_bX</v>
      </c>
      <c r="C213" t="str">
        <f>VLOOKUP($A213,Lcode_mapping!$C:$AA,C$1,FALSE)</f>
        <v>Observables</v>
      </c>
      <c r="D213" t="str">
        <f>VLOOKUP($A213,Lcode_mapping!$C:$AA,D$1,FALSE)</f>
        <v>Obs</v>
      </c>
      <c r="E213" t="str">
        <f>VLOOKUP($A213,Lcode_mapping!$C:$AA,E$1,FALSE)</f>
        <v>VFRQPCFR</v>
      </c>
      <c r="F213" t="str">
        <f>VLOOKUP($A213,Lcode_mapping!$C:$AA,F$1,FALSE)</f>
        <v>R</v>
      </c>
      <c r="G213">
        <f>VLOOKUP($A213,Lcode_mapping!$C:$AA,G$1,FALSE)</f>
        <v>2</v>
      </c>
      <c r="H213">
        <f>VLOOKUP($A213,Lcode_mapping!$C:$AA,H$1,FALSE)</f>
        <v>32</v>
      </c>
      <c r="I213">
        <f>VLOOKUP($A213,Lcode_mapping!$C:$AA,I$1,FALSE)</f>
        <v>1</v>
      </c>
      <c r="J213" t="str">
        <f>VLOOKUP($A213,Lcode_mapping!$C:$AA,J$1,FALSE)</f>
        <v>Phase cal tone Frequencies</v>
      </c>
    </row>
    <row r="214" spans="1:10" x14ac:dyDescent="0.25">
      <c r="A214" s="12" t="s">
        <v>1767</v>
      </c>
      <c r="B214" t="str">
        <f>VLOOKUP($A214,Lcode_mapping!$C:$AA,B$1,FALSE)</f>
        <v>CorrInfo_bX</v>
      </c>
      <c r="C214" t="str">
        <f>VLOOKUP($A214,Lcode_mapping!$C:$AA,C$1,FALSE)</f>
        <v>Observables</v>
      </c>
      <c r="D214" t="str">
        <f>VLOOKUP($A214,Lcode_mapping!$C:$AA,D$1,FALSE)</f>
        <v>Obs</v>
      </c>
      <c r="E214" t="str">
        <f>VLOOKUP($A214,Lcode_mapping!$C:$AA,E$1,FALSE)</f>
        <v>VFRQPCPH</v>
      </c>
      <c r="F214" t="str">
        <f>VLOOKUP($A214,Lcode_mapping!$C:$AA,F$1,FALSE)</f>
        <v>R</v>
      </c>
      <c r="G214">
        <f>VLOOKUP($A214,Lcode_mapping!$C:$AA,G$1,FALSE)</f>
        <v>2</v>
      </c>
      <c r="H214">
        <f>VLOOKUP($A214,Lcode_mapping!$C:$AA,H$1,FALSE)</f>
        <v>32</v>
      </c>
      <c r="I214">
        <f>VLOOKUP($A214,Lcode_mapping!$C:$AA,I$1,FALSE)</f>
        <v>1</v>
      </c>
      <c r="J214" t="str">
        <f>VLOOKUP($A214,Lcode_mapping!$C:$AA,J$1,FALSE)</f>
        <v>PHASE cal tone Phases</v>
      </c>
    </row>
    <row r="215" spans="1:10" x14ac:dyDescent="0.25">
      <c r="A215" s="12" t="s">
        <v>1771</v>
      </c>
      <c r="B215" t="str">
        <f>VLOOKUP($A215,Lcode_mapping!$C:$AA,B$1,FALSE)</f>
        <v>CorrInfo_bX</v>
      </c>
      <c r="C215" t="str">
        <f>VLOOKUP($A215,Lcode_mapping!$C:$AA,C$1,FALSE)</f>
        <v>Observables</v>
      </c>
      <c r="D215" t="str">
        <f>VLOOKUP($A215,Lcode_mapping!$C:$AA,D$1,FALSE)</f>
        <v>Obs</v>
      </c>
      <c r="E215" t="str">
        <f>VLOOKUP($A215,Lcode_mapping!$C:$AA,E$1,FALSE)</f>
        <v>VFRQPH</v>
      </c>
      <c r="F215" t="str">
        <f>VLOOKUP($A215,Lcode_mapping!$C:$AA,F$1,FALSE)</f>
        <v>R</v>
      </c>
      <c r="G215">
        <f>VLOOKUP($A215,Lcode_mapping!$C:$AA,G$1,FALSE)</f>
        <v>32</v>
      </c>
      <c r="H215">
        <f>VLOOKUP($A215,Lcode_mapping!$C:$AA,H$1,FALSE)</f>
        <v>1</v>
      </c>
      <c r="I215">
        <f>VLOOKUP($A215,Lcode_mapping!$C:$AA,I$1,FALSE)</f>
        <v>1</v>
      </c>
      <c r="J215" t="str">
        <f>VLOOKUP($A215,Lcode_mapping!$C:$AA,J$1,FALSE)</f>
        <v>Channel Phase (degrees)</v>
      </c>
    </row>
    <row r="216" spans="1:10" x14ac:dyDescent="0.25">
      <c r="A216" s="12" t="s">
        <v>1759</v>
      </c>
      <c r="B216" t="str">
        <f>VLOOKUP($A216,Lcode_mapping!$C:$AA,B$1,FALSE)</f>
        <v>CorrInfo_bX</v>
      </c>
      <c r="C216" t="str">
        <f>VLOOKUP($A216,Lcode_mapping!$C:$AA,C$1,FALSE)</f>
        <v>Observables</v>
      </c>
      <c r="D216" t="str">
        <f>VLOOKUP($A216,Lcode_mapping!$C:$AA,D$1,FALSE)</f>
        <v>Obs</v>
      </c>
      <c r="E216" t="str">
        <f>VLOOKUP($A216,Lcode_mapping!$C:$AA,E$1,FALSE)</f>
        <v>VIRTFREQ</v>
      </c>
      <c r="F216" t="str">
        <f>VLOOKUP($A216,Lcode_mapping!$C:$AA,F$1,FALSE)</f>
        <v>R</v>
      </c>
      <c r="G216">
        <f>VLOOKUP($A216,Lcode_mapping!$C:$AA,G$1,FALSE)</f>
        <v>32</v>
      </c>
      <c r="H216">
        <f>VLOOKUP($A216,Lcode_mapping!$C:$AA,H$1,FALSE)</f>
        <v>1</v>
      </c>
      <c r="I216">
        <f>VLOOKUP($A216,Lcode_mapping!$C:$AA,I$1,FALSE)</f>
        <v>1</v>
      </c>
      <c r="J216" t="str">
        <f>VLOOKUP($A216,Lcode_mapping!$C:$AA,J$1,FALSE)</f>
        <v>Sky Frequencies</v>
      </c>
    </row>
    <row r="217" spans="1:10" x14ac:dyDescent="0.25">
      <c r="A217" s="12" t="s">
        <v>1425</v>
      </c>
      <c r="B217" t="str">
        <f>VLOOKUP($A217,Lcode_mapping!$C:$AA,B$1,FALSE)</f>
        <v>CorrInfo_bX</v>
      </c>
      <c r="C217" t="str">
        <f>VLOOKUP($A217,Lcode_mapping!$C:$AA,C$1,FALSE)</f>
        <v>Observables</v>
      </c>
      <c r="D217" t="str">
        <f>VLOOKUP($A217,Lcode_mapping!$C:$AA,D$1,FALSE)</f>
        <v>Obs</v>
      </c>
      <c r="E217" t="str">
        <f>VLOOKUP($A217,Lcode_mapping!$C:$AA,E$1,FALSE)</f>
        <v>VLB1FILE</v>
      </c>
      <c r="F217" t="str">
        <f>VLOOKUP($A217,Lcode_mapping!$C:$AA,F$1,FALSE)</f>
        <v>A</v>
      </c>
      <c r="G217">
        <f>VLOOKUP($A217,Lcode_mapping!$C:$AA,G$1,FALSE)</f>
        <v>3</v>
      </c>
      <c r="H217">
        <f>VLOOKUP($A217,Lcode_mapping!$C:$AA,H$1,FALSE)</f>
        <v>1</v>
      </c>
      <c r="I217">
        <f>VLOOKUP($A217,Lcode_mapping!$C:$AA,I$1,FALSE)</f>
        <v>1</v>
      </c>
      <c r="J217" t="str">
        <f>VLOOKUP($A217,Lcode_mapping!$C:$AA,J$1,FALSE)</f>
        <v xml:space="preserve">Correlator file name. </v>
      </c>
    </row>
    <row r="218" spans="1:10" x14ac:dyDescent="0.25">
      <c r="A218" s="12" t="s">
        <v>32</v>
      </c>
      <c r="B218" t="str">
        <f>VLOOKUP($A218,Lcode_mapping!$C:$AA,B$1,FALSE)</f>
        <v>CorrInfo_bX</v>
      </c>
      <c r="C218" t="str">
        <f>VLOOKUP($A218,Lcode_mapping!$C:$AA,C$1,FALSE)</f>
        <v>Observables</v>
      </c>
      <c r="D218" t="str">
        <f>VLOOKUP($A218,Lcode_mapping!$C:$AA,D$1,FALSE)</f>
        <v>Obs</v>
      </c>
      <c r="E218" t="str">
        <f>VLOOKUP($A218,Lcode_mapping!$C:$AA,E$1,FALSE)</f>
        <v>VLB1XTNT</v>
      </c>
      <c r="F218" t="str">
        <f>VLOOKUP($A218,Lcode_mapping!$C:$AA,F$1,FALSE)</f>
        <v>I</v>
      </c>
      <c r="G218">
        <f>VLOOKUP($A218,Lcode_mapping!$C:$AA,G$1,FALSE)</f>
        <v>2</v>
      </c>
      <c r="H218">
        <f>VLOOKUP($A218,Lcode_mapping!$C:$AA,H$1,FALSE)</f>
        <v>14</v>
      </c>
      <c r="I218">
        <f>VLOOKUP($A218,Lcode_mapping!$C:$AA,I$1,FALSE)</f>
        <v>1</v>
      </c>
      <c r="J218" t="str">
        <f>VLOOKUP($A218,Lcode_mapping!$C:$AA,J$1,FALSE)</f>
        <v xml:space="preserve">corr. ext by sideb  channel. </v>
      </c>
    </row>
    <row r="219" spans="1:10" x14ac:dyDescent="0.25">
      <c r="A219" s="12" t="s">
        <v>64</v>
      </c>
      <c r="B219" t="str">
        <f>VLOOKUP($A219,Lcode_mapping!$C:$AA,B$1,FALSE)</f>
        <v>CorrInfo_bX</v>
      </c>
      <c r="C219" t="str">
        <f>VLOOKUP($A219,Lcode_mapping!$C:$AA,C$1,FALSE)</f>
        <v>Observables</v>
      </c>
      <c r="D219" t="str">
        <f>VLOOKUP($A219,Lcode_mapping!$C:$AA,D$1,FALSE)</f>
        <v>Obs</v>
      </c>
      <c r="E219" t="str">
        <f>VLOOKUP($A219,Lcode_mapping!$C:$AA,E$1,FALSE)</f>
        <v>VLB2PRG</v>
      </c>
      <c r="F219" t="str">
        <f>VLOOKUP($A219,Lcode_mapping!$C:$AA,F$1,FALSE)</f>
        <v>A</v>
      </c>
      <c r="G219">
        <f>VLOOKUP($A219,Lcode_mapping!$C:$AA,G$1,FALSE)</f>
        <v>3</v>
      </c>
      <c r="H219">
        <f>VLOOKUP($A219,Lcode_mapping!$C:$AA,H$1,FALSE)</f>
        <v>1</v>
      </c>
      <c r="I219">
        <f>VLOOKUP($A219,Lcode_mapping!$C:$AA,I$1,FALSE)</f>
        <v>1</v>
      </c>
      <c r="J219" t="str">
        <f>VLOOKUP($A219,Lcode_mapping!$C:$AA,J$1,FALSE)</f>
        <v xml:space="preserve">FRNGE(YYMMDD)  Fourfit(x.x) ver. </v>
      </c>
    </row>
    <row r="220" spans="1:10" x14ac:dyDescent="0.25">
      <c r="A220" s="12" t="s">
        <v>34</v>
      </c>
      <c r="B220" t="str">
        <f>VLOOKUP($A220,Lcode_mapping!$C:$AA,B$1,FALSE)</f>
        <v>CorrInfo_bX</v>
      </c>
      <c r="C220" t="str">
        <f>VLOOKUP($A220,Lcode_mapping!$C:$AA,C$1,FALSE)</f>
        <v>Observables</v>
      </c>
      <c r="D220" t="str">
        <f>VLOOKUP($A220,Lcode_mapping!$C:$AA,D$1,FALSE)</f>
        <v>Obs</v>
      </c>
      <c r="E220" t="str">
        <f>VLOOKUP($A220,Lcode_mapping!$C:$AA,E$1,FALSE)</f>
        <v>VLB2XTNT</v>
      </c>
      <c r="F220" t="str">
        <f>VLOOKUP($A220,Lcode_mapping!$C:$AA,F$1,FALSE)</f>
        <v>I</v>
      </c>
      <c r="G220">
        <f>VLOOKUP($A220,Lcode_mapping!$C:$AA,G$1,FALSE)</f>
        <v>1</v>
      </c>
      <c r="H220">
        <f>VLOOKUP($A220,Lcode_mapping!$C:$AA,H$1,FALSE)</f>
        <v>1</v>
      </c>
      <c r="I220">
        <f>VLOOKUP($A220,Lcode_mapping!$C:$AA,I$1,FALSE)</f>
        <v>1</v>
      </c>
      <c r="J220" t="str">
        <f>VLOOKUP($A220,Lcode_mapping!$C:$AA,J$1,FALSE)</f>
        <v xml:space="preserve">FRNGE extent number. </v>
      </c>
    </row>
    <row r="221" spans="1:10" x14ac:dyDescent="0.25">
      <c r="A221" s="12" t="s">
        <v>1024</v>
      </c>
      <c r="B221" t="str">
        <f>VLOOKUP($A221,Lcode_mapping!$C:$AA,B$1,FALSE)</f>
        <v>CorrInfo_bX</v>
      </c>
      <c r="C221" t="str">
        <f>VLOOKUP($A221,Lcode_mapping!$C:$AA,C$1,FALSE)</f>
        <v>Observables</v>
      </c>
      <c r="D221" t="str">
        <f>VLOOKUP($A221,Lcode_mapping!$C:$AA,D$1,FALSE)</f>
        <v>Obs</v>
      </c>
      <c r="E221" t="str">
        <f>VLOOKUP($A221,Lcode_mapping!$C:$AA,E$1,FALSE)</f>
        <v>ZDELAY</v>
      </c>
      <c r="F221" t="str">
        <f>VLOOKUP($A221,Lcode_mapping!$C:$AA,F$1,FALSE)</f>
        <v>R</v>
      </c>
      <c r="G221">
        <f>VLOOKUP($A221,Lcode_mapping!$C:$AA,G$1,FALSE)</f>
        <v>2</v>
      </c>
      <c r="H221">
        <f>VLOOKUP($A221,Lcode_mapping!$C:$AA,H$1,FALSE)</f>
        <v>1</v>
      </c>
      <c r="I221">
        <f>VLOOKUP($A221,Lcode_mapping!$C:$AA,I$1,FALSE)</f>
        <v>1</v>
      </c>
      <c r="J221" t="str">
        <f>VLOOKUP($A221,Lcode_mapping!$C:$AA,J$1,FALSE)</f>
        <v>Corel zenith atmos. delay (sec).</v>
      </c>
    </row>
    <row r="222" spans="1:10" x14ac:dyDescent="0.25">
      <c r="A222" s="12" t="s">
        <v>2165</v>
      </c>
      <c r="B222" t="e">
        <f>VLOOKUP($A222,Lcode_mapping!$C:$AA,B$1,FALSE)</f>
        <v>#N/A</v>
      </c>
      <c r="C222" t="e">
        <f>VLOOKUP($A222,Lcode_mapping!$C:$AA,C$1,FALSE)</f>
        <v>#N/A</v>
      </c>
      <c r="D222" t="e">
        <f>VLOOKUP($A222,Lcode_mapping!$C:$AA,D$1,FALSE)</f>
        <v>#N/A</v>
      </c>
      <c r="E222" t="e">
        <f>VLOOKUP($A222,Lcode_mapping!$C:$AA,E$1,FALSE)</f>
        <v>#N/A</v>
      </c>
      <c r="F222" t="e">
        <f>VLOOKUP($A222,Lcode_mapping!$C:$AA,F$1,FALSE)</f>
        <v>#N/A</v>
      </c>
      <c r="G222" t="e">
        <f>VLOOKUP($A222,Lcode_mapping!$C:$AA,G$1,FALSE)</f>
        <v>#N/A</v>
      </c>
      <c r="H222" t="e">
        <f>VLOOKUP($A222,Lcode_mapping!$C:$AA,H$1,FALSE)</f>
        <v>#N/A</v>
      </c>
      <c r="I222" t="e">
        <f>VLOOKUP($A222,Lcode_mapping!$C:$AA,I$1,FALSE)</f>
        <v>#N/A</v>
      </c>
      <c r="J222" t="e">
        <f>VLOOKUP($A222,Lcode_mapping!$C:$AA,J$1,FALSE)</f>
        <v>#N/A</v>
      </c>
    </row>
    <row r="223" spans="1:10" x14ac:dyDescent="0.25">
      <c r="A223" s="12" t="s">
        <v>1642</v>
      </c>
      <c r="B223" t="str">
        <f>VLOOKUP($A223,Lcode_mapping!$C:$AA,B$1,FALSE)</f>
        <v>DelayTheoretical</v>
      </c>
      <c r="C223" t="str">
        <f>VLOOKUP($A223,Lcode_mapping!$C:$AA,C$1,FALSE)</f>
        <v>ObsTheoretical</v>
      </c>
      <c r="D223" t="str">
        <f>VLOOKUP($A223,Lcode_mapping!$C:$AA,D$1,FALSE)</f>
        <v>Obs</v>
      </c>
      <c r="E223" t="str">
        <f>VLOOKUP($A223,Lcode_mapping!$C:$AA,E$1,FALSE)</f>
        <v>DelayTheoretical</v>
      </c>
      <c r="F223" t="str">
        <f>VLOOKUP($A223,Lcode_mapping!$C:$AA,F$1,FALSE)</f>
        <v>R</v>
      </c>
      <c r="G223">
        <f>VLOOKUP($A223,Lcode_mapping!$C:$AA,G$1,FALSE)</f>
        <v>2</v>
      </c>
      <c r="H223">
        <f>VLOOKUP($A223,Lcode_mapping!$C:$AA,H$1,FALSE)</f>
        <v>1</v>
      </c>
      <c r="I223">
        <f>VLOOKUP($A223,Lcode_mapping!$C:$AA,I$1,FALSE)</f>
        <v>1</v>
      </c>
      <c r="J223" t="str">
        <f>VLOOKUP($A223,Lcode_mapping!$C:$AA,J$1,FALSE)</f>
        <v>Consensus theoretical delay</v>
      </c>
    </row>
    <row r="224" spans="1:10" x14ac:dyDescent="0.25">
      <c r="A224" s="12" t="s">
        <v>2422</v>
      </c>
      <c r="B224" t="e">
        <f>VLOOKUP($A224,Lcode_mapping!$C:$AA,B$1,FALSE)</f>
        <v>#N/A</v>
      </c>
      <c r="C224" t="e">
        <f>VLOOKUP($A224,Lcode_mapping!$C:$AA,C$1,FALSE)</f>
        <v>#N/A</v>
      </c>
      <c r="D224" t="e">
        <f>VLOOKUP($A224,Lcode_mapping!$C:$AA,D$1,FALSE)</f>
        <v>#N/A</v>
      </c>
      <c r="E224" t="e">
        <f>VLOOKUP($A224,Lcode_mapping!$C:$AA,E$1,FALSE)</f>
        <v>#N/A</v>
      </c>
      <c r="F224" t="e">
        <f>VLOOKUP($A224,Lcode_mapping!$C:$AA,F$1,FALSE)</f>
        <v>#N/A</v>
      </c>
      <c r="G224" t="e">
        <f>VLOOKUP($A224,Lcode_mapping!$C:$AA,G$1,FALSE)</f>
        <v>#N/A</v>
      </c>
      <c r="H224" t="e">
        <f>VLOOKUP($A224,Lcode_mapping!$C:$AA,H$1,FALSE)</f>
        <v>#N/A</v>
      </c>
      <c r="I224" t="e">
        <f>VLOOKUP($A224,Lcode_mapping!$C:$AA,I$1,FALSE)</f>
        <v>#N/A</v>
      </c>
      <c r="J224" t="e">
        <f>VLOOKUP($A224,Lcode_mapping!$C:$AA,J$1,FALSE)</f>
        <v>#N/A</v>
      </c>
    </row>
    <row r="225" spans="1:10" x14ac:dyDescent="0.25">
      <c r="A225" s="12" t="s">
        <v>1494</v>
      </c>
      <c r="B225" t="str">
        <f>VLOOKUP($A225,Lcode_mapping!$C:$AA,B$1,FALSE)</f>
        <v>Edit</v>
      </c>
      <c r="C225" t="str">
        <f>VLOOKUP($A225,Lcode_mapping!$C:$AA,C$1,FALSE)</f>
        <v>ObsEdit</v>
      </c>
      <c r="D225" t="str">
        <f>VLOOKUP($A225,Lcode_mapping!$C:$AA,D$1,FALSE)</f>
        <v>Obs</v>
      </c>
      <c r="E225" t="str">
        <f>VLOOKUP($A225,Lcode_mapping!$C:$AA,E$1,FALSE)</f>
        <v>DelayFlag</v>
      </c>
      <c r="F225" t="str">
        <f>VLOOKUP($A225,Lcode_mapping!$C:$AA,F$1,FALSE)</f>
        <v>I</v>
      </c>
      <c r="G225">
        <f>VLOOKUP($A225,Lcode_mapping!$C:$AA,G$1,FALSE)</f>
        <v>1</v>
      </c>
      <c r="H225">
        <f>VLOOKUP($A225,Lcode_mapping!$C:$AA,H$1,FALSE)</f>
        <v>1</v>
      </c>
      <c r="I225">
        <f>VLOOKUP($A225,Lcode_mapping!$C:$AA,I$1,FALSE)</f>
        <v>1</v>
      </c>
      <c r="J225" t="str">
        <f>VLOOKUP($A225,Lcode_mapping!$C:$AA,J$1,FALSE)</f>
        <v>Delay unweight flag</v>
      </c>
    </row>
    <row r="226" spans="1:10" x14ac:dyDescent="0.25">
      <c r="A226" s="12" t="s">
        <v>1708</v>
      </c>
      <c r="B226" t="str">
        <f>VLOOKUP($A226,Lcode_mapping!$C:$AA,B$1,FALSE)</f>
        <v>Edit</v>
      </c>
      <c r="C226" t="str">
        <f>VLOOKUP($A226,Lcode_mapping!$C:$AA,C$1,FALSE)</f>
        <v>ObsEdit</v>
      </c>
      <c r="D226" t="str">
        <f>VLOOKUP($A226,Lcode_mapping!$C:$AA,D$1,FALSE)</f>
        <v>Obs</v>
      </c>
      <c r="E226" t="str">
        <f>VLOOKUP($A226,Lcode_mapping!$C:$AA,E$1,FALSE)</f>
        <v>PhaseFlag</v>
      </c>
      <c r="F226" t="str">
        <f>VLOOKUP($A226,Lcode_mapping!$C:$AA,F$1,FALSE)</f>
        <v>I</v>
      </c>
      <c r="G226">
        <f>VLOOKUP($A226,Lcode_mapping!$C:$AA,G$1,FALSE)</f>
        <v>1</v>
      </c>
      <c r="H226">
        <f>VLOOKUP($A226,Lcode_mapping!$C:$AA,H$1,FALSE)</f>
        <v>1</v>
      </c>
      <c r="I226">
        <f>VLOOKUP($A226,Lcode_mapping!$C:$AA,I$1,FALSE)</f>
        <v>1</v>
      </c>
      <c r="J226" t="str">
        <f>VLOOKUP($A226,Lcode_mapping!$C:$AA,J$1,FALSE)</f>
        <v>Phase unweight flag</v>
      </c>
    </row>
    <row r="227" spans="1:10" x14ac:dyDescent="0.25">
      <c r="A227" s="12" t="s">
        <v>1495</v>
      </c>
      <c r="B227" t="str">
        <f>VLOOKUP($A227,Lcode_mapping!$C:$AA,B$1,FALSE)</f>
        <v>Edit</v>
      </c>
      <c r="C227" t="str">
        <f>VLOOKUP($A227,Lcode_mapping!$C:$AA,C$1,FALSE)</f>
        <v>ObsEdit</v>
      </c>
      <c r="D227" t="str">
        <f>VLOOKUP($A227,Lcode_mapping!$C:$AA,D$1,FALSE)</f>
        <v>Obs</v>
      </c>
      <c r="E227" t="str">
        <f>VLOOKUP($A227,Lcode_mapping!$C:$AA,E$1,FALSE)</f>
        <v>RateFlag</v>
      </c>
      <c r="F227" t="str">
        <f>VLOOKUP($A227,Lcode_mapping!$C:$AA,F$1,FALSE)</f>
        <v>I</v>
      </c>
      <c r="G227">
        <f>VLOOKUP($A227,Lcode_mapping!$C:$AA,G$1,FALSE)</f>
        <v>1</v>
      </c>
      <c r="H227">
        <f>VLOOKUP($A227,Lcode_mapping!$C:$AA,H$1,FALSE)</f>
        <v>1</v>
      </c>
      <c r="I227">
        <f>VLOOKUP($A227,Lcode_mapping!$C:$AA,I$1,FALSE)</f>
        <v>1</v>
      </c>
      <c r="J227" t="str">
        <f>VLOOKUP($A227,Lcode_mapping!$C:$AA,J$1,FALSE)</f>
        <v>Delay rate unweight flag.</v>
      </c>
    </row>
    <row r="228" spans="1:10" x14ac:dyDescent="0.25">
      <c r="A228" s="12" t="s">
        <v>1614</v>
      </c>
      <c r="B228" t="str">
        <f>VLOOKUP($A228,Lcode_mapping!$C:$AA,B$1,FALSE)</f>
        <v>Edit</v>
      </c>
      <c r="C228" t="str">
        <f>VLOOKUP($A228,Lcode_mapping!$C:$AA,C$1,FALSE)</f>
        <v>ObsEdit</v>
      </c>
      <c r="D228" t="str">
        <f>VLOOKUP($A228,Lcode_mapping!$C:$AA,D$1,FALSE)</f>
        <v>Obs</v>
      </c>
      <c r="E228" t="str">
        <f>VLOOKUP($A228,Lcode_mapping!$C:$AA,E$1,FALSE)</f>
        <v>UserSup</v>
      </c>
      <c r="F228" t="str">
        <f>VLOOKUP($A228,Lcode_mapping!$C:$AA,F$1,FALSE)</f>
        <v>I</v>
      </c>
      <c r="G228">
        <f>VLOOKUP($A228,Lcode_mapping!$C:$AA,G$1,FALSE)</f>
        <v>1</v>
      </c>
      <c r="H228">
        <f>VLOOKUP($A228,Lcode_mapping!$C:$AA,H$1,FALSE)</f>
        <v>1</v>
      </c>
      <c r="I228">
        <f>VLOOKUP($A228,Lcode_mapping!$C:$AA,I$1,FALSE)</f>
        <v>1</v>
      </c>
      <c r="J228" t="str">
        <f>VLOOKUP($A228,Lcode_mapping!$C:$AA,J$1,FALSE)</f>
        <v>User action for suppression</v>
      </c>
    </row>
    <row r="229" spans="1:10" x14ac:dyDescent="0.25">
      <c r="A229" s="12" t="s">
        <v>2167</v>
      </c>
      <c r="B229" t="e">
        <f>VLOOKUP($A229,Lcode_mapping!$C:$AA,B$1,FALSE)</f>
        <v>#N/A</v>
      </c>
      <c r="C229" t="e">
        <f>VLOOKUP($A229,Lcode_mapping!$C:$AA,C$1,FALSE)</f>
        <v>#N/A</v>
      </c>
      <c r="D229" t="e">
        <f>VLOOKUP($A229,Lcode_mapping!$C:$AA,D$1,FALSE)</f>
        <v>#N/A</v>
      </c>
      <c r="E229" t="e">
        <f>VLOOKUP($A229,Lcode_mapping!$C:$AA,E$1,FALSE)</f>
        <v>#N/A</v>
      </c>
      <c r="F229" t="e">
        <f>VLOOKUP($A229,Lcode_mapping!$C:$AA,F$1,FALSE)</f>
        <v>#N/A</v>
      </c>
      <c r="G229" t="e">
        <f>VLOOKUP($A229,Lcode_mapping!$C:$AA,G$1,FALSE)</f>
        <v>#N/A</v>
      </c>
      <c r="H229" t="e">
        <f>VLOOKUP($A229,Lcode_mapping!$C:$AA,H$1,FALSE)</f>
        <v>#N/A</v>
      </c>
      <c r="I229" t="e">
        <f>VLOOKUP($A229,Lcode_mapping!$C:$AA,I$1,FALSE)</f>
        <v>#N/A</v>
      </c>
      <c r="J229" t="e">
        <f>VLOOKUP($A229,Lcode_mapping!$C:$AA,J$1,FALSE)</f>
        <v>#N/A</v>
      </c>
    </row>
    <row r="230" spans="1:10" x14ac:dyDescent="0.25">
      <c r="A230" s="12" t="s">
        <v>2168</v>
      </c>
      <c r="B230" t="e">
        <f>VLOOKUP($A230,Lcode_mapping!$C:$AA,B$1,FALSE)</f>
        <v>#N/A</v>
      </c>
      <c r="C230" t="e">
        <f>VLOOKUP($A230,Lcode_mapping!$C:$AA,C$1,FALSE)</f>
        <v>#N/A</v>
      </c>
      <c r="D230" t="e">
        <f>VLOOKUP($A230,Lcode_mapping!$C:$AA,D$1,FALSE)</f>
        <v>#N/A</v>
      </c>
      <c r="E230" t="e">
        <f>VLOOKUP($A230,Lcode_mapping!$C:$AA,E$1,FALSE)</f>
        <v>#N/A</v>
      </c>
      <c r="F230" t="e">
        <f>VLOOKUP($A230,Lcode_mapping!$C:$AA,F$1,FALSE)</f>
        <v>#N/A</v>
      </c>
      <c r="G230" t="e">
        <f>VLOOKUP($A230,Lcode_mapping!$C:$AA,G$1,FALSE)</f>
        <v>#N/A</v>
      </c>
      <c r="H230" t="e">
        <f>VLOOKUP($A230,Lcode_mapping!$C:$AA,H$1,FALSE)</f>
        <v>#N/A</v>
      </c>
      <c r="I230" t="e">
        <f>VLOOKUP($A230,Lcode_mapping!$C:$AA,I$1,FALSE)</f>
        <v>#N/A</v>
      </c>
      <c r="J230" t="e">
        <f>VLOOKUP($A230,Lcode_mapping!$C:$AA,J$1,FALSE)</f>
        <v>#N/A</v>
      </c>
    </row>
    <row r="231" spans="1:10" x14ac:dyDescent="0.25">
      <c r="A231" s="12" t="s">
        <v>2169</v>
      </c>
      <c r="B231" t="e">
        <f>VLOOKUP($A231,Lcode_mapping!$C:$AA,B$1,FALSE)</f>
        <v>#N/A</v>
      </c>
      <c r="C231" t="e">
        <f>VLOOKUP($A231,Lcode_mapping!$C:$AA,C$1,FALSE)</f>
        <v>#N/A</v>
      </c>
      <c r="D231" t="e">
        <f>VLOOKUP($A231,Lcode_mapping!$C:$AA,D$1,FALSE)</f>
        <v>#N/A</v>
      </c>
      <c r="E231" t="e">
        <f>VLOOKUP($A231,Lcode_mapping!$C:$AA,E$1,FALSE)</f>
        <v>#N/A</v>
      </c>
      <c r="F231" t="e">
        <f>VLOOKUP($A231,Lcode_mapping!$C:$AA,F$1,FALSE)</f>
        <v>#N/A</v>
      </c>
      <c r="G231" t="e">
        <f>VLOOKUP($A231,Lcode_mapping!$C:$AA,G$1,FALSE)</f>
        <v>#N/A</v>
      </c>
      <c r="H231" t="e">
        <f>VLOOKUP($A231,Lcode_mapping!$C:$AA,H$1,FALSE)</f>
        <v>#N/A</v>
      </c>
      <c r="I231" t="e">
        <f>VLOOKUP($A231,Lcode_mapping!$C:$AA,I$1,FALSE)</f>
        <v>#N/A</v>
      </c>
      <c r="J231" t="e">
        <f>VLOOKUP($A231,Lcode_mapping!$C:$AA,J$1,FALSE)</f>
        <v>#N/A</v>
      </c>
    </row>
    <row r="232" spans="1:10" x14ac:dyDescent="0.25">
      <c r="A232" s="12" t="s">
        <v>2170</v>
      </c>
      <c r="B232" t="e">
        <f>VLOOKUP($A232,Lcode_mapping!$C:$AA,B$1,FALSE)</f>
        <v>#N/A</v>
      </c>
      <c r="C232" t="e">
        <f>VLOOKUP($A232,Lcode_mapping!$C:$AA,C$1,FALSE)</f>
        <v>#N/A</v>
      </c>
      <c r="D232" t="e">
        <f>VLOOKUP($A232,Lcode_mapping!$C:$AA,D$1,FALSE)</f>
        <v>#N/A</v>
      </c>
      <c r="E232" t="e">
        <f>VLOOKUP($A232,Lcode_mapping!$C:$AA,E$1,FALSE)</f>
        <v>#N/A</v>
      </c>
      <c r="F232" t="e">
        <f>VLOOKUP($A232,Lcode_mapping!$C:$AA,F$1,FALSE)</f>
        <v>#N/A</v>
      </c>
      <c r="G232" t="e">
        <f>VLOOKUP($A232,Lcode_mapping!$C:$AA,G$1,FALSE)</f>
        <v>#N/A</v>
      </c>
      <c r="H232" t="e">
        <f>VLOOKUP($A232,Lcode_mapping!$C:$AA,H$1,FALSE)</f>
        <v>#N/A</v>
      </c>
      <c r="I232" t="e">
        <f>VLOOKUP($A232,Lcode_mapping!$C:$AA,I$1,FALSE)</f>
        <v>#N/A</v>
      </c>
      <c r="J232" t="e">
        <f>VLOOKUP($A232,Lcode_mapping!$C:$AA,J$1,FALSE)</f>
        <v>#N/A</v>
      </c>
    </row>
    <row r="233" spans="1:10" x14ac:dyDescent="0.25">
      <c r="A233" s="12" t="s">
        <v>2171</v>
      </c>
      <c r="B233" t="e">
        <f>VLOOKUP($A233,Lcode_mapping!$C:$AA,B$1,FALSE)</f>
        <v>#N/A</v>
      </c>
      <c r="C233" t="e">
        <f>VLOOKUP($A233,Lcode_mapping!$C:$AA,C$1,FALSE)</f>
        <v>#N/A</v>
      </c>
      <c r="D233" t="e">
        <f>VLOOKUP($A233,Lcode_mapping!$C:$AA,D$1,FALSE)</f>
        <v>#N/A</v>
      </c>
      <c r="E233" t="e">
        <f>VLOOKUP($A233,Lcode_mapping!$C:$AA,E$1,FALSE)</f>
        <v>#N/A</v>
      </c>
      <c r="F233" t="e">
        <f>VLOOKUP($A233,Lcode_mapping!$C:$AA,F$1,FALSE)</f>
        <v>#N/A</v>
      </c>
      <c r="G233" t="e">
        <f>VLOOKUP($A233,Lcode_mapping!$C:$AA,G$1,FALSE)</f>
        <v>#N/A</v>
      </c>
      <c r="H233" t="e">
        <f>VLOOKUP($A233,Lcode_mapping!$C:$AA,H$1,FALSE)</f>
        <v>#N/A</v>
      </c>
      <c r="I233" t="e">
        <f>VLOOKUP($A233,Lcode_mapping!$C:$AA,I$1,FALSE)</f>
        <v>#N/A</v>
      </c>
      <c r="J233" t="e">
        <f>VLOOKUP($A233,Lcode_mapping!$C:$AA,J$1,FALSE)</f>
        <v>#N/A</v>
      </c>
    </row>
    <row r="234" spans="1:10" x14ac:dyDescent="0.25">
      <c r="A234" s="12" t="s">
        <v>2172</v>
      </c>
      <c r="B234" t="e">
        <f>VLOOKUP($A234,Lcode_mapping!$C:$AA,B$1,FALSE)</f>
        <v>#N/A</v>
      </c>
      <c r="C234" t="e">
        <f>VLOOKUP($A234,Lcode_mapping!$C:$AA,C$1,FALSE)</f>
        <v>#N/A</v>
      </c>
      <c r="D234" t="e">
        <f>VLOOKUP($A234,Lcode_mapping!$C:$AA,D$1,FALSE)</f>
        <v>#N/A</v>
      </c>
      <c r="E234" t="e">
        <f>VLOOKUP($A234,Lcode_mapping!$C:$AA,E$1,FALSE)</f>
        <v>#N/A</v>
      </c>
      <c r="F234" t="e">
        <f>VLOOKUP($A234,Lcode_mapping!$C:$AA,F$1,FALSE)</f>
        <v>#N/A</v>
      </c>
      <c r="G234" t="e">
        <f>VLOOKUP($A234,Lcode_mapping!$C:$AA,G$1,FALSE)</f>
        <v>#N/A</v>
      </c>
      <c r="H234" t="e">
        <f>VLOOKUP($A234,Lcode_mapping!$C:$AA,H$1,FALSE)</f>
        <v>#N/A</v>
      </c>
      <c r="I234" t="e">
        <f>VLOOKUP($A234,Lcode_mapping!$C:$AA,I$1,FALSE)</f>
        <v>#N/A</v>
      </c>
      <c r="J234" t="e">
        <f>VLOOKUP($A234,Lcode_mapping!$C:$AA,J$1,FALSE)</f>
        <v>#N/A</v>
      </c>
    </row>
    <row r="235" spans="1:10" x14ac:dyDescent="0.25">
      <c r="A235" s="12" t="s">
        <v>1522</v>
      </c>
      <c r="B235" t="str">
        <f>VLOOKUP($A235,Lcode_mapping!$C:$AA,B$1,FALSE)</f>
        <v>ERPApriori</v>
      </c>
      <c r="C235" t="str">
        <f>VLOOKUP($A235,Lcode_mapping!$C:$AA,C$1,FALSE)</f>
        <v>Scan</v>
      </c>
      <c r="D235" t="str">
        <f>VLOOKUP($A235,Lcode_mapping!$C:$AA,D$1,FALSE)</f>
        <v>Scan</v>
      </c>
      <c r="E235" t="str">
        <f>VLOOKUP($A235,Lcode_mapping!$C:$AA,E$1,FALSE)</f>
        <v>PolarMotion</v>
      </c>
      <c r="F235" t="str">
        <f>VLOOKUP($A235,Lcode_mapping!$C:$AA,F$1,FALSE)</f>
        <v>R</v>
      </c>
      <c r="G235">
        <f>VLOOKUP($A235,Lcode_mapping!$C:$AA,G$1,FALSE)</f>
        <v>2</v>
      </c>
      <c r="H235">
        <f>VLOOKUP($A235,Lcode_mapping!$C:$AA,H$1,FALSE)</f>
        <v>1</v>
      </c>
      <c r="I235">
        <f>VLOOKUP($A235,Lcode_mapping!$C:$AA,I$1,FALSE)</f>
        <v>1</v>
      </c>
      <c r="J235" t="str">
        <f>VLOOKUP($A235,Lcode_mapping!$C:$AA,J$1,FALSE)</f>
        <v>Polar motion X &amp; Y for obs (rad)</v>
      </c>
    </row>
    <row r="236" spans="1:10" x14ac:dyDescent="0.25">
      <c r="A236" s="12" t="s">
        <v>1459</v>
      </c>
      <c r="B236" t="str">
        <f>VLOOKUP($A236,Lcode_mapping!$C:$AA,B$1,FALSE)</f>
        <v>ERPApriori</v>
      </c>
      <c r="C236" t="str">
        <f>VLOOKUP($A236,Lcode_mapping!$C:$AA,C$1,FALSE)</f>
        <v>Scan</v>
      </c>
      <c r="D236" t="str">
        <f>VLOOKUP($A236,Lcode_mapping!$C:$AA,D$1,FALSE)</f>
        <v>Scan</v>
      </c>
      <c r="E236" t="str">
        <f>VLOOKUP($A236,Lcode_mapping!$C:$AA,E$1,FALSE)</f>
        <v>UT1</v>
      </c>
      <c r="F236" t="str">
        <f>VLOOKUP($A236,Lcode_mapping!$C:$AA,F$1,FALSE)</f>
        <v>R</v>
      </c>
      <c r="G236">
        <f>VLOOKUP($A236,Lcode_mapping!$C:$AA,G$1,FALSE)</f>
        <v>1</v>
      </c>
      <c r="H236">
        <f>VLOOKUP($A236,Lcode_mapping!$C:$AA,H$1,FALSE)</f>
        <v>1</v>
      </c>
      <c r="I236">
        <f>VLOOKUP($A236,Lcode_mapping!$C:$AA,I$1,FALSE)</f>
        <v>1</v>
      </c>
      <c r="J236" t="str">
        <f>VLOOKUP($A236,Lcode_mapping!$C:$AA,J$1,FALSE)</f>
        <v>UT1 time of day for this obsvr.</v>
      </c>
    </row>
    <row r="237" spans="1:10" x14ac:dyDescent="0.25">
      <c r="A237" s="12" t="s">
        <v>1854</v>
      </c>
      <c r="B237" t="str">
        <f>VLOOKUP($A237,Lcode_mapping!$C:$AA,B$1,FALSE)</f>
        <v>ERPSetup</v>
      </c>
      <c r="C237" t="str">
        <f>VLOOKUP($A237,Lcode_mapping!$C:$AA,C$1,FALSE)</f>
        <v>Solve</v>
      </c>
      <c r="D237" t="str">
        <f>VLOOKUP($A237,Lcode_mapping!$C:$AA,D$1,FALSE)</f>
        <v>Session</v>
      </c>
      <c r="E237" t="str">
        <f>VLOOKUP($A237,Lcode_mapping!$C:$AA,E$1,FALSE)</f>
        <v>UT1OffsetConstraint</v>
      </c>
      <c r="F237" t="str">
        <f>VLOOKUP($A237,Lcode_mapping!$C:$AA,F$1,FALSE)</f>
        <v>R</v>
      </c>
      <c r="G237">
        <f>VLOOKUP($A237,Lcode_mapping!$C:$AA,G$1,FALSE)</f>
        <v>1</v>
      </c>
      <c r="H237">
        <f>VLOOKUP($A237,Lcode_mapping!$C:$AA,H$1,FALSE)</f>
        <v>1</v>
      </c>
      <c r="I237">
        <f>VLOOKUP($A237,Lcode_mapping!$C:$AA,I$1,FALSE)</f>
        <v>1</v>
      </c>
      <c r="J237" t="str">
        <f>VLOOKUP($A237,Lcode_mapping!$C:$AA,J$1,FALSE)</f>
        <v>UT1 Offset Constraint</v>
      </c>
    </row>
    <row r="238" spans="1:10" x14ac:dyDescent="0.25">
      <c r="A238" s="12" t="s">
        <v>1856</v>
      </c>
      <c r="B238" t="str">
        <f>VLOOKUP($A238,Lcode_mapping!$C:$AA,B$1,FALSE)</f>
        <v>ERPSetup</v>
      </c>
      <c r="C238" t="str">
        <f>VLOOKUP($A238,Lcode_mapping!$C:$AA,C$1,FALSE)</f>
        <v>Solve</v>
      </c>
      <c r="D238" t="str">
        <f>VLOOKUP($A238,Lcode_mapping!$C:$AA,D$1,FALSE)</f>
        <v>Session</v>
      </c>
      <c r="E238" t="str">
        <f>VLOOKUP($A238,Lcode_mapping!$C:$AA,E$1,FALSE)</f>
        <v>WobOffsetConstraint</v>
      </c>
      <c r="F238" t="str">
        <f>VLOOKUP($A238,Lcode_mapping!$C:$AA,F$1,FALSE)</f>
        <v>R</v>
      </c>
      <c r="G238">
        <f>VLOOKUP($A238,Lcode_mapping!$C:$AA,G$1,FALSE)</f>
        <v>1</v>
      </c>
      <c r="H238">
        <f>VLOOKUP($A238,Lcode_mapping!$C:$AA,H$1,FALSE)</f>
        <v>1</v>
      </c>
      <c r="I238">
        <f>VLOOKUP($A238,Lcode_mapping!$C:$AA,I$1,FALSE)</f>
        <v>1</v>
      </c>
      <c r="J238" t="str">
        <f>VLOOKUP($A238,Lcode_mapping!$C:$AA,J$1,FALSE)</f>
        <v>Polar Motion Offset Constraint</v>
      </c>
    </row>
    <row r="239" spans="1:10" x14ac:dyDescent="0.25">
      <c r="A239" s="12" t="s">
        <v>1508</v>
      </c>
      <c r="B239" t="str">
        <f>VLOOKUP($A239,Lcode_mapping!$C:$AA,B$1,FALSE)</f>
        <v>Ephemeris_kDE405JPL</v>
      </c>
      <c r="C239" t="str">
        <f>VLOOKUP($A239,Lcode_mapping!$C:$AA,C$1,FALSE)</f>
        <v>Scan</v>
      </c>
      <c r="D239" t="str">
        <f>VLOOKUP($A239,Lcode_mapping!$C:$AA,D$1,FALSE)</f>
        <v>Scan</v>
      </c>
      <c r="E239" t="str">
        <f>VLOOKUP($A239,Lcode_mapping!$C:$AA,E$1,FALSE)</f>
        <v>EarthXYZ</v>
      </c>
      <c r="F239" t="str">
        <f>VLOOKUP($A239,Lcode_mapping!$C:$AA,F$1,FALSE)</f>
        <v>R</v>
      </c>
      <c r="G239">
        <f>VLOOKUP($A239,Lcode_mapping!$C:$AA,G$1,FALSE)</f>
        <v>3</v>
      </c>
      <c r="H239">
        <f>VLOOKUP($A239,Lcode_mapping!$C:$AA,H$1,FALSE)</f>
        <v>3</v>
      </c>
      <c r="I239">
        <f>VLOOKUP($A239,Lcode_mapping!$C:$AA,I$1,FALSE)</f>
        <v>1</v>
      </c>
      <c r="J239" t="str">
        <f>VLOOKUP($A239,Lcode_mapping!$C:$AA,J$1,FALSE)</f>
        <v>Earth barycentric coordinates.</v>
      </c>
    </row>
    <row r="240" spans="1:10" x14ac:dyDescent="0.25">
      <c r="A240" s="12" t="s">
        <v>1509</v>
      </c>
      <c r="B240" t="str">
        <f>VLOOKUP($A240,Lcode_mapping!$C:$AA,B$1,FALSE)</f>
        <v>Ephemeris_kDE405JPL</v>
      </c>
      <c r="C240" t="str">
        <f>VLOOKUP($A240,Lcode_mapping!$C:$AA,C$1,FALSE)</f>
        <v>Scan</v>
      </c>
      <c r="D240" t="str">
        <f>VLOOKUP($A240,Lcode_mapping!$C:$AA,D$1,FALSE)</f>
        <v>Scan</v>
      </c>
      <c r="E240" t="str">
        <f>VLOOKUP($A240,Lcode_mapping!$C:$AA,E$1,FALSE)</f>
        <v>MoonXYZ</v>
      </c>
      <c r="F240" t="str">
        <f>VLOOKUP($A240,Lcode_mapping!$C:$AA,F$1,FALSE)</f>
        <v>R</v>
      </c>
      <c r="G240">
        <f>VLOOKUP($A240,Lcode_mapping!$C:$AA,G$1,FALSE)</f>
        <v>3</v>
      </c>
      <c r="H240">
        <f>VLOOKUP($A240,Lcode_mapping!$C:$AA,H$1,FALSE)</f>
        <v>2</v>
      </c>
      <c r="I240">
        <f>VLOOKUP($A240,Lcode_mapping!$C:$AA,I$1,FALSE)</f>
        <v>1</v>
      </c>
      <c r="J240" t="str">
        <f>VLOOKUP($A240,Lcode_mapping!$C:$AA,J$1,FALSE)</f>
        <v>Lunar geocentric coordinates.</v>
      </c>
    </row>
    <row r="241" spans="1:10" x14ac:dyDescent="0.25">
      <c r="A241" s="12" t="s">
        <v>1507</v>
      </c>
      <c r="B241" t="str">
        <f>VLOOKUP($A241,Lcode_mapping!$C:$AA,B$1,FALSE)</f>
        <v>Ephemeris_kDE405JPL</v>
      </c>
      <c r="C241" t="str">
        <f>VLOOKUP($A241,Lcode_mapping!$C:$AA,C$1,FALSE)</f>
        <v>Scan</v>
      </c>
      <c r="D241" t="str">
        <f>VLOOKUP($A241,Lcode_mapping!$C:$AA,D$1,FALSE)</f>
        <v>Scan</v>
      </c>
      <c r="E241" t="str">
        <f>VLOOKUP($A241,Lcode_mapping!$C:$AA,E$1,FALSE)</f>
        <v>SunXYZ</v>
      </c>
      <c r="F241" t="str">
        <f>VLOOKUP($A241,Lcode_mapping!$C:$AA,F$1,FALSE)</f>
        <v>R</v>
      </c>
      <c r="G241">
        <f>VLOOKUP($A241,Lcode_mapping!$C:$AA,G$1,FALSE)</f>
        <v>3</v>
      </c>
      <c r="H241">
        <f>VLOOKUP($A241,Lcode_mapping!$C:$AA,H$1,FALSE)</f>
        <v>2</v>
      </c>
      <c r="I241">
        <f>VLOOKUP($A241,Lcode_mapping!$C:$AA,I$1,FALSE)</f>
        <v>1</v>
      </c>
      <c r="J241" t="str">
        <f>VLOOKUP($A241,Lcode_mapping!$C:$AA,J$1,FALSE)</f>
        <v>Solar geocentric coordinates.</v>
      </c>
    </row>
    <row r="242" spans="1:10" x14ac:dyDescent="0.25">
      <c r="A242" s="12" t="s">
        <v>1669</v>
      </c>
      <c r="B242" t="e">
        <f>VLOOKUP($A242,Lcode_mapping!$C:$AA,B$1,FALSE)</f>
        <v>#N/A</v>
      </c>
      <c r="C242" t="e">
        <f>VLOOKUP($A242,Lcode_mapping!$C:$AA,C$1,FALSE)</f>
        <v>#N/A</v>
      </c>
      <c r="D242" t="e">
        <f>VLOOKUP($A242,Lcode_mapping!$C:$AA,D$1,FALSE)</f>
        <v>#N/A</v>
      </c>
      <c r="E242" t="e">
        <f>VLOOKUP($A242,Lcode_mapping!$C:$AA,E$1,FALSE)</f>
        <v>#N/A</v>
      </c>
      <c r="F242" t="e">
        <f>VLOOKUP($A242,Lcode_mapping!$C:$AA,F$1,FALSE)</f>
        <v>#N/A</v>
      </c>
      <c r="G242" t="e">
        <f>VLOOKUP($A242,Lcode_mapping!$C:$AA,G$1,FALSE)</f>
        <v>#N/A</v>
      </c>
      <c r="H242" t="e">
        <f>VLOOKUP($A242,Lcode_mapping!$C:$AA,H$1,FALSE)</f>
        <v>#N/A</v>
      </c>
      <c r="I242" t="e">
        <f>VLOOKUP($A242,Lcode_mapping!$C:$AA,I$1,FALSE)</f>
        <v>#N/A</v>
      </c>
      <c r="J242" t="e">
        <f>VLOOKUP($A242,Lcode_mapping!$C:$AA,J$1,FALSE)</f>
        <v>#N/A</v>
      </c>
    </row>
    <row r="243" spans="1:10" x14ac:dyDescent="0.25">
      <c r="A243" s="12" t="s">
        <v>2209</v>
      </c>
      <c r="B243" t="str">
        <f>VLOOKUP($A243,Lcode_mapping!$C:$AA,B$1,FALSE)</f>
        <v>FeedRotation</v>
      </c>
      <c r="C243" t="str">
        <f>VLOOKUP($A243,Lcode_mapping!$C:$AA,C$1,FALSE)</f>
        <v>-</v>
      </c>
      <c r="D243" t="str">
        <f>VLOOKUP($A243,Lcode_mapping!$C:$AA,D$1,FALSE)</f>
        <v>Station</v>
      </c>
      <c r="E243" t="str">
        <f>VLOOKUP($A243,Lcode_mapping!$C:$AA,E$1,FALSE)</f>
        <v>FeedRotation</v>
      </c>
      <c r="F243" t="str">
        <f>VLOOKUP($A243,Lcode_mapping!$C:$AA,F$1,FALSE)</f>
        <v>R</v>
      </c>
      <c r="G243">
        <f>VLOOKUP($A243,Lcode_mapping!$C:$AA,G$1,FALSE)</f>
        <v>2</v>
      </c>
      <c r="H243">
        <f>VLOOKUP($A243,Lcode_mapping!$C:$AA,H$1,FALSE)</f>
        <v>1</v>
      </c>
      <c r="I243">
        <f>VLOOKUP($A243,Lcode_mapping!$C:$AA,I$1,FALSE)</f>
        <v>1</v>
      </c>
      <c r="J243" t="str">
        <f>VLOOKUP($A243,Lcode_mapping!$C:$AA,J$1,FALSE)</f>
        <v>Feedhorn rotation angle.</v>
      </c>
    </row>
    <row r="244" spans="1:10" x14ac:dyDescent="0.25">
      <c r="A244" s="12" t="s">
        <v>1605</v>
      </c>
      <c r="B244" t="s">
        <v>1605</v>
      </c>
      <c r="C244" t="str">
        <f>VLOOKUP($A244,Lcode_mapping!$C:$AA,C$1,FALSE)</f>
        <v>Solve</v>
      </c>
      <c r="D244" t="str">
        <f>VLOOKUP($A244,Lcode_mapping!$C:$AA,D$1,FALSE)</f>
        <v>Obs</v>
      </c>
      <c r="E244" t="str">
        <f>VLOOKUP($A244,Lcode_mapping!$C:$AA,E$1,FALSE)</f>
        <v>FractC</v>
      </c>
      <c r="F244" t="str">
        <f>VLOOKUP($A244,Lcode_mapping!$C:$AA,F$1,FALSE)</f>
        <v>R</v>
      </c>
      <c r="G244">
        <f>VLOOKUP($A244,Lcode_mapping!$C:$AA,G$1,FALSE)</f>
        <v>1</v>
      </c>
      <c r="H244">
        <f>VLOOKUP($A244,Lcode_mapping!$C:$AA,H$1,FALSE)</f>
        <v>1</v>
      </c>
      <c r="I244">
        <f>VLOOKUP($A244,Lcode_mapping!$C:$AA,I$1,FALSE)</f>
        <v>1</v>
      </c>
      <c r="J244" t="str">
        <f>VLOOKUP($A244,Lcode_mapping!$C:$AA,J$1,FALSE)</f>
        <v>Coordinate time at site 1</v>
      </c>
    </row>
    <row r="245" spans="1:10" x14ac:dyDescent="0.25">
      <c r="A245" s="12" t="s">
        <v>2406</v>
      </c>
      <c r="B245" t="e">
        <f>VLOOKUP($A245,Lcode_mapping!$C:$AA,B$1,FALSE)</f>
        <v>#N/A</v>
      </c>
      <c r="C245" t="e">
        <f>VLOOKUP($A245,Lcode_mapping!$C:$AA,C$1,FALSE)</f>
        <v>#N/A</v>
      </c>
      <c r="D245" t="e">
        <f>VLOOKUP($A245,Lcode_mapping!$C:$AA,D$1,FALSE)</f>
        <v>#N/A</v>
      </c>
      <c r="E245" t="e">
        <f>VLOOKUP($A245,Lcode_mapping!$C:$AA,E$1,FALSE)</f>
        <v>#N/A</v>
      </c>
      <c r="F245" t="e">
        <f>VLOOKUP($A245,Lcode_mapping!$C:$AA,F$1,FALSE)</f>
        <v>#N/A</v>
      </c>
      <c r="G245" t="e">
        <f>VLOOKUP($A245,Lcode_mapping!$C:$AA,G$1,FALSE)</f>
        <v>#N/A</v>
      </c>
      <c r="H245" t="e">
        <f>VLOOKUP($A245,Lcode_mapping!$C:$AA,H$1,FALSE)</f>
        <v>#N/A</v>
      </c>
      <c r="I245" t="e">
        <f>VLOOKUP($A245,Lcode_mapping!$C:$AA,I$1,FALSE)</f>
        <v>#N/A</v>
      </c>
      <c r="J245" t="e">
        <f>VLOOKUP($A245,Lcode_mapping!$C:$AA,J$1,FALSE)</f>
        <v>#N/A</v>
      </c>
    </row>
    <row r="246" spans="1:10" x14ac:dyDescent="0.25">
      <c r="A246" s="12" t="s">
        <v>1859</v>
      </c>
      <c r="B246" t="str">
        <f>VLOOKUP($A246,Lcode_mapping!$C:$AA,B$1,FALSE)</f>
        <v>GroupBLWeights</v>
      </c>
      <c r="C246" t="str">
        <f>VLOOKUP($A246,Lcode_mapping!$C:$AA,C$1,FALSE)</f>
        <v>Session</v>
      </c>
      <c r="D246" t="str">
        <f>VLOOKUP($A246,Lcode_mapping!$C:$AA,D$1,FALSE)</f>
        <v>Session</v>
      </c>
      <c r="E246" t="str">
        <f>VLOOKUP($A246,Lcode_mapping!$C:$AA,E$1,FALSE)</f>
        <v>GroupBLWeights</v>
      </c>
      <c r="F246" t="str">
        <f>VLOOKUP($A246,Lcode_mapping!$C:$AA,F$1,FALSE)</f>
        <v>R</v>
      </c>
      <c r="G246">
        <f>VLOOKUP($A246,Lcode_mapping!$C:$AA,G$1,FALSE)</f>
        <v>2</v>
      </c>
      <c r="H246">
        <f>VLOOKUP($A246,Lcode_mapping!$C:$AA,H$1,FALSE)</f>
        <v>55</v>
      </c>
      <c r="I246">
        <f>VLOOKUP($A246,Lcode_mapping!$C:$AA,I$1,FALSE)</f>
        <v>1</v>
      </c>
      <c r="J246" t="str">
        <f>VLOOKUP($A246,Lcode_mapping!$C:$AA,J$1,FALSE)</f>
        <v>Group delay and rate re-weighting constants.</v>
      </c>
    </row>
    <row r="247" spans="1:10" x14ac:dyDescent="0.25">
      <c r="A247" s="12" t="s">
        <v>1516</v>
      </c>
      <c r="B247" t="str">
        <f>VLOOKUP($A247,Lcode_mapping!$C:$AA,B$1,FALSE)</f>
        <v>GroupDelay_bS</v>
      </c>
      <c r="C247" t="str">
        <f>VLOOKUP($A247,Lcode_mapping!$C:$AA,C$1,FALSE)</f>
        <v>Observables</v>
      </c>
      <c r="D247" t="str">
        <f>VLOOKUP($A247,Lcode_mapping!$C:$AA,D$1,FALSE)</f>
        <v>Obs</v>
      </c>
      <c r="E247" t="str">
        <f>VLOOKUP($A247,Lcode_mapping!$C:$AA,E$1,FALSE)</f>
        <v>GroupDelaySig</v>
      </c>
      <c r="F247" t="str">
        <f>VLOOKUP($A247,Lcode_mapping!$C:$AA,F$1,FALSE)</f>
        <v>R</v>
      </c>
      <c r="G247">
        <f>VLOOKUP($A247,Lcode_mapping!$C:$AA,G$1,FALSE)</f>
        <v>1</v>
      </c>
      <c r="H247">
        <f>VLOOKUP($A247,Lcode_mapping!$C:$AA,H$1,FALSE)</f>
        <v>1</v>
      </c>
      <c r="I247">
        <f>VLOOKUP($A247,Lcode_mapping!$C:$AA,I$1,FALSE)</f>
        <v>1</v>
      </c>
      <c r="J247" t="str">
        <f>VLOOKUP($A247,Lcode_mapping!$C:$AA,J$1,FALSE)</f>
        <v>Delay Measurement Sigma</v>
      </c>
    </row>
    <row r="248" spans="1:10" x14ac:dyDescent="0.25">
      <c r="A248" s="12" t="s">
        <v>1657</v>
      </c>
      <c r="B248" t="str">
        <f>VLOOKUP($A248,Lcode_mapping!$C:$AA,B$1,FALSE)</f>
        <v>GroupDelayFull_bS</v>
      </c>
      <c r="C248" t="str">
        <f>VLOOKUP($A248,Lcode_mapping!$C:$AA,C$1,FALSE)</f>
        <v>ObsEdit</v>
      </c>
      <c r="D248" t="str">
        <f>VLOOKUP($A248,Lcode_mapping!$C:$AA,D$1,FALSE)</f>
        <v>Obs</v>
      </c>
      <c r="E248" t="str">
        <f>VLOOKUP($A248,Lcode_mapping!$C:$AA,E$1,FALSE)</f>
        <v>GroupDelayFull</v>
      </c>
      <c r="F248" t="str">
        <f>VLOOKUP($A248,Lcode_mapping!$C:$AA,F$1,FALSE)</f>
        <v>R</v>
      </c>
      <c r="G248">
        <f>VLOOKUP($A248,Lcode_mapping!$C:$AA,G$1,FALSE)</f>
        <v>1</v>
      </c>
      <c r="H248">
        <f>VLOOKUP($A248,Lcode_mapping!$C:$AA,H$1,FALSE)</f>
        <v>1</v>
      </c>
      <c r="I248">
        <f>VLOOKUP($A248,Lcode_mapping!$C:$AA,I$1,FALSE)</f>
        <v>1</v>
      </c>
      <c r="J248" t="str">
        <f>VLOOKUP($A248,Lcode_mapping!$C:$AA,J$1,FALSE)</f>
        <v>Delay Observable with ambiguities resolved and added.</v>
      </c>
    </row>
    <row r="249" spans="1:10" x14ac:dyDescent="0.25">
      <c r="A249" s="12" t="s">
        <v>2090</v>
      </c>
      <c r="B249" t="str">
        <f>VLOOKUP($A249,Lcode_mapping!$C:$AA,B$1,FALSE)</f>
        <v>DataFlag_bS</v>
      </c>
      <c r="C249" t="str">
        <f>VLOOKUP($A249,Lcode_mapping!$C:$AA,C$1,FALSE)</f>
        <v>Observables</v>
      </c>
      <c r="D249" t="str">
        <f>VLOOKUP($A249,Lcode_mapping!$C:$AA,D$1,FALSE)</f>
        <v>Obs</v>
      </c>
      <c r="E249" t="str">
        <f>VLOOKUP($A249,Lcode_mapping!$C:$AA,E$1,FALSE)</f>
        <v>DataFlag</v>
      </c>
      <c r="F249" t="str">
        <f>VLOOKUP($A249,Lcode_mapping!$C:$AA,F$1,FALSE)</f>
        <v>I</v>
      </c>
      <c r="G249">
        <f>VLOOKUP($A249,Lcode_mapping!$C:$AA,G$1,FALSE)</f>
        <v>1</v>
      </c>
      <c r="H249">
        <f>VLOOKUP($A249,Lcode_mapping!$C:$AA,H$1,FALSE)</f>
        <v>1</v>
      </c>
      <c r="I249">
        <f>VLOOKUP($A249,Lcode_mapping!$C:$AA,I$1,FALSE)</f>
        <v>1</v>
      </c>
      <c r="J249" t="str">
        <f>VLOOKUP($A249,Lcode_mapping!$C:$AA,J$1,FALSE)</f>
        <v>0=OK, -1=Missing,  -2=bad,-3=sigma small, -4=sigma big</v>
      </c>
    </row>
    <row r="250" spans="1:10" x14ac:dyDescent="0.25">
      <c r="A250" s="12" t="s">
        <v>1514</v>
      </c>
      <c r="B250" t="str">
        <f>VLOOKUP($A250,Lcode_mapping!$C:$AA,B$1,FALSE)</f>
        <v>GroupRate_bS</v>
      </c>
      <c r="C250" t="str">
        <f>VLOOKUP($A250,Lcode_mapping!$C:$AA,C$1,FALSE)</f>
        <v>Observables</v>
      </c>
      <c r="D250" t="str">
        <f>VLOOKUP($A250,Lcode_mapping!$C:$AA,D$1,FALSE)</f>
        <v>Obs</v>
      </c>
      <c r="E250" t="str">
        <f>VLOOKUP($A250,Lcode_mapping!$C:$AA,E$1,FALSE)</f>
        <v>GroupRate</v>
      </c>
      <c r="F250" t="str">
        <f>VLOOKUP($A250,Lcode_mapping!$C:$AA,F$1,FALSE)</f>
        <v>R</v>
      </c>
      <c r="G250">
        <f>VLOOKUP($A250,Lcode_mapping!$C:$AA,G$1,FALSE)</f>
        <v>1</v>
      </c>
      <c r="H250">
        <f>VLOOKUP($A250,Lcode_mapping!$C:$AA,H$1,FALSE)</f>
        <v>1</v>
      </c>
      <c r="I250">
        <f>VLOOKUP($A250,Lcode_mapping!$C:$AA,I$1,FALSE)</f>
        <v>1</v>
      </c>
      <c r="J250" t="str">
        <f>VLOOKUP($A250,Lcode_mapping!$C:$AA,J$1,FALSE)</f>
        <v>Rate Observable</v>
      </c>
    </row>
    <row r="251" spans="1:10" x14ac:dyDescent="0.25">
      <c r="A251" s="12" t="s">
        <v>1517</v>
      </c>
      <c r="B251" t="str">
        <f>VLOOKUP($A251,Lcode_mapping!$C:$AA,B$1,FALSE)</f>
        <v>GroupRate_bS</v>
      </c>
      <c r="C251" t="str">
        <f>VLOOKUP($A251,Lcode_mapping!$C:$AA,C$1,FALSE)</f>
        <v>Observables</v>
      </c>
      <c r="D251" t="str">
        <f>VLOOKUP($A251,Lcode_mapping!$C:$AA,D$1,FALSE)</f>
        <v>Obs</v>
      </c>
      <c r="E251" t="str">
        <f>VLOOKUP($A251,Lcode_mapping!$C:$AA,E$1,FALSE)</f>
        <v>GroupRateSig</v>
      </c>
      <c r="F251" t="str">
        <f>VLOOKUP($A251,Lcode_mapping!$C:$AA,F$1,FALSE)</f>
        <v>R</v>
      </c>
      <c r="G251">
        <f>VLOOKUP($A251,Lcode_mapping!$C:$AA,G$1,FALSE)</f>
        <v>1</v>
      </c>
      <c r="H251">
        <f>VLOOKUP($A251,Lcode_mapping!$C:$AA,H$1,FALSE)</f>
        <v>1</v>
      </c>
      <c r="I251">
        <f>VLOOKUP($A251,Lcode_mapping!$C:$AA,I$1,FALSE)</f>
        <v>1</v>
      </c>
      <c r="J251" t="str">
        <f>VLOOKUP($A251,Lcode_mapping!$C:$AA,J$1,FALSE)</f>
        <v>Rate Measurement Sigma</v>
      </c>
    </row>
    <row r="252" spans="1:10" x14ac:dyDescent="0.25">
      <c r="A252" s="12" t="s">
        <v>1947</v>
      </c>
      <c r="B252" t="str">
        <f>VLOOKUP($A252,Lcode_mapping!$C:$AA,B$1,FALSE)</f>
        <v>Head</v>
      </c>
      <c r="C252" t="str">
        <f>VLOOKUP($A252,Lcode_mapping!$C:$AA,C$1,FALSE)</f>
        <v>-</v>
      </c>
      <c r="D252" t="str">
        <f>VLOOKUP($A252,Lcode_mapping!$C:$AA,D$1,FALSE)</f>
        <v>Session</v>
      </c>
      <c r="E252" t="str">
        <f>VLOOKUP($A252,Lcode_mapping!$C:$AA,E$1,FALSE)</f>
        <v>Correlator</v>
      </c>
      <c r="F252" t="str">
        <f>VLOOKUP($A252,Lcode_mapping!$C:$AA,F$1,FALSE)</f>
        <v>A</v>
      </c>
      <c r="G252">
        <f>VLOOKUP($A252,Lcode_mapping!$C:$AA,G$1,FALSE)</f>
        <v>16</v>
      </c>
      <c r="H252">
        <f>VLOOKUP($A252,Lcode_mapping!$C:$AA,H$1,FALSE)</f>
        <v>1</v>
      </c>
      <c r="I252">
        <f>VLOOKUP($A252,Lcode_mapping!$C:$AA,I$1,FALSE)</f>
        <v>1</v>
      </c>
      <c r="J252" t="str">
        <f>VLOOKUP($A252,Lcode_mapping!$C:$AA,J$1,FALSE)</f>
        <v>Correlator name.</v>
      </c>
    </row>
    <row r="253" spans="1:10" x14ac:dyDescent="0.25">
      <c r="A253" s="12" t="s">
        <v>1948</v>
      </c>
      <c r="B253" t="str">
        <f>VLOOKUP($A253,Lcode_mapping!$C:$AA,B$1,FALSE)</f>
        <v>Head</v>
      </c>
      <c r="C253" t="str">
        <f>VLOOKUP($A253,Lcode_mapping!$C:$AA,C$1,FALSE)</f>
        <v>-</v>
      </c>
      <c r="D253" t="str">
        <f>VLOOKUP($A253,Lcode_mapping!$C:$AA,D$1,FALSE)</f>
        <v>Session</v>
      </c>
      <c r="E253" t="str">
        <f>VLOOKUP($A253,Lcode_mapping!$C:$AA,E$1,FALSE)</f>
        <v>CorrelatorType</v>
      </c>
      <c r="F253" t="str">
        <f>VLOOKUP($A253,Lcode_mapping!$C:$AA,F$1,FALSE)</f>
        <v>A</v>
      </c>
      <c r="G253">
        <f>VLOOKUP($A253,Lcode_mapping!$C:$AA,G$1,FALSE)</f>
        <v>4</v>
      </c>
      <c r="H253">
        <f>VLOOKUP($A253,Lcode_mapping!$C:$AA,H$1,FALSE)</f>
        <v>1</v>
      </c>
      <c r="I253">
        <f>VLOOKUP($A253,Lcode_mapping!$C:$AA,I$1,FALSE)</f>
        <v>1</v>
      </c>
      <c r="J253" t="str">
        <f>VLOOKUP($A253,Lcode_mapping!$C:$AA,J$1,FALSE)</f>
        <v>Correlator type: MK3/MK4/K4 etc.</v>
      </c>
    </row>
    <row r="254" spans="1:10" x14ac:dyDescent="0.25">
      <c r="A254" s="12" t="s">
        <v>1944</v>
      </c>
      <c r="B254" t="str">
        <f>VLOOKUP($A254,Lcode_mapping!$C:$AA,B$1,FALSE)</f>
        <v>Head</v>
      </c>
      <c r="C254" t="str">
        <f>VLOOKUP($A254,Lcode_mapping!$C:$AA,C$1,FALSE)</f>
        <v>-</v>
      </c>
      <c r="D254" t="str">
        <f>VLOOKUP($A254,Lcode_mapping!$C:$AA,D$1,FALSE)</f>
        <v>Session</v>
      </c>
      <c r="E254" t="str">
        <f>VLOOKUP($A254,Lcode_mapping!$C:$AA,E$1,FALSE)</f>
        <v>ExpDescription</v>
      </c>
      <c r="F254" t="str">
        <f>VLOOKUP($A254,Lcode_mapping!$C:$AA,F$1,FALSE)</f>
        <v>A</v>
      </c>
      <c r="G254">
        <f>VLOOKUP($A254,Lcode_mapping!$C:$AA,G$1,FALSE)</f>
        <v>40</v>
      </c>
      <c r="H254">
        <f>VLOOKUP($A254,Lcode_mapping!$C:$AA,H$1,FALSE)</f>
        <v>1</v>
      </c>
      <c r="I254">
        <f>VLOOKUP($A254,Lcode_mapping!$C:$AA,I$1,FALSE)</f>
        <v>1</v>
      </c>
      <c r="J254" t="str">
        <f>VLOOKUP($A254,Lcode_mapping!$C:$AA,J$1,FALSE)</f>
        <v>Experiment description.</v>
      </c>
    </row>
    <row r="255" spans="1:10" x14ac:dyDescent="0.25">
      <c r="A255" s="12" t="s">
        <v>1945</v>
      </c>
      <c r="B255" t="str">
        <f>VLOOKUP($A255,Lcode_mapping!$C:$AA,B$1,FALSE)</f>
        <v>Head</v>
      </c>
      <c r="C255" t="str">
        <f>VLOOKUP($A255,Lcode_mapping!$C:$AA,C$1,FALSE)</f>
        <v>-</v>
      </c>
      <c r="D255" t="str">
        <f>VLOOKUP($A255,Lcode_mapping!$C:$AA,D$1,FALSE)</f>
        <v>Session</v>
      </c>
      <c r="E255" t="str">
        <f>VLOOKUP($A255,Lcode_mapping!$C:$AA,E$1,FALSE)</f>
        <v>ExpSerialNumber</v>
      </c>
      <c r="F255" t="str">
        <f>VLOOKUP($A255,Lcode_mapping!$C:$AA,F$1,FALSE)</f>
        <v>I</v>
      </c>
      <c r="G255">
        <f>VLOOKUP($A255,Lcode_mapping!$C:$AA,G$1,FALSE)</f>
        <v>1</v>
      </c>
      <c r="H255">
        <f>VLOOKUP($A255,Lcode_mapping!$C:$AA,H$1,FALSE)</f>
        <v>1</v>
      </c>
      <c r="I255">
        <f>VLOOKUP($A255,Lcode_mapping!$C:$AA,I$1,FALSE)</f>
        <v>1</v>
      </c>
      <c r="J255" t="str">
        <f>VLOOKUP($A255,Lcode_mapping!$C:$AA,J$1,FALSE)</f>
        <v>Experiment Serial Number.</v>
      </c>
    </row>
    <row r="256" spans="1:10" x14ac:dyDescent="0.25">
      <c r="A256" s="12" t="s">
        <v>1917</v>
      </c>
      <c r="B256" t="str">
        <f>VLOOKUP($A256,Lcode_mapping!$C:$AA,B$1,FALSE)</f>
        <v>Head</v>
      </c>
      <c r="C256" t="str">
        <f>VLOOKUP($A256,Lcode_mapping!$C:$AA,C$1,FALSE)</f>
        <v>-</v>
      </c>
      <c r="D256" t="str">
        <f>VLOOKUP($A256,Lcode_mapping!$C:$AA,D$1,FALSE)</f>
        <v>Session</v>
      </c>
      <c r="E256" t="str">
        <f>VLOOKUP($A256,Lcode_mapping!$C:$AA,E$1,FALSE)</f>
        <v>iUTCInterval</v>
      </c>
      <c r="F256" t="str">
        <f>VLOOKUP($A256,Lcode_mapping!$C:$AA,F$1,FALSE)</f>
        <v>I</v>
      </c>
      <c r="G256">
        <f>VLOOKUP($A256,Lcode_mapping!$C:$AA,G$1,FALSE)</f>
        <v>5</v>
      </c>
      <c r="H256">
        <f>VLOOKUP($A256,Lcode_mapping!$C:$AA,H$1,FALSE)</f>
        <v>2</v>
      </c>
      <c r="I256">
        <f>VLOOKUP($A256,Lcode_mapping!$C:$AA,I$1,FALSE)</f>
        <v>1</v>
      </c>
      <c r="J256" t="str">
        <f>VLOOKUP($A256,Lcode_mapping!$C:$AA,J$1,FALSE)</f>
        <v xml:space="preserve">First and last UTC time tag in input file. </v>
      </c>
    </row>
    <row r="257" spans="1:10" x14ac:dyDescent="0.25">
      <c r="A257" s="12" t="s">
        <v>1537</v>
      </c>
      <c r="B257" t="str">
        <f>VLOOKUP($A257,Lcode_mapping!$C:$AA,B$1,FALSE)</f>
        <v>Head</v>
      </c>
      <c r="C257" t="str">
        <f>VLOOKUP($A257,Lcode_mapping!$C:$AA,C$1,FALSE)</f>
        <v>-</v>
      </c>
      <c r="D257" t="str">
        <f>VLOOKUP($A257,Lcode_mapping!$C:$AA,D$1,FALSE)</f>
        <v>Session</v>
      </c>
      <c r="E257" t="str">
        <f>VLOOKUP($A257,Lcode_mapping!$C:$AA,E$1,FALSE)</f>
        <v>NumObs</v>
      </c>
      <c r="F257" t="str">
        <f>VLOOKUP($A257,Lcode_mapping!$C:$AA,F$1,FALSE)</f>
        <v>I</v>
      </c>
      <c r="G257">
        <f>VLOOKUP($A257,Lcode_mapping!$C:$AA,G$1,FALSE)</f>
        <v>1</v>
      </c>
      <c r="H257">
        <f>VLOOKUP($A257,Lcode_mapping!$C:$AA,H$1,FALSE)</f>
        <v>1</v>
      </c>
      <c r="I257">
        <f>VLOOKUP($A257,Lcode_mapping!$C:$AA,I$1,FALSE)</f>
        <v>1</v>
      </c>
      <c r="J257" t="str">
        <f>VLOOKUP($A257,Lcode_mapping!$C:$AA,J$1,FALSE)</f>
        <v>Number of observations in file.</v>
      </c>
    </row>
    <row r="258" spans="1:10" x14ac:dyDescent="0.25">
      <c r="A258" s="12" t="s">
        <v>2106</v>
      </c>
      <c r="B258" t="str">
        <f>VLOOKUP($A258,Lcode_mapping!$C:$AA,B$1,FALSE)</f>
        <v>Head</v>
      </c>
      <c r="C258" t="str">
        <f>VLOOKUP($A258,Lcode_mapping!$C:$AA,C$1,FALSE)</f>
        <v>-</v>
      </c>
      <c r="D258" t="str">
        <f>VLOOKUP($A258,Lcode_mapping!$C:$AA,D$1,FALSE)</f>
        <v>Session</v>
      </c>
      <c r="E258" t="str">
        <f>VLOOKUP($A258,Lcode_mapping!$C:$AA,E$1,FALSE)</f>
        <v>NumScan</v>
      </c>
      <c r="F258" t="str">
        <f>VLOOKUP($A258,Lcode_mapping!$C:$AA,F$1,FALSE)</f>
        <v>J</v>
      </c>
      <c r="G258">
        <f>VLOOKUP($A258,Lcode_mapping!$C:$AA,G$1,FALSE)</f>
        <v>1</v>
      </c>
      <c r="H258">
        <f>VLOOKUP($A258,Lcode_mapping!$C:$AA,H$1,FALSE)</f>
        <v>1</v>
      </c>
      <c r="I258">
        <f>VLOOKUP($A258,Lcode_mapping!$C:$AA,I$1,FALSE)</f>
        <v>1</v>
      </c>
      <c r="J258" t="str">
        <f>VLOOKUP($A258,Lcode_mapping!$C:$AA,J$1,FALSE)</f>
        <v>Number of Scans (Integer*4)</v>
      </c>
    </row>
    <row r="259" spans="1:10" x14ac:dyDescent="0.25">
      <c r="A259" s="12" t="s">
        <v>1536</v>
      </c>
      <c r="B259" t="str">
        <f>VLOOKUP($A259,Lcode_mapping!$C:$AA,B$1,FALSE)</f>
        <v>Head</v>
      </c>
      <c r="C259" t="str">
        <f>VLOOKUP($A259,Lcode_mapping!$C:$AA,C$1,FALSE)</f>
        <v>-</v>
      </c>
      <c r="D259" t="str">
        <f>VLOOKUP($A259,Lcode_mapping!$C:$AA,D$1,FALSE)</f>
        <v>Session</v>
      </c>
      <c r="E259" t="str">
        <f>VLOOKUP($A259,Lcode_mapping!$C:$AA,E$1,FALSE)</f>
        <v>NumSource</v>
      </c>
      <c r="F259" t="str">
        <f>VLOOKUP($A259,Lcode_mapping!$C:$AA,F$1,FALSE)</f>
        <v>I</v>
      </c>
      <c r="G259">
        <f>VLOOKUP($A259,Lcode_mapping!$C:$AA,G$1,FALSE)</f>
        <v>1</v>
      </c>
      <c r="H259">
        <f>VLOOKUP($A259,Lcode_mapping!$C:$AA,H$1,FALSE)</f>
        <v>1</v>
      </c>
      <c r="I259">
        <f>VLOOKUP($A259,Lcode_mapping!$C:$AA,I$1,FALSE)</f>
        <v>1</v>
      </c>
      <c r="J259" t="str">
        <f>VLOOKUP($A259,Lcode_mapping!$C:$AA,J$1,FALSE)</f>
        <v>Number of radio sources.</v>
      </c>
    </row>
    <row r="260" spans="1:10" x14ac:dyDescent="0.25">
      <c r="A260" s="12" t="s">
        <v>1535</v>
      </c>
      <c r="B260" t="str">
        <f>VLOOKUP($A260,Lcode_mapping!$C:$AA,B$1,FALSE)</f>
        <v>Head</v>
      </c>
      <c r="C260" t="str">
        <f>VLOOKUP($A260,Lcode_mapping!$C:$AA,C$1,FALSE)</f>
        <v>-</v>
      </c>
      <c r="D260" t="str">
        <f>VLOOKUP($A260,Lcode_mapping!$C:$AA,D$1,FALSE)</f>
        <v>Session</v>
      </c>
      <c r="E260" t="str">
        <f>VLOOKUP($A260,Lcode_mapping!$C:$AA,E$1,FALSE)</f>
        <v>NumStation</v>
      </c>
      <c r="F260" t="str">
        <f>VLOOKUP($A260,Lcode_mapping!$C:$AA,F$1,FALSE)</f>
        <v>I</v>
      </c>
      <c r="G260">
        <f>VLOOKUP($A260,Lcode_mapping!$C:$AA,G$1,FALSE)</f>
        <v>1</v>
      </c>
      <c r="H260">
        <f>VLOOKUP($A260,Lcode_mapping!$C:$AA,H$1,FALSE)</f>
        <v>1</v>
      </c>
      <c r="I260">
        <f>VLOOKUP($A260,Lcode_mapping!$C:$AA,I$1,FALSE)</f>
        <v>1</v>
      </c>
      <c r="J260" t="str">
        <f>VLOOKUP($A260,Lcode_mapping!$C:$AA,J$1,FALSE)</f>
        <v>Number of sites.</v>
      </c>
    </row>
    <row r="261" spans="1:10" x14ac:dyDescent="0.25">
      <c r="A261" s="12" t="s">
        <v>2124</v>
      </c>
      <c r="B261" t="str">
        <f>VLOOKUP($A261,Lcode_mapping!$C:$AA,B$1,FALSE)</f>
        <v>Head</v>
      </c>
      <c r="C261" t="str">
        <f>VLOOKUP($A261,Lcode_mapping!$C:$AA,C$1,FALSE)</f>
        <v>-</v>
      </c>
      <c r="D261" t="str">
        <f>VLOOKUP($A261,Lcode_mapping!$C:$AA,D$1,FALSE)</f>
        <v>Session</v>
      </c>
      <c r="E261" t="str">
        <f>VLOOKUP($A261,Lcode_mapping!$C:$AA,E$1,FALSE)</f>
        <v>PrincipalInvestigator</v>
      </c>
      <c r="F261" t="str">
        <f>VLOOKUP($A261,Lcode_mapping!$C:$AA,F$1,FALSE)</f>
        <v>A</v>
      </c>
      <c r="G261">
        <f>VLOOKUP($A261,Lcode_mapping!$C:$AA,G$1,FALSE)</f>
        <v>40</v>
      </c>
      <c r="H261">
        <f>VLOOKUP($A261,Lcode_mapping!$C:$AA,H$1,FALSE)</f>
        <v>1</v>
      </c>
      <c r="I261">
        <f>VLOOKUP($A261,Lcode_mapping!$C:$AA,I$1,FALSE)</f>
        <v>1</v>
      </c>
      <c r="J261" t="str">
        <f>VLOOKUP($A261,Lcode_mapping!$C:$AA,J$1,FALSE)</f>
        <v>Agency/contact_person/PI name.</v>
      </c>
    </row>
    <row r="262" spans="1:10" x14ac:dyDescent="0.25">
      <c r="A262" s="12" t="s">
        <v>1943</v>
      </c>
      <c r="B262" t="str">
        <f>VLOOKUP($A262,Lcode_mapping!$C:$AA,B$1,FALSE)</f>
        <v>Head</v>
      </c>
      <c r="C262" t="str">
        <f>VLOOKUP($A262,Lcode_mapping!$C:$AA,C$1,FALSE)</f>
        <v>-</v>
      </c>
      <c r="D262" t="str">
        <f>VLOOKUP($A262,Lcode_mapping!$C:$AA,D$1,FALSE)</f>
        <v>Session</v>
      </c>
      <c r="E262" t="str">
        <f>VLOOKUP($A262,Lcode_mapping!$C:$AA,E$1,FALSE)</f>
        <v>RecordingMode</v>
      </c>
      <c r="F262" t="str">
        <f>VLOOKUP($A262,Lcode_mapping!$C:$AA,F$1,FALSE)</f>
        <v>A</v>
      </c>
      <c r="G262">
        <f>VLOOKUP($A262,Lcode_mapping!$C:$AA,G$1,FALSE)</f>
        <v>40</v>
      </c>
      <c r="H262">
        <f>VLOOKUP($A262,Lcode_mapping!$C:$AA,H$1,FALSE)</f>
        <v>1</v>
      </c>
      <c r="I262">
        <f>VLOOKUP($A262,Lcode_mapping!$C:$AA,I$1,FALSE)</f>
        <v>1</v>
      </c>
      <c r="J262" t="str">
        <f>VLOOKUP($A262,Lcode_mapping!$C:$AA,J$1,FALSE)</f>
        <v>Recoding mode.</v>
      </c>
    </row>
    <row r="263" spans="1:10" x14ac:dyDescent="0.25">
      <c r="A263" s="12" t="s">
        <v>2194</v>
      </c>
      <c r="B263" t="str">
        <f>VLOOKUP($A263,Lcode_mapping!$C:$AA,B$1,FALSE)</f>
        <v>Head</v>
      </c>
      <c r="C263" t="str">
        <f>VLOOKUP($A263,Lcode_mapping!$C:$AA,C$1,FALSE)</f>
        <v>-</v>
      </c>
      <c r="D263" t="str">
        <f>VLOOKUP($A263,Lcode_mapping!$C:$AA,D$1,FALSE)</f>
        <v>Session</v>
      </c>
      <c r="E263" t="str">
        <f>VLOOKUP($A263,Lcode_mapping!$C:$AA,E$1,FALSE)</f>
        <v>SourceList</v>
      </c>
      <c r="F263" t="str">
        <f>VLOOKUP($A263,Lcode_mapping!$C:$AA,F$1,FALSE)</f>
        <v>A</v>
      </c>
      <c r="G263">
        <f>VLOOKUP($A263,Lcode_mapping!$C:$AA,G$1,FALSE)</f>
        <v>4</v>
      </c>
      <c r="H263">
        <f>VLOOKUP($A263,Lcode_mapping!$C:$AA,H$1,FALSE)</f>
        <v>70</v>
      </c>
      <c r="I263">
        <f>VLOOKUP($A263,Lcode_mapping!$C:$AA,I$1,FALSE)</f>
        <v>1</v>
      </c>
      <c r="J263" t="str">
        <f>VLOOKUP($A263,Lcode_mapping!$C:$AA,J$1,FALSE)</f>
        <v>Source names array.</v>
      </c>
    </row>
    <row r="264" spans="1:10" x14ac:dyDescent="0.25">
      <c r="A264" s="12" t="s">
        <v>2193</v>
      </c>
      <c r="B264" t="str">
        <f>VLOOKUP($A264,Lcode_mapping!$C:$AA,B$1,FALSE)</f>
        <v>Head</v>
      </c>
      <c r="C264" t="str">
        <f>VLOOKUP($A264,Lcode_mapping!$C:$AA,C$1,FALSE)</f>
        <v>-</v>
      </c>
      <c r="D264" t="str">
        <f>VLOOKUP($A264,Lcode_mapping!$C:$AA,D$1,FALSE)</f>
        <v>Session</v>
      </c>
      <c r="E264" t="str">
        <f>VLOOKUP($A264,Lcode_mapping!$C:$AA,E$1,FALSE)</f>
        <v>StationList</v>
      </c>
      <c r="F264" t="str">
        <f>VLOOKUP($A264,Lcode_mapping!$C:$AA,F$1,FALSE)</f>
        <v>A</v>
      </c>
      <c r="G264">
        <f>VLOOKUP($A264,Lcode_mapping!$C:$AA,G$1,FALSE)</f>
        <v>4</v>
      </c>
      <c r="H264">
        <f>VLOOKUP($A264,Lcode_mapping!$C:$AA,H$1,FALSE)</f>
        <v>11</v>
      </c>
      <c r="I264">
        <f>VLOOKUP($A264,Lcode_mapping!$C:$AA,I$1,FALSE)</f>
        <v>1</v>
      </c>
      <c r="J264" t="str">
        <f>VLOOKUP($A264,Lcode_mapping!$C:$AA,J$1,FALSE)</f>
        <v>Site names array.</v>
      </c>
    </row>
    <row r="265" spans="1:10" x14ac:dyDescent="0.25">
      <c r="A265" s="12" t="s">
        <v>1615</v>
      </c>
      <c r="B265" t="e">
        <f>VLOOKUP($A265,Lcode_mapping!$C:$AA,B$1,FALSE)</f>
        <v>#N/A</v>
      </c>
      <c r="C265" t="e">
        <f>VLOOKUP($A265,Lcode_mapping!$C:$AA,C$1,FALSE)</f>
        <v>#N/A</v>
      </c>
      <c r="D265" t="e">
        <f>VLOOKUP($A265,Lcode_mapping!$C:$AA,D$1,FALSE)</f>
        <v>#N/A</v>
      </c>
      <c r="E265" t="e">
        <f>VLOOKUP($A265,Lcode_mapping!$C:$AA,E$1,FALSE)</f>
        <v>#N/A</v>
      </c>
      <c r="F265" t="e">
        <f>VLOOKUP($A265,Lcode_mapping!$C:$AA,F$1,FALSE)</f>
        <v>#N/A</v>
      </c>
      <c r="G265" t="e">
        <f>VLOOKUP($A265,Lcode_mapping!$C:$AA,G$1,FALSE)</f>
        <v>#N/A</v>
      </c>
      <c r="H265" t="e">
        <f>VLOOKUP($A265,Lcode_mapping!$C:$AA,H$1,FALSE)</f>
        <v>#N/A</v>
      </c>
      <c r="I265" t="e">
        <f>VLOOKUP($A265,Lcode_mapping!$C:$AA,I$1,FALSE)</f>
        <v>#N/A</v>
      </c>
      <c r="J265" t="e">
        <f>VLOOKUP($A265,Lcode_mapping!$C:$AA,J$1,FALSE)</f>
        <v>#N/A</v>
      </c>
    </row>
    <row r="266" spans="1:10" x14ac:dyDescent="0.25">
      <c r="A266" s="12" t="s">
        <v>1956</v>
      </c>
      <c r="B266" t="str">
        <f>VLOOKUP($A266,Lcode_mapping!$C:$AA,B$1,FALSE)</f>
        <v>IonoSetup</v>
      </c>
      <c r="C266" t="str">
        <f>VLOOKUP($A266,Lcode_mapping!$C:$AA,C$1,FALSE)</f>
        <v>Solve</v>
      </c>
      <c r="D266" t="str">
        <f>VLOOKUP($A266,Lcode_mapping!$C:$AA,D$1,FALSE)</f>
        <v>Session</v>
      </c>
      <c r="E266" t="str">
        <f>VLOOKUP($A266,Lcode_mapping!$C:$AA,E$1,FALSE)</f>
        <v>IonoSolveFlag</v>
      </c>
      <c r="F266" t="str">
        <f>VLOOKUP($A266,Lcode_mapping!$C:$AA,F$1,FALSE)</f>
        <v>I</v>
      </c>
      <c r="G266">
        <f>VLOOKUP($A266,Lcode_mapping!$C:$AA,G$1,FALSE)</f>
        <v>1</v>
      </c>
      <c r="H266">
        <f>VLOOKUP($A266,Lcode_mapping!$C:$AA,H$1,FALSE)</f>
        <v>1</v>
      </c>
      <c r="I266">
        <f>VLOOKUP($A266,Lcode_mapping!$C:$AA,I$1,FALSE)</f>
        <v>1</v>
      </c>
      <c r="J266" t="str">
        <f>VLOOKUP($A266,Lcode_mapping!$C:$AA,J$1,FALSE)</f>
        <v>Bit flag indicating station has iono correction</v>
      </c>
    </row>
    <row r="267" spans="1:10" x14ac:dyDescent="0.25">
      <c r="A267" s="12" t="s">
        <v>1955</v>
      </c>
      <c r="B267" t="e">
        <f>VLOOKUP($A267,Lcode_mapping!$C:$AA,B$1,FALSE)</f>
        <v>#N/A</v>
      </c>
      <c r="C267" t="e">
        <f>VLOOKUP($A267,Lcode_mapping!$C:$AA,C$1,FALSE)</f>
        <v>#N/A</v>
      </c>
      <c r="D267" t="e">
        <f>VLOOKUP($A267,Lcode_mapping!$C:$AA,D$1,FALSE)</f>
        <v>#N/A</v>
      </c>
      <c r="E267" t="e">
        <f>VLOOKUP($A267,Lcode_mapping!$C:$AA,E$1,FALSE)</f>
        <v>#N/A</v>
      </c>
      <c r="F267" t="e">
        <f>VLOOKUP($A267,Lcode_mapping!$C:$AA,F$1,FALSE)</f>
        <v>#N/A</v>
      </c>
      <c r="G267" t="e">
        <f>VLOOKUP($A267,Lcode_mapping!$C:$AA,G$1,FALSE)</f>
        <v>#N/A</v>
      </c>
      <c r="H267" t="e">
        <f>VLOOKUP($A267,Lcode_mapping!$C:$AA,H$1,FALSE)</f>
        <v>#N/A</v>
      </c>
      <c r="I267" t="e">
        <f>VLOOKUP($A267,Lcode_mapping!$C:$AA,I$1,FALSE)</f>
        <v>#N/A</v>
      </c>
      <c r="J267" t="e">
        <f>VLOOKUP($A267,Lcode_mapping!$C:$AA,J$1,FALSE)</f>
        <v>#N/A</v>
      </c>
    </row>
    <row r="268" spans="1:10" x14ac:dyDescent="0.25">
      <c r="A268" s="12" t="s">
        <v>1524</v>
      </c>
      <c r="B268" t="str">
        <f>VLOOKUP($A268,Lcode_mapping!$C:$AA,B$1,FALSE)</f>
        <v>Met</v>
      </c>
      <c r="C268" t="str">
        <f>VLOOKUP($A268,Lcode_mapping!$C:$AA,C$1,FALSE)</f>
        <v>-</v>
      </c>
      <c r="D268" t="str">
        <f>VLOOKUP($A268,Lcode_mapping!$C:$AA,D$1,FALSE)</f>
        <v>Station</v>
      </c>
      <c r="E268" t="str">
        <f>VLOOKUP($A268,Lcode_mapping!$C:$AA,E$1,FALSE)</f>
        <v>AtmPres</v>
      </c>
      <c r="F268" t="str">
        <f>VLOOKUP($A268,Lcode_mapping!$C:$AA,F$1,FALSE)</f>
        <v>R</v>
      </c>
      <c r="G268">
        <f>VLOOKUP($A268,Lcode_mapping!$C:$AA,G$1,FALSE)</f>
        <v>2</v>
      </c>
      <c r="H268">
        <f>VLOOKUP($A268,Lcode_mapping!$C:$AA,H$1,FALSE)</f>
        <v>2</v>
      </c>
      <c r="I268">
        <f>VLOOKUP($A268,Lcode_mapping!$C:$AA,I$1,FALSE)</f>
        <v>1</v>
      </c>
      <c r="J268" t="str">
        <f>VLOOKUP($A268,Lcode_mapping!$C:$AA,J$1,FALSE)</f>
        <v>Pressure in hPa at site</v>
      </c>
    </row>
    <row r="269" spans="1:10" x14ac:dyDescent="0.25">
      <c r="A269" s="12" t="s">
        <v>1525</v>
      </c>
      <c r="B269" t="str">
        <f>VLOOKUP($A269,Lcode_mapping!$C:$AA,B$1,FALSE)</f>
        <v>Met</v>
      </c>
      <c r="C269" t="str">
        <f>VLOOKUP($A269,Lcode_mapping!$C:$AA,C$1,FALSE)</f>
        <v>-</v>
      </c>
      <c r="D269" t="str">
        <f>VLOOKUP($A269,Lcode_mapping!$C:$AA,D$1,FALSE)</f>
        <v>Station</v>
      </c>
      <c r="E269" t="str">
        <f>VLOOKUP($A269,Lcode_mapping!$C:$AA,E$1,FALSE)</f>
        <v>RelHum</v>
      </c>
      <c r="F269" t="str">
        <f>VLOOKUP($A269,Lcode_mapping!$C:$AA,F$1,FALSE)</f>
        <v>R</v>
      </c>
      <c r="G269">
        <f>VLOOKUP($A269,Lcode_mapping!$C:$AA,G$1,FALSE)</f>
        <v>2</v>
      </c>
      <c r="H269">
        <f>VLOOKUP($A269,Lcode_mapping!$C:$AA,H$1,FALSE)</f>
        <v>2</v>
      </c>
      <c r="I269">
        <f>VLOOKUP($A269,Lcode_mapping!$C:$AA,I$1,FALSE)</f>
        <v>1</v>
      </c>
      <c r="J269" t="str">
        <f>VLOOKUP($A269,Lcode_mapping!$C:$AA,J$1,FALSE)</f>
        <v>Rel.Hum. at local WX st (50%=.5)</v>
      </c>
    </row>
    <row r="270" spans="1:10" x14ac:dyDescent="0.25">
      <c r="A270" s="12" t="s">
        <v>1523</v>
      </c>
      <c r="B270" t="str">
        <f>VLOOKUP($A270,Lcode_mapping!$C:$AA,B$1,FALSE)</f>
        <v>Met</v>
      </c>
      <c r="C270" t="str">
        <f>VLOOKUP($A270,Lcode_mapping!$C:$AA,C$1,FALSE)</f>
        <v>-</v>
      </c>
      <c r="D270" t="str">
        <f>VLOOKUP($A270,Lcode_mapping!$C:$AA,D$1,FALSE)</f>
        <v>Station</v>
      </c>
      <c r="E270" t="str">
        <f>VLOOKUP($A270,Lcode_mapping!$C:$AA,E$1,FALSE)</f>
        <v>TempC</v>
      </c>
      <c r="F270" t="str">
        <f>VLOOKUP($A270,Lcode_mapping!$C:$AA,F$1,FALSE)</f>
        <v>R</v>
      </c>
      <c r="G270">
        <f>VLOOKUP($A270,Lcode_mapping!$C:$AA,G$1,FALSE)</f>
        <v>2</v>
      </c>
      <c r="H270">
        <f>VLOOKUP($A270,Lcode_mapping!$C:$AA,H$1,FALSE)</f>
        <v>2</v>
      </c>
      <c r="I270">
        <f>VLOOKUP($A270,Lcode_mapping!$C:$AA,I$1,FALSE)</f>
        <v>1</v>
      </c>
      <c r="J270" t="str">
        <f>VLOOKUP($A270,Lcode_mapping!$C:$AA,J$1,FALSE)</f>
        <v>Temp in C at local WX station</v>
      </c>
    </row>
    <row r="271" spans="1:10" x14ac:dyDescent="0.25">
      <c r="A271" s="12" t="s">
        <v>2073</v>
      </c>
      <c r="B271" t="str">
        <f>VLOOKUP($A271,Lcode_mapping!$C:$AA,B$1,FALSE)</f>
        <v>NGSQualityFlag</v>
      </c>
      <c r="C271" t="str">
        <f>VLOOKUP($A271,Lcode_mapping!$C:$AA,C$1,FALSE)</f>
        <v>ObsEdit</v>
      </c>
      <c r="D271" t="str">
        <f>VLOOKUP($A271,Lcode_mapping!$C:$AA,D$1,FALSE)</f>
        <v>Obs</v>
      </c>
      <c r="E271" t="str">
        <f>VLOOKUP($A271,Lcode_mapping!$C:$AA,E$1,FALSE)</f>
        <v>NGSQualityFlag</v>
      </c>
      <c r="F271" t="str">
        <f>VLOOKUP($A271,Lcode_mapping!$C:$AA,F$1,FALSE)</f>
        <v>I</v>
      </c>
      <c r="G271">
        <f>VLOOKUP($A271,Lcode_mapping!$C:$AA,G$1,FALSE)</f>
        <v>1</v>
      </c>
      <c r="H271">
        <f>VLOOKUP($A271,Lcode_mapping!$C:$AA,H$1,FALSE)</f>
        <v>1</v>
      </c>
      <c r="I271">
        <f>VLOOKUP($A271,Lcode_mapping!$C:$AA,I$1,FALSE)</f>
        <v>1</v>
      </c>
      <c r="J271" t="str">
        <f>VLOOKUP($A271,Lcode_mapping!$C:$AA,J$1,FALSE)</f>
        <v>Zero means good. A Combination of DelayFlag and IonCode</v>
      </c>
    </row>
    <row r="272" spans="1:10" x14ac:dyDescent="0.25">
      <c r="A272" s="12" t="s">
        <v>2143</v>
      </c>
      <c r="B272" t="str">
        <f>VLOOKUP($A272,Lcode_mapping!$C:$AA,B$1,FALSE)</f>
        <v>NumGroupAmbig_bS</v>
      </c>
      <c r="C272" t="str">
        <f>VLOOKUP($A272,Lcode_mapping!$C:$AA,C$1,FALSE)</f>
        <v>ObsEdit</v>
      </c>
      <c r="D272" t="str">
        <f>VLOOKUP($A272,Lcode_mapping!$C:$AA,D$1,FALSE)</f>
        <v>Obs</v>
      </c>
      <c r="E272" t="str">
        <f>VLOOKUP($A272,Lcode_mapping!$C:$AA,E$1,FALSE)</f>
        <v>NumGroupAmbig</v>
      </c>
      <c r="F272" t="str">
        <f>VLOOKUP($A272,Lcode_mapping!$C:$AA,F$1,FALSE)</f>
        <v>I</v>
      </c>
      <c r="G272">
        <f>VLOOKUP($A272,Lcode_mapping!$C:$AA,G$1,FALSE)</f>
        <v>1</v>
      </c>
      <c r="H272">
        <f>VLOOKUP($A272,Lcode_mapping!$C:$AA,H$1,FALSE)</f>
        <v>1</v>
      </c>
      <c r="I272">
        <f>VLOOKUP($A272,Lcode_mapping!$C:$AA,I$1,FALSE)</f>
        <v>1</v>
      </c>
      <c r="J272" t="str">
        <f>VLOOKUP($A272,Lcode_mapping!$C:$AA,J$1,FALSE)</f>
        <v>Number of group delay ambiguities</v>
      </c>
    </row>
    <row r="273" spans="1:10" x14ac:dyDescent="0.25">
      <c r="A273" s="12" t="s">
        <v>2144</v>
      </c>
      <c r="B273" t="str">
        <f>VLOOKUP($A273,Lcode_mapping!$C:$AA,B$1,FALSE)</f>
        <v>NumPhaseAmbig_bS</v>
      </c>
      <c r="C273" t="str">
        <f>VLOOKUP($A273,Lcode_mapping!$C:$AA,C$1,FALSE)</f>
        <v>ObsEdit</v>
      </c>
      <c r="D273" t="str">
        <f>VLOOKUP($A273,Lcode_mapping!$C:$AA,D$1,FALSE)</f>
        <v>Obs</v>
      </c>
      <c r="E273" t="str">
        <f>VLOOKUP($A273,Lcode_mapping!$C:$AA,E$1,FALSE)</f>
        <v>NumPhaseAmbig</v>
      </c>
      <c r="F273" t="str">
        <f>VLOOKUP($A273,Lcode_mapping!$C:$AA,F$1,FALSE)</f>
        <v>J</v>
      </c>
      <c r="G273">
        <f>VLOOKUP($A273,Lcode_mapping!$C:$AA,G$1,FALSE)</f>
        <v>1</v>
      </c>
      <c r="H273">
        <f>VLOOKUP($A273,Lcode_mapping!$C:$AA,H$1,FALSE)</f>
        <v>1</v>
      </c>
      <c r="I273">
        <f>VLOOKUP($A273,Lcode_mapping!$C:$AA,I$1,FALSE)</f>
        <v>1</v>
      </c>
      <c r="J273" t="str">
        <f>VLOOKUP($A273,Lcode_mapping!$C:$AA,J$1,FALSE)</f>
        <v>Number of phase ambiguities</v>
      </c>
    </row>
    <row r="274" spans="1:10" x14ac:dyDescent="0.25">
      <c r="A274" s="12" t="s">
        <v>1898</v>
      </c>
      <c r="B274" t="e">
        <f>VLOOKUP($A274,Lcode_mapping!$C:$AA,B$1,FALSE)</f>
        <v>#N/A</v>
      </c>
      <c r="C274" t="e">
        <f>VLOOKUP($A274,Lcode_mapping!$C:$AA,C$1,FALSE)</f>
        <v>#N/A</v>
      </c>
      <c r="D274" t="e">
        <f>VLOOKUP($A274,Lcode_mapping!$C:$AA,D$1,FALSE)</f>
        <v>#N/A</v>
      </c>
      <c r="E274" t="e">
        <f>VLOOKUP($A274,Lcode_mapping!$C:$AA,E$1,FALSE)</f>
        <v>#N/A</v>
      </c>
      <c r="F274" t="e">
        <f>VLOOKUP($A274,Lcode_mapping!$C:$AA,F$1,FALSE)</f>
        <v>#N/A</v>
      </c>
      <c r="G274" t="e">
        <f>VLOOKUP($A274,Lcode_mapping!$C:$AA,G$1,FALSE)</f>
        <v>#N/A</v>
      </c>
      <c r="H274" t="e">
        <f>VLOOKUP($A274,Lcode_mapping!$C:$AA,H$1,FALSE)</f>
        <v>#N/A</v>
      </c>
      <c r="I274" t="e">
        <f>VLOOKUP($A274,Lcode_mapping!$C:$AA,I$1,FALSE)</f>
        <v>#N/A</v>
      </c>
      <c r="J274" t="e">
        <f>VLOOKUP($A274,Lcode_mapping!$C:$AA,J$1,FALSE)</f>
        <v>#N/A</v>
      </c>
    </row>
    <row r="275" spans="1:10" x14ac:dyDescent="0.25">
      <c r="A275" s="12" t="s">
        <v>1899</v>
      </c>
      <c r="B275" t="e">
        <f>VLOOKUP($A275,Lcode_mapping!$C:$AA,B$1,FALSE)</f>
        <v>#N/A</v>
      </c>
      <c r="C275" t="e">
        <f>VLOOKUP($A275,Lcode_mapping!$C:$AA,C$1,FALSE)</f>
        <v>#N/A</v>
      </c>
      <c r="D275" t="e">
        <f>VLOOKUP($A275,Lcode_mapping!$C:$AA,D$1,FALSE)</f>
        <v>#N/A</v>
      </c>
      <c r="E275" t="e">
        <f>VLOOKUP($A275,Lcode_mapping!$C:$AA,E$1,FALSE)</f>
        <v>#N/A</v>
      </c>
      <c r="F275" t="e">
        <f>VLOOKUP($A275,Lcode_mapping!$C:$AA,F$1,FALSE)</f>
        <v>#N/A</v>
      </c>
      <c r="G275" t="e">
        <f>VLOOKUP($A275,Lcode_mapping!$C:$AA,G$1,FALSE)</f>
        <v>#N/A</v>
      </c>
      <c r="H275" t="e">
        <f>VLOOKUP($A275,Lcode_mapping!$C:$AA,H$1,FALSE)</f>
        <v>#N/A</v>
      </c>
      <c r="I275" t="e">
        <f>VLOOKUP($A275,Lcode_mapping!$C:$AA,I$1,FALSE)</f>
        <v>#N/A</v>
      </c>
      <c r="J275" t="e">
        <f>VLOOKUP($A275,Lcode_mapping!$C:$AA,J$1,FALSE)</f>
        <v>#N/A</v>
      </c>
    </row>
    <row r="276" spans="1:10" x14ac:dyDescent="0.25">
      <c r="A276" s="12" t="s">
        <v>1900</v>
      </c>
      <c r="B276" t="e">
        <f>VLOOKUP($A276,Lcode_mapping!$C:$AA,B$1,FALSE)</f>
        <v>#N/A</v>
      </c>
      <c r="C276" t="e">
        <f>VLOOKUP($A276,Lcode_mapping!$C:$AA,C$1,FALSE)</f>
        <v>#N/A</v>
      </c>
      <c r="D276" t="e">
        <f>VLOOKUP($A276,Lcode_mapping!$C:$AA,D$1,FALSE)</f>
        <v>#N/A</v>
      </c>
      <c r="E276" t="e">
        <f>VLOOKUP($A276,Lcode_mapping!$C:$AA,E$1,FALSE)</f>
        <v>#N/A</v>
      </c>
      <c r="F276" t="e">
        <f>VLOOKUP($A276,Lcode_mapping!$C:$AA,F$1,FALSE)</f>
        <v>#N/A</v>
      </c>
      <c r="G276" t="e">
        <f>VLOOKUP($A276,Lcode_mapping!$C:$AA,G$1,FALSE)</f>
        <v>#N/A</v>
      </c>
      <c r="H276" t="e">
        <f>VLOOKUP($A276,Lcode_mapping!$C:$AA,H$1,FALSE)</f>
        <v>#N/A</v>
      </c>
      <c r="I276" t="e">
        <f>VLOOKUP($A276,Lcode_mapping!$C:$AA,I$1,FALSE)</f>
        <v>#N/A</v>
      </c>
      <c r="J276" t="e">
        <f>VLOOKUP($A276,Lcode_mapping!$C:$AA,J$1,FALSE)</f>
        <v>#N/A</v>
      </c>
    </row>
    <row r="277" spans="1:10" x14ac:dyDescent="0.25">
      <c r="A277" s="12" t="s">
        <v>1705</v>
      </c>
      <c r="B277" t="str">
        <f>VLOOKUP($A277,Lcode_mapping!$C:$AA,B$1,FALSE)</f>
        <v>ObsCrossRef</v>
      </c>
      <c r="C277" t="str">
        <f>VLOOKUP($A277,Lcode_mapping!$C:$AA,C$1,FALSE)</f>
        <v>CrossReference</v>
      </c>
      <c r="D277" t="str">
        <f>VLOOKUP($A277,Lcode_mapping!$C:$AA,D$1,FALSE)</f>
        <v>Obs</v>
      </c>
      <c r="E277" t="str">
        <f>VLOOKUP($A277,Lcode_mapping!$C:$AA,E$1,FALSE)</f>
        <v>Obs2Baseline</v>
      </c>
      <c r="F277" t="str">
        <f>VLOOKUP($A277,Lcode_mapping!$C:$AA,F$1,FALSE)</f>
        <v>I</v>
      </c>
      <c r="G277">
        <f>VLOOKUP($A277,Lcode_mapping!$C:$AA,G$1,FALSE)</f>
        <v>2</v>
      </c>
      <c r="H277">
        <f>VLOOKUP($A277,Lcode_mapping!$C:$AA,H$1,FALSE)</f>
        <v>1</v>
      </c>
      <c r="I277">
        <f>VLOOKUP($A277,Lcode_mapping!$C:$AA,I$1,FALSE)</f>
        <v>1</v>
      </c>
      <c r="J277" t="str">
        <f>VLOOKUP($A277,Lcode_mapping!$C:$AA,J$1,FALSE)</f>
        <v>Cross reference from observation to baseline</v>
      </c>
    </row>
    <row r="278" spans="1:10" x14ac:dyDescent="0.25">
      <c r="A278" s="12" t="s">
        <v>1704</v>
      </c>
      <c r="B278" t="str">
        <f>VLOOKUP($A278,Lcode_mapping!$C:$AA,B$1,FALSE)</f>
        <v>ObsCrossRef</v>
      </c>
      <c r="C278" t="str">
        <f>VLOOKUP($A278,Lcode_mapping!$C:$AA,C$1,FALSE)</f>
        <v>CrossReference</v>
      </c>
      <c r="D278" t="str">
        <f>VLOOKUP($A278,Lcode_mapping!$C:$AA,D$1,FALSE)</f>
        <v>Obs</v>
      </c>
      <c r="E278" t="str">
        <f>VLOOKUP($A278,Lcode_mapping!$C:$AA,E$1,FALSE)</f>
        <v>Obs2Scan</v>
      </c>
      <c r="F278" t="str">
        <f>VLOOKUP($A278,Lcode_mapping!$C:$AA,F$1,FALSE)</f>
        <v>J</v>
      </c>
      <c r="G278">
        <f>VLOOKUP($A278,Lcode_mapping!$C:$AA,G$1,FALSE)</f>
        <v>1</v>
      </c>
      <c r="H278">
        <f>VLOOKUP($A278,Lcode_mapping!$C:$AA,H$1,FALSE)</f>
        <v>1</v>
      </c>
      <c r="I278">
        <f>VLOOKUP($A278,Lcode_mapping!$C:$AA,I$1,FALSE)</f>
        <v>1</v>
      </c>
      <c r="J278" t="str">
        <f>VLOOKUP($A278,Lcode_mapping!$C:$AA,J$1,FALSE)</f>
        <v>Cross reference from observation to scan</v>
      </c>
    </row>
    <row r="279" spans="1:10" x14ac:dyDescent="0.25">
      <c r="A279" s="12" t="s">
        <v>2067</v>
      </c>
      <c r="B279" t="str">
        <f>VLOOKUP($A279,Lcode_mapping!$C:$AA,B$1,FALSE)</f>
        <v>Obsolete</v>
      </c>
      <c r="C279" t="str">
        <f>VLOOKUP($A279,Lcode_mapping!$C:$AA,C$1,FALSE)</f>
        <v>OBSOLETE</v>
      </c>
      <c r="D279" t="str">
        <f>VLOOKUP($A279,Lcode_mapping!$C:$AA,D$1,FALSE)</f>
        <v>Session</v>
      </c>
      <c r="E279" t="str">
        <f>VLOOKUP($A279,Lcode_mapping!$C:$AA,E$1,FALSE)</f>
        <v>A1minusTAI</v>
      </c>
      <c r="F279" t="str">
        <f>VLOOKUP($A279,Lcode_mapping!$C:$AA,F$1,FALSE)</f>
        <v>R</v>
      </c>
      <c r="G279">
        <f>VLOOKUP($A279,Lcode_mapping!$C:$AA,G$1,FALSE)</f>
        <v>3</v>
      </c>
      <c r="H279">
        <f>VLOOKUP($A279,Lcode_mapping!$C:$AA,H$1,FALSE)</f>
        <v>1</v>
      </c>
      <c r="I279">
        <f>VLOOKUP($A279,Lcode_mapping!$C:$AA,I$1,FALSE)</f>
        <v>1</v>
      </c>
      <c r="J279" t="str">
        <f>VLOOKUP($A279,Lcode_mapping!$C:$AA,J$1,FALSE)</f>
        <v>TAI USNO- TAI BIH = 0.03439 sec.</v>
      </c>
    </row>
    <row r="280" spans="1:10" x14ac:dyDescent="0.25">
      <c r="A280" s="12" t="s">
        <v>2068</v>
      </c>
      <c r="B280" t="str">
        <f>VLOOKUP($A280,Lcode_mapping!$C:$AA,B$1,FALSE)</f>
        <v>Obsolete</v>
      </c>
      <c r="C280" t="str">
        <f>VLOOKUP($A280,Lcode_mapping!$C:$AA,C$1,FALSE)</f>
        <v>OBSOLETE</v>
      </c>
      <c r="D280" t="str">
        <f>VLOOKUP($A280,Lcode_mapping!$C:$AA,D$1,FALSE)</f>
        <v>Session</v>
      </c>
      <c r="E280" t="str">
        <f>VLOOKUP($A280,Lcode_mapping!$C:$AA,E$1,FALSE)</f>
        <v>A1minusUTC</v>
      </c>
      <c r="F280" t="str">
        <f>VLOOKUP($A280,Lcode_mapping!$C:$AA,F$1,FALSE)</f>
        <v>R</v>
      </c>
      <c r="G280">
        <f>VLOOKUP($A280,Lcode_mapping!$C:$AA,G$1,FALSE)</f>
        <v>3</v>
      </c>
      <c r="H280">
        <f>VLOOKUP($A280,Lcode_mapping!$C:$AA,H$1,FALSE)</f>
        <v>1</v>
      </c>
      <c r="I280">
        <f>VLOOKUP($A280,Lcode_mapping!$C:$AA,I$1,FALSE)</f>
        <v>1</v>
      </c>
      <c r="J280" t="str">
        <f>VLOOKUP($A280,Lcode_mapping!$C:$AA,J$1,FALSE)</f>
        <v>FJD  A1-UTC (sec) rate off.(sec)</v>
      </c>
    </row>
    <row r="281" spans="1:10" x14ac:dyDescent="0.25">
      <c r="A281" s="12" t="s">
        <v>2072</v>
      </c>
      <c r="B281" t="str">
        <f>VLOOKUP($A281,Lcode_mapping!$C:$AA,B$1,FALSE)</f>
        <v>Misc</v>
      </c>
      <c r="C281" t="str">
        <f>VLOOKUP($A281,Lcode_mapping!$C:$AA,C$1,FALSE)</f>
        <v>Solve</v>
      </c>
      <c r="D281" t="str">
        <f>VLOOKUP($A281,Lcode_mapping!$C:$AA,D$1,FALSE)</f>
        <v>Session</v>
      </c>
      <c r="E281" t="str">
        <f>VLOOKUP($A281,Lcode_mapping!$C:$AA,E$1,FALSE)</f>
        <v>Aplength</v>
      </c>
      <c r="F281" t="str">
        <f>VLOOKUP($A281,Lcode_mapping!$C:$AA,F$1,FALSE)</f>
        <v>R</v>
      </c>
      <c r="G281">
        <f>VLOOKUP($A281,Lcode_mapping!$C:$AA,G$1,FALSE)</f>
        <v>1</v>
      </c>
      <c r="H281">
        <f>VLOOKUP($A281,Lcode_mapping!$C:$AA,H$1,FALSE)</f>
        <v>1</v>
      </c>
      <c r="I281">
        <f>VLOOKUP($A281,Lcode_mapping!$C:$AA,I$1,FALSE)</f>
        <v>1</v>
      </c>
      <c r="J281" t="str">
        <f>VLOOKUP($A281,Lcode_mapping!$C:$AA,J$1,FALSE)</f>
        <v>Length of accumul. period in sec</v>
      </c>
    </row>
    <row r="282" spans="1:10" x14ac:dyDescent="0.25">
      <c r="A282" s="12" t="s">
        <v>1549</v>
      </c>
      <c r="B282" t="str">
        <f>VLOOKUP($A282,Lcode_mapping!$C:$AA,B$1,FALSE)</f>
        <v>Misc</v>
      </c>
      <c r="C282" t="str">
        <f>VLOOKUP($A282,Lcode_mapping!$C:$AA,C$1,FALSE)</f>
        <v>Solve</v>
      </c>
      <c r="D282" t="str">
        <f>VLOOKUP($A282,Lcode_mapping!$C:$AA,D$1,FALSE)</f>
        <v>Session</v>
      </c>
      <c r="E282" t="str">
        <f>VLOOKUP($A282,Lcode_mapping!$C:$AA,E$1,FALSE)</f>
        <v>CableSign</v>
      </c>
      <c r="F282" t="str">
        <f>VLOOKUP($A282,Lcode_mapping!$C:$AA,F$1,FALSE)</f>
        <v>A</v>
      </c>
      <c r="G282">
        <f>VLOOKUP($A282,Lcode_mapping!$C:$AA,G$1,FALSE)</f>
        <v>11</v>
      </c>
      <c r="H282">
        <f>VLOOKUP($A282,Lcode_mapping!$C:$AA,H$1,FALSE)</f>
        <v>1</v>
      </c>
      <c r="I282">
        <f>VLOOKUP($A282,Lcode_mapping!$C:$AA,I$1,FALSE)</f>
        <v>1</v>
      </c>
      <c r="J282" t="str">
        <f>VLOOKUP($A282,Lcode_mapping!$C:$AA,J$1,FALSE)</f>
        <v>Signs of cable cal application</v>
      </c>
    </row>
    <row r="283" spans="1:10" x14ac:dyDescent="0.25">
      <c r="A283" s="12" t="s">
        <v>2397</v>
      </c>
      <c r="B283" t="str">
        <f>VLOOKUP($A283,Lcode_mapping!$C:$AA,B$1,FALSE)</f>
        <v>Misc</v>
      </c>
      <c r="C283" t="str">
        <f>VLOOKUP($A283,Lcode_mapping!$C:$AA,C$1,FALSE)</f>
        <v>Solve</v>
      </c>
      <c r="D283" t="str">
        <f>VLOOKUP($A283,Lcode_mapping!$C:$AA,D$1,FALSE)</f>
        <v>Session</v>
      </c>
      <c r="E283" t="str">
        <f>VLOOKUP($A283,Lcode_mapping!$C:$AA,E$1,FALSE)</f>
        <v>FourFitCmdCString</v>
      </c>
      <c r="F283" t="str">
        <f>VLOOKUP($A283,Lcode_mapping!$C:$AA,F$1,FALSE)</f>
        <v>A</v>
      </c>
      <c r="G283">
        <f>VLOOKUP($A283,Lcode_mapping!$C:$AA,G$1,FALSE)</f>
        <v>64</v>
      </c>
      <c r="H283">
        <f>VLOOKUP($A283,Lcode_mapping!$C:$AA,H$1,FALSE)</f>
        <v>1</v>
      </c>
      <c r="I283">
        <f>VLOOKUP($A283,Lcode_mapping!$C:$AA,I$1,FALSE)</f>
        <v>1</v>
      </c>
      <c r="J283" t="str">
        <f>VLOOKUP($A283,Lcode_mapping!$C:$AA,J$1,FALSE)</f>
        <v>Command string used for fourfit.</v>
      </c>
    </row>
    <row r="284" spans="1:10" x14ac:dyDescent="0.25">
      <c r="A284" s="12" t="s">
        <v>2398</v>
      </c>
      <c r="B284" t="str">
        <f>VLOOKUP($A284,Lcode_mapping!$C:$AA,B$1,FALSE)</f>
        <v>Misc</v>
      </c>
      <c r="C284" t="str">
        <f>VLOOKUP($A284,Lcode_mapping!$C:$AA,C$1,FALSE)</f>
        <v>Solve</v>
      </c>
      <c r="D284" t="str">
        <f>VLOOKUP($A284,Lcode_mapping!$C:$AA,D$1,FALSE)</f>
        <v>Session</v>
      </c>
      <c r="E284" t="str">
        <f>VLOOKUP($A284,Lcode_mapping!$C:$AA,E$1,FALSE)</f>
        <v>FourfitControlFile</v>
      </c>
      <c r="F284" t="str">
        <f>VLOOKUP($A284,Lcode_mapping!$C:$AA,F$1,FALSE)</f>
        <v>A</v>
      </c>
      <c r="G284">
        <f>VLOOKUP($A284,Lcode_mapping!$C:$AA,G$1,FALSE)</f>
        <v>48</v>
      </c>
      <c r="H284">
        <f>VLOOKUP($A284,Lcode_mapping!$C:$AA,H$1,FALSE)</f>
        <v>1</v>
      </c>
      <c r="I284">
        <f>VLOOKUP($A284,Lcode_mapping!$C:$AA,I$1,FALSE)</f>
        <v>1</v>
      </c>
      <c r="J284" t="str">
        <f>VLOOKUP($A284,Lcode_mapping!$C:$AA,J$1,FALSE)</f>
        <v>Control file name for fourfit.</v>
      </c>
    </row>
    <row r="285" spans="1:10" x14ac:dyDescent="0.25">
      <c r="A285" s="12" t="s">
        <v>2065</v>
      </c>
      <c r="B285" t="str">
        <f>VLOOKUP($A285,Lcode_mapping!$C:$AA,B$1,FALSE)</f>
        <v>Misc</v>
      </c>
      <c r="C285" t="str">
        <f>VLOOKUP($A285,Lcode_mapping!$C:$AA,C$1,FALSE)</f>
        <v>Solve</v>
      </c>
      <c r="D285" t="str">
        <f>VLOOKUP($A285,Lcode_mapping!$C:$AA,D$1,FALSE)</f>
        <v>Session</v>
      </c>
      <c r="E285" t="str">
        <f>VLOOKUP($A285,Lcode_mapping!$C:$AA,E$1,FALSE)</f>
        <v>NumLagsUsed</v>
      </c>
      <c r="F285" t="str">
        <f>VLOOKUP($A285,Lcode_mapping!$C:$AA,F$1,FALSE)</f>
        <v>I</v>
      </c>
      <c r="G285">
        <f>VLOOKUP($A285,Lcode_mapping!$C:$AA,G$1,FALSE)</f>
        <v>1</v>
      </c>
      <c r="H285">
        <f>VLOOKUP($A285,Lcode_mapping!$C:$AA,H$1,FALSE)</f>
        <v>1</v>
      </c>
      <c r="I285">
        <f>VLOOKUP($A285,Lcode_mapping!$C:$AA,I$1,FALSE)</f>
        <v>1</v>
      </c>
      <c r="J285" t="str">
        <f>VLOOKUP($A285,Lcode_mapping!$C:$AA,J$1,FALSE)</f>
        <v>Num of lags used for correlation</v>
      </c>
    </row>
    <row r="286" spans="1:10" x14ac:dyDescent="0.25">
      <c r="A286" s="12" t="s">
        <v>1550</v>
      </c>
      <c r="B286" t="e">
        <f>VLOOKUP($A286,Lcode_mapping!$C:$AA,B$1,FALSE)</f>
        <v>#N/A</v>
      </c>
      <c r="C286" t="e">
        <f>VLOOKUP($A286,Lcode_mapping!$C:$AA,C$1,FALSE)</f>
        <v>#N/A</v>
      </c>
      <c r="D286" t="e">
        <f>VLOOKUP($A286,Lcode_mapping!$C:$AA,D$1,FALSE)</f>
        <v>#N/A</v>
      </c>
      <c r="E286" t="e">
        <f>VLOOKUP($A286,Lcode_mapping!$C:$AA,E$1,FALSE)</f>
        <v>#N/A</v>
      </c>
      <c r="F286" t="e">
        <f>VLOOKUP($A286,Lcode_mapping!$C:$AA,F$1,FALSE)</f>
        <v>#N/A</v>
      </c>
      <c r="G286" t="e">
        <f>VLOOKUP($A286,Lcode_mapping!$C:$AA,G$1,FALSE)</f>
        <v>#N/A</v>
      </c>
      <c r="H286" t="e">
        <f>VLOOKUP($A286,Lcode_mapping!$C:$AA,H$1,FALSE)</f>
        <v>#N/A</v>
      </c>
      <c r="I286" t="e">
        <f>VLOOKUP($A286,Lcode_mapping!$C:$AA,I$1,FALSE)</f>
        <v>#N/A</v>
      </c>
      <c r="J286" t="e">
        <f>VLOOKUP($A286,Lcode_mapping!$C:$AA,J$1,FALSE)</f>
        <v>#N/A</v>
      </c>
    </row>
    <row r="287" spans="1:10" x14ac:dyDescent="0.25">
      <c r="A287" s="12" t="s">
        <v>2066</v>
      </c>
      <c r="B287" t="e">
        <f>VLOOKUP($A287,Lcode_mapping!$C:$AA,B$1,FALSE)</f>
        <v>#N/A</v>
      </c>
      <c r="C287" t="e">
        <f>VLOOKUP($A287,Lcode_mapping!$C:$AA,C$1,FALSE)</f>
        <v>#N/A</v>
      </c>
      <c r="D287" t="e">
        <f>VLOOKUP($A287,Lcode_mapping!$C:$AA,D$1,FALSE)</f>
        <v>#N/A</v>
      </c>
      <c r="E287" t="e">
        <f>VLOOKUP($A287,Lcode_mapping!$C:$AA,E$1,FALSE)</f>
        <v>#N/A</v>
      </c>
      <c r="F287" t="e">
        <f>VLOOKUP($A287,Lcode_mapping!$C:$AA,F$1,FALSE)</f>
        <v>#N/A</v>
      </c>
      <c r="G287" t="e">
        <f>VLOOKUP($A287,Lcode_mapping!$C:$AA,G$1,FALSE)</f>
        <v>#N/A</v>
      </c>
      <c r="H287" t="e">
        <f>VLOOKUP($A287,Lcode_mapping!$C:$AA,H$1,FALSE)</f>
        <v>#N/A</v>
      </c>
      <c r="I287" t="e">
        <f>VLOOKUP($A287,Lcode_mapping!$C:$AA,I$1,FALSE)</f>
        <v>#N/A</v>
      </c>
      <c r="J287" t="e">
        <f>VLOOKUP($A287,Lcode_mapping!$C:$AA,J$1,FALSE)</f>
        <v>#N/A</v>
      </c>
    </row>
    <row r="288" spans="1:10" x14ac:dyDescent="0.25">
      <c r="A288" s="12" t="s">
        <v>2394</v>
      </c>
      <c r="B288" t="e">
        <f>VLOOKUP($A288,Lcode_mapping!$C:$AA,B$1,FALSE)</f>
        <v>#N/A</v>
      </c>
      <c r="C288" t="e">
        <f>VLOOKUP($A288,Lcode_mapping!$C:$AA,C$1,FALSE)</f>
        <v>#N/A</v>
      </c>
      <c r="D288" t="e">
        <f>VLOOKUP($A288,Lcode_mapping!$C:$AA,D$1,FALSE)</f>
        <v>#N/A</v>
      </c>
      <c r="E288" t="e">
        <f>VLOOKUP($A288,Lcode_mapping!$C:$AA,E$1,FALSE)</f>
        <v>#N/A</v>
      </c>
      <c r="F288" t="e">
        <f>VLOOKUP($A288,Lcode_mapping!$C:$AA,F$1,FALSE)</f>
        <v>#N/A</v>
      </c>
      <c r="G288" t="e">
        <f>VLOOKUP($A288,Lcode_mapping!$C:$AA,G$1,FALSE)</f>
        <v>#N/A</v>
      </c>
      <c r="H288" t="e">
        <f>VLOOKUP($A288,Lcode_mapping!$C:$AA,H$1,FALSE)</f>
        <v>#N/A</v>
      </c>
      <c r="I288" t="e">
        <f>VLOOKUP($A288,Lcode_mapping!$C:$AA,I$1,FALSE)</f>
        <v>#N/A</v>
      </c>
      <c r="J288" t="e">
        <f>VLOOKUP($A288,Lcode_mapping!$C:$AA,J$1,FALSE)</f>
        <v>#N/A</v>
      </c>
    </row>
    <row r="289" spans="1:10" x14ac:dyDescent="0.25">
      <c r="A289" s="12" t="s">
        <v>2395</v>
      </c>
      <c r="B289" t="e">
        <f>VLOOKUP($A289,Lcode_mapping!$C:$AA,B$1,FALSE)</f>
        <v>#N/A</v>
      </c>
      <c r="C289" t="e">
        <f>VLOOKUP($A289,Lcode_mapping!$C:$AA,C$1,FALSE)</f>
        <v>#N/A</v>
      </c>
      <c r="D289" t="e">
        <f>VLOOKUP($A289,Lcode_mapping!$C:$AA,D$1,FALSE)</f>
        <v>#N/A</v>
      </c>
      <c r="E289" t="e">
        <f>VLOOKUP($A289,Lcode_mapping!$C:$AA,E$1,FALSE)</f>
        <v>#N/A</v>
      </c>
      <c r="F289" t="e">
        <f>VLOOKUP($A289,Lcode_mapping!$C:$AA,F$1,FALSE)</f>
        <v>#N/A</v>
      </c>
      <c r="G289" t="e">
        <f>VLOOKUP($A289,Lcode_mapping!$C:$AA,G$1,FALSE)</f>
        <v>#N/A</v>
      </c>
      <c r="H289" t="e">
        <f>VLOOKUP($A289,Lcode_mapping!$C:$AA,H$1,FALSE)</f>
        <v>#N/A</v>
      </c>
      <c r="I289" t="e">
        <f>VLOOKUP($A289,Lcode_mapping!$C:$AA,I$1,FALSE)</f>
        <v>#N/A</v>
      </c>
      <c r="J289" t="e">
        <f>VLOOKUP($A289,Lcode_mapping!$C:$AA,J$1,FALSE)</f>
        <v>#N/A</v>
      </c>
    </row>
    <row r="290" spans="1:10" x14ac:dyDescent="0.25">
      <c r="A290" s="12" t="s">
        <v>2430</v>
      </c>
      <c r="B290" t="e">
        <f>VLOOKUP($A290,Lcode_mapping!$C:$AA,B$1,FALSE)</f>
        <v>#N/A</v>
      </c>
      <c r="C290" t="e">
        <f>VLOOKUP($A290,Lcode_mapping!$C:$AA,C$1,FALSE)</f>
        <v>#N/A</v>
      </c>
      <c r="D290" t="e">
        <f>VLOOKUP($A290,Lcode_mapping!$C:$AA,D$1,FALSE)</f>
        <v>#N/A</v>
      </c>
      <c r="E290" t="e">
        <f>VLOOKUP($A290,Lcode_mapping!$C:$AA,E$1,FALSE)</f>
        <v>#N/A</v>
      </c>
      <c r="F290" t="e">
        <f>VLOOKUP($A290,Lcode_mapping!$C:$AA,F$1,FALSE)</f>
        <v>#N/A</v>
      </c>
      <c r="G290" t="e">
        <f>VLOOKUP($A290,Lcode_mapping!$C:$AA,G$1,FALSE)</f>
        <v>#N/A</v>
      </c>
      <c r="H290" t="e">
        <f>VLOOKUP($A290,Lcode_mapping!$C:$AA,H$1,FALSE)</f>
        <v>#N/A</v>
      </c>
      <c r="I290" t="e">
        <f>VLOOKUP($A290,Lcode_mapping!$C:$AA,I$1,FALSE)</f>
        <v>#N/A</v>
      </c>
      <c r="J290" t="e">
        <f>VLOOKUP($A290,Lcode_mapping!$C:$AA,J$1,FALSE)</f>
        <v>#N/A</v>
      </c>
    </row>
    <row r="291" spans="1:10" x14ac:dyDescent="0.25">
      <c r="A291" s="12" t="s">
        <v>2410</v>
      </c>
      <c r="B291" t="e">
        <f>VLOOKUP($A291,Lcode_mapping!$C:$AA,B$1,FALSE)</f>
        <v>#N/A</v>
      </c>
      <c r="C291" t="e">
        <f>VLOOKUP($A291,Lcode_mapping!$C:$AA,C$1,FALSE)</f>
        <v>#N/A</v>
      </c>
      <c r="D291" t="e">
        <f>VLOOKUP($A291,Lcode_mapping!$C:$AA,D$1,FALSE)</f>
        <v>#N/A</v>
      </c>
      <c r="E291" t="e">
        <f>VLOOKUP($A291,Lcode_mapping!$C:$AA,E$1,FALSE)</f>
        <v>#N/A</v>
      </c>
      <c r="F291" t="e">
        <f>VLOOKUP($A291,Lcode_mapping!$C:$AA,F$1,FALSE)</f>
        <v>#N/A</v>
      </c>
      <c r="G291" t="e">
        <f>VLOOKUP($A291,Lcode_mapping!$C:$AA,G$1,FALSE)</f>
        <v>#N/A</v>
      </c>
      <c r="H291" t="e">
        <f>VLOOKUP($A291,Lcode_mapping!$C:$AA,H$1,FALSE)</f>
        <v>#N/A</v>
      </c>
      <c r="I291" t="e">
        <f>VLOOKUP($A291,Lcode_mapping!$C:$AA,I$1,FALSE)</f>
        <v>#N/A</v>
      </c>
      <c r="J291" t="e">
        <f>VLOOKUP($A291,Lcode_mapping!$C:$AA,J$1,FALSE)</f>
        <v>#N/A</v>
      </c>
    </row>
    <row r="292" spans="1:10" x14ac:dyDescent="0.25">
      <c r="A292" s="12" t="s">
        <v>2431</v>
      </c>
      <c r="B292" t="e">
        <f>VLOOKUP($A292,Lcode_mapping!$C:$AA,B$1,FALSE)</f>
        <v>#N/A</v>
      </c>
      <c r="C292" t="e">
        <f>VLOOKUP($A292,Lcode_mapping!$C:$AA,C$1,FALSE)</f>
        <v>#N/A</v>
      </c>
      <c r="D292" t="e">
        <f>VLOOKUP($A292,Lcode_mapping!$C:$AA,D$1,FALSE)</f>
        <v>#N/A</v>
      </c>
      <c r="E292" t="e">
        <f>VLOOKUP($A292,Lcode_mapping!$C:$AA,E$1,FALSE)</f>
        <v>#N/A</v>
      </c>
      <c r="F292" t="e">
        <f>VLOOKUP($A292,Lcode_mapping!$C:$AA,F$1,FALSE)</f>
        <v>#N/A</v>
      </c>
      <c r="G292" t="e">
        <f>VLOOKUP($A292,Lcode_mapping!$C:$AA,G$1,FALSE)</f>
        <v>#N/A</v>
      </c>
      <c r="H292" t="e">
        <f>VLOOKUP($A292,Lcode_mapping!$C:$AA,H$1,FALSE)</f>
        <v>#N/A</v>
      </c>
      <c r="I292" t="e">
        <f>VLOOKUP($A292,Lcode_mapping!$C:$AA,I$1,FALSE)</f>
        <v>#N/A</v>
      </c>
      <c r="J292" t="e">
        <f>VLOOKUP($A292,Lcode_mapping!$C:$AA,J$1,FALSE)</f>
        <v>#N/A</v>
      </c>
    </row>
    <row r="293" spans="1:10" x14ac:dyDescent="0.25">
      <c r="A293" s="12" t="s">
        <v>2432</v>
      </c>
      <c r="B293" t="e">
        <f>VLOOKUP($A293,Lcode_mapping!$C:$AA,B$1,FALSE)</f>
        <v>#N/A</v>
      </c>
      <c r="C293" t="e">
        <f>VLOOKUP($A293,Lcode_mapping!$C:$AA,C$1,FALSE)</f>
        <v>#N/A</v>
      </c>
      <c r="D293" t="e">
        <f>VLOOKUP($A293,Lcode_mapping!$C:$AA,D$1,FALSE)</f>
        <v>#N/A</v>
      </c>
      <c r="E293" t="e">
        <f>VLOOKUP($A293,Lcode_mapping!$C:$AA,E$1,FALSE)</f>
        <v>#N/A</v>
      </c>
      <c r="F293" t="e">
        <f>VLOOKUP($A293,Lcode_mapping!$C:$AA,F$1,FALSE)</f>
        <v>#N/A</v>
      </c>
      <c r="G293" t="e">
        <f>VLOOKUP($A293,Lcode_mapping!$C:$AA,G$1,FALSE)</f>
        <v>#N/A</v>
      </c>
      <c r="H293" t="e">
        <f>VLOOKUP($A293,Lcode_mapping!$C:$AA,H$1,FALSE)</f>
        <v>#N/A</v>
      </c>
      <c r="I293" t="e">
        <f>VLOOKUP($A293,Lcode_mapping!$C:$AA,I$1,FALSE)</f>
        <v>#N/A</v>
      </c>
      <c r="J293" t="e">
        <f>VLOOKUP($A293,Lcode_mapping!$C:$AA,J$1,FALSE)</f>
        <v>#N/A</v>
      </c>
    </row>
    <row r="294" spans="1:10" x14ac:dyDescent="0.25">
      <c r="A294" s="12" t="s">
        <v>2434</v>
      </c>
      <c r="B294" t="e">
        <f>VLOOKUP($A294,Lcode_mapping!$C:$AA,B$1,FALSE)</f>
        <v>#N/A</v>
      </c>
      <c r="C294" t="e">
        <f>VLOOKUP($A294,Lcode_mapping!$C:$AA,C$1,FALSE)</f>
        <v>#N/A</v>
      </c>
      <c r="D294" t="e">
        <f>VLOOKUP($A294,Lcode_mapping!$C:$AA,D$1,FALSE)</f>
        <v>#N/A</v>
      </c>
      <c r="E294" t="e">
        <f>VLOOKUP($A294,Lcode_mapping!$C:$AA,E$1,FALSE)</f>
        <v>#N/A</v>
      </c>
      <c r="F294" t="e">
        <f>VLOOKUP($A294,Lcode_mapping!$C:$AA,F$1,FALSE)</f>
        <v>#N/A</v>
      </c>
      <c r="G294" t="e">
        <f>VLOOKUP($A294,Lcode_mapping!$C:$AA,G$1,FALSE)</f>
        <v>#N/A</v>
      </c>
      <c r="H294" t="e">
        <f>VLOOKUP($A294,Lcode_mapping!$C:$AA,H$1,FALSE)</f>
        <v>#N/A</v>
      </c>
      <c r="I294" t="e">
        <f>VLOOKUP($A294,Lcode_mapping!$C:$AA,I$1,FALSE)</f>
        <v>#N/A</v>
      </c>
      <c r="J294" t="e">
        <f>VLOOKUP($A294,Lcode_mapping!$C:$AA,J$1,FALSE)</f>
        <v>#N/A</v>
      </c>
    </row>
    <row r="295" spans="1:10" x14ac:dyDescent="0.25">
      <c r="A295" s="12" t="s">
        <v>2435</v>
      </c>
      <c r="B295" t="e">
        <f>VLOOKUP($A295,Lcode_mapping!$C:$AA,B$1,FALSE)</f>
        <v>#N/A</v>
      </c>
      <c r="C295" t="e">
        <f>VLOOKUP($A295,Lcode_mapping!$C:$AA,C$1,FALSE)</f>
        <v>#N/A</v>
      </c>
      <c r="D295" t="e">
        <f>VLOOKUP($A295,Lcode_mapping!$C:$AA,D$1,FALSE)</f>
        <v>#N/A</v>
      </c>
      <c r="E295" t="e">
        <f>VLOOKUP($A295,Lcode_mapping!$C:$AA,E$1,FALSE)</f>
        <v>#N/A</v>
      </c>
      <c r="F295" t="e">
        <f>VLOOKUP($A295,Lcode_mapping!$C:$AA,F$1,FALSE)</f>
        <v>#N/A</v>
      </c>
      <c r="G295" t="e">
        <f>VLOOKUP($A295,Lcode_mapping!$C:$AA,G$1,FALSE)</f>
        <v>#N/A</v>
      </c>
      <c r="H295" t="e">
        <f>VLOOKUP($A295,Lcode_mapping!$C:$AA,H$1,FALSE)</f>
        <v>#N/A</v>
      </c>
      <c r="I295" t="e">
        <f>VLOOKUP($A295,Lcode_mapping!$C:$AA,I$1,FALSE)</f>
        <v>#N/A</v>
      </c>
      <c r="J295" t="e">
        <f>VLOOKUP($A295,Lcode_mapping!$C:$AA,J$1,FALSE)</f>
        <v>#N/A</v>
      </c>
    </row>
    <row r="296" spans="1:10" x14ac:dyDescent="0.25">
      <c r="A296" s="12" t="s">
        <v>2436</v>
      </c>
      <c r="B296" t="e">
        <f>VLOOKUP($A296,Lcode_mapping!$C:$AA,B$1,FALSE)</f>
        <v>#N/A</v>
      </c>
      <c r="C296" t="e">
        <f>VLOOKUP($A296,Lcode_mapping!$C:$AA,C$1,FALSE)</f>
        <v>#N/A</v>
      </c>
      <c r="D296" t="e">
        <f>VLOOKUP($A296,Lcode_mapping!$C:$AA,D$1,FALSE)</f>
        <v>#N/A</v>
      </c>
      <c r="E296" t="e">
        <f>VLOOKUP($A296,Lcode_mapping!$C:$AA,E$1,FALSE)</f>
        <v>#N/A</v>
      </c>
      <c r="F296" t="e">
        <f>VLOOKUP($A296,Lcode_mapping!$C:$AA,F$1,FALSE)</f>
        <v>#N/A</v>
      </c>
      <c r="G296" t="e">
        <f>VLOOKUP($A296,Lcode_mapping!$C:$AA,G$1,FALSE)</f>
        <v>#N/A</v>
      </c>
      <c r="H296" t="e">
        <f>VLOOKUP($A296,Lcode_mapping!$C:$AA,H$1,FALSE)</f>
        <v>#N/A</v>
      </c>
      <c r="I296" t="e">
        <f>VLOOKUP($A296,Lcode_mapping!$C:$AA,I$1,FALSE)</f>
        <v>#N/A</v>
      </c>
      <c r="J296" t="e">
        <f>VLOOKUP($A296,Lcode_mapping!$C:$AA,J$1,FALSE)</f>
        <v>#N/A</v>
      </c>
    </row>
    <row r="297" spans="1:10" x14ac:dyDescent="0.25">
      <c r="A297" s="12" t="s">
        <v>2438</v>
      </c>
      <c r="B297" t="e">
        <f>VLOOKUP($A297,Lcode_mapping!$C:$AA,B$1,FALSE)</f>
        <v>#N/A</v>
      </c>
      <c r="C297" t="e">
        <f>VLOOKUP($A297,Lcode_mapping!$C:$AA,C$1,FALSE)</f>
        <v>#N/A</v>
      </c>
      <c r="D297" t="e">
        <f>VLOOKUP($A297,Lcode_mapping!$C:$AA,D$1,FALSE)</f>
        <v>#N/A</v>
      </c>
      <c r="E297" t="e">
        <f>VLOOKUP($A297,Lcode_mapping!$C:$AA,E$1,FALSE)</f>
        <v>#N/A</v>
      </c>
      <c r="F297" t="e">
        <f>VLOOKUP($A297,Lcode_mapping!$C:$AA,F$1,FALSE)</f>
        <v>#N/A</v>
      </c>
      <c r="G297" t="e">
        <f>VLOOKUP($A297,Lcode_mapping!$C:$AA,G$1,FALSE)</f>
        <v>#N/A</v>
      </c>
      <c r="H297" t="e">
        <f>VLOOKUP($A297,Lcode_mapping!$C:$AA,H$1,FALSE)</f>
        <v>#N/A</v>
      </c>
      <c r="I297" t="e">
        <f>VLOOKUP($A297,Lcode_mapping!$C:$AA,I$1,FALSE)</f>
        <v>#N/A</v>
      </c>
      <c r="J297" t="e">
        <f>VLOOKUP($A297,Lcode_mapping!$C:$AA,J$1,FALSE)</f>
        <v>#N/A</v>
      </c>
    </row>
    <row r="298" spans="1:10" x14ac:dyDescent="0.25">
      <c r="A298" s="12" t="s">
        <v>2439</v>
      </c>
      <c r="B298" t="e">
        <f>VLOOKUP($A298,Lcode_mapping!$C:$AA,B$1,FALSE)</f>
        <v>#N/A</v>
      </c>
      <c r="C298" t="e">
        <f>VLOOKUP($A298,Lcode_mapping!$C:$AA,C$1,FALSE)</f>
        <v>#N/A</v>
      </c>
      <c r="D298" t="e">
        <f>VLOOKUP($A298,Lcode_mapping!$C:$AA,D$1,FALSE)</f>
        <v>#N/A</v>
      </c>
      <c r="E298" t="e">
        <f>VLOOKUP($A298,Lcode_mapping!$C:$AA,E$1,FALSE)</f>
        <v>#N/A</v>
      </c>
      <c r="F298" t="e">
        <f>VLOOKUP($A298,Lcode_mapping!$C:$AA,F$1,FALSE)</f>
        <v>#N/A</v>
      </c>
      <c r="G298" t="e">
        <f>VLOOKUP($A298,Lcode_mapping!$C:$AA,G$1,FALSE)</f>
        <v>#N/A</v>
      </c>
      <c r="H298" t="e">
        <f>VLOOKUP($A298,Lcode_mapping!$C:$AA,H$1,FALSE)</f>
        <v>#N/A</v>
      </c>
      <c r="I298" t="e">
        <f>VLOOKUP($A298,Lcode_mapping!$C:$AA,I$1,FALSE)</f>
        <v>#N/A</v>
      </c>
      <c r="J298" t="e">
        <f>VLOOKUP($A298,Lcode_mapping!$C:$AA,J$1,FALSE)</f>
        <v>#N/A</v>
      </c>
    </row>
    <row r="299" spans="1:10" x14ac:dyDescent="0.25">
      <c r="A299" s="12" t="s">
        <v>2440</v>
      </c>
      <c r="B299" t="e">
        <f>VLOOKUP($A299,Lcode_mapping!$C:$AA,B$1,FALSE)</f>
        <v>#N/A</v>
      </c>
      <c r="C299" t="e">
        <f>VLOOKUP($A299,Lcode_mapping!$C:$AA,C$1,FALSE)</f>
        <v>#N/A</v>
      </c>
      <c r="D299" t="e">
        <f>VLOOKUP($A299,Lcode_mapping!$C:$AA,D$1,FALSE)</f>
        <v>#N/A</v>
      </c>
      <c r="E299" t="e">
        <f>VLOOKUP($A299,Lcode_mapping!$C:$AA,E$1,FALSE)</f>
        <v>#N/A</v>
      </c>
      <c r="F299" t="e">
        <f>VLOOKUP($A299,Lcode_mapping!$C:$AA,F$1,FALSE)</f>
        <v>#N/A</v>
      </c>
      <c r="G299" t="e">
        <f>VLOOKUP($A299,Lcode_mapping!$C:$AA,G$1,FALSE)</f>
        <v>#N/A</v>
      </c>
      <c r="H299" t="e">
        <f>VLOOKUP($A299,Lcode_mapping!$C:$AA,H$1,FALSE)</f>
        <v>#N/A</v>
      </c>
      <c r="I299" t="e">
        <f>VLOOKUP($A299,Lcode_mapping!$C:$AA,I$1,FALSE)</f>
        <v>#N/A</v>
      </c>
      <c r="J299" t="e">
        <f>VLOOKUP($A299,Lcode_mapping!$C:$AA,J$1,FALSE)</f>
        <v>#N/A</v>
      </c>
    </row>
    <row r="300" spans="1:10" x14ac:dyDescent="0.25">
      <c r="A300" s="12" t="s">
        <v>2399</v>
      </c>
      <c r="B300" t="e">
        <f>VLOOKUP($A300,Lcode_mapping!$C:$AA,B$1,FALSE)</f>
        <v>#N/A</v>
      </c>
      <c r="C300" t="e">
        <f>VLOOKUP($A300,Lcode_mapping!$C:$AA,C$1,FALSE)</f>
        <v>#N/A</v>
      </c>
      <c r="D300" t="e">
        <f>VLOOKUP($A300,Lcode_mapping!$C:$AA,D$1,FALSE)</f>
        <v>#N/A</v>
      </c>
      <c r="E300" t="e">
        <f>VLOOKUP($A300,Lcode_mapping!$C:$AA,E$1,FALSE)</f>
        <v>#N/A</v>
      </c>
      <c r="F300" t="e">
        <f>VLOOKUP($A300,Lcode_mapping!$C:$AA,F$1,FALSE)</f>
        <v>#N/A</v>
      </c>
      <c r="G300" t="e">
        <f>VLOOKUP($A300,Lcode_mapping!$C:$AA,G$1,FALSE)</f>
        <v>#N/A</v>
      </c>
      <c r="H300" t="e">
        <f>VLOOKUP($A300,Lcode_mapping!$C:$AA,H$1,FALSE)</f>
        <v>#N/A</v>
      </c>
      <c r="I300" t="e">
        <f>VLOOKUP($A300,Lcode_mapping!$C:$AA,I$1,FALSE)</f>
        <v>#N/A</v>
      </c>
      <c r="J300" t="e">
        <f>VLOOKUP($A300,Lcode_mapping!$C:$AA,J$1,FALSE)</f>
        <v>#N/A</v>
      </c>
    </row>
    <row r="301" spans="1:10" x14ac:dyDescent="0.25">
      <c r="A301" s="12" t="s">
        <v>2401</v>
      </c>
      <c r="B301" t="e">
        <f>VLOOKUP($A301,Lcode_mapping!$C:$AA,B$1,FALSE)</f>
        <v>#N/A</v>
      </c>
      <c r="C301" t="e">
        <f>VLOOKUP($A301,Lcode_mapping!$C:$AA,C$1,FALSE)</f>
        <v>#N/A</v>
      </c>
      <c r="D301" t="e">
        <f>VLOOKUP($A301,Lcode_mapping!$C:$AA,D$1,FALSE)</f>
        <v>#N/A</v>
      </c>
      <c r="E301" t="e">
        <f>VLOOKUP($A301,Lcode_mapping!$C:$AA,E$1,FALSE)</f>
        <v>#N/A</v>
      </c>
      <c r="F301" t="e">
        <f>VLOOKUP($A301,Lcode_mapping!$C:$AA,F$1,FALSE)</f>
        <v>#N/A</v>
      </c>
      <c r="G301" t="e">
        <f>VLOOKUP($A301,Lcode_mapping!$C:$AA,G$1,FALSE)</f>
        <v>#N/A</v>
      </c>
      <c r="H301" t="e">
        <f>VLOOKUP($A301,Lcode_mapping!$C:$AA,H$1,FALSE)</f>
        <v>#N/A</v>
      </c>
      <c r="I301" t="e">
        <f>VLOOKUP($A301,Lcode_mapping!$C:$AA,I$1,FALSE)</f>
        <v>#N/A</v>
      </c>
      <c r="J301" t="e">
        <f>VLOOKUP($A301,Lcode_mapping!$C:$AA,J$1,FALSE)</f>
        <v>#N/A</v>
      </c>
    </row>
    <row r="302" spans="1:10" x14ac:dyDescent="0.25">
      <c r="A302" s="12" t="s">
        <v>2444</v>
      </c>
      <c r="B302" t="e">
        <f>VLOOKUP($A302,Lcode_mapping!$C:$AA,B$1,FALSE)</f>
        <v>#N/A</v>
      </c>
      <c r="C302" t="e">
        <f>VLOOKUP($A302,Lcode_mapping!$C:$AA,C$1,FALSE)</f>
        <v>#N/A</v>
      </c>
      <c r="D302" t="e">
        <f>VLOOKUP($A302,Lcode_mapping!$C:$AA,D$1,FALSE)</f>
        <v>#N/A</v>
      </c>
      <c r="E302" t="e">
        <f>VLOOKUP($A302,Lcode_mapping!$C:$AA,E$1,FALSE)</f>
        <v>#N/A</v>
      </c>
      <c r="F302" t="e">
        <f>VLOOKUP($A302,Lcode_mapping!$C:$AA,F$1,FALSE)</f>
        <v>#N/A</v>
      </c>
      <c r="G302" t="e">
        <f>VLOOKUP($A302,Lcode_mapping!$C:$AA,G$1,FALSE)</f>
        <v>#N/A</v>
      </c>
      <c r="H302" t="e">
        <f>VLOOKUP($A302,Lcode_mapping!$C:$AA,H$1,FALSE)</f>
        <v>#N/A</v>
      </c>
      <c r="I302" t="e">
        <f>VLOOKUP($A302,Lcode_mapping!$C:$AA,I$1,FALSE)</f>
        <v>#N/A</v>
      </c>
      <c r="J302" t="e">
        <f>VLOOKUP($A302,Lcode_mapping!$C:$AA,J$1,FALSE)</f>
        <v>#N/A</v>
      </c>
    </row>
    <row r="303" spans="1:10" x14ac:dyDescent="0.25">
      <c r="A303" s="12" t="s">
        <v>2441</v>
      </c>
      <c r="B303" t="e">
        <f>VLOOKUP($A303,Lcode_mapping!$C:$AA,B$1,FALSE)</f>
        <v>#N/A</v>
      </c>
      <c r="C303" t="e">
        <f>VLOOKUP($A303,Lcode_mapping!$C:$AA,C$1,FALSE)</f>
        <v>#N/A</v>
      </c>
      <c r="D303" t="e">
        <f>VLOOKUP($A303,Lcode_mapping!$C:$AA,D$1,FALSE)</f>
        <v>#N/A</v>
      </c>
      <c r="E303" t="e">
        <f>VLOOKUP($A303,Lcode_mapping!$C:$AA,E$1,FALSE)</f>
        <v>#N/A</v>
      </c>
      <c r="F303" t="e">
        <f>VLOOKUP($A303,Lcode_mapping!$C:$AA,F$1,FALSE)</f>
        <v>#N/A</v>
      </c>
      <c r="G303" t="e">
        <f>VLOOKUP($A303,Lcode_mapping!$C:$AA,G$1,FALSE)</f>
        <v>#N/A</v>
      </c>
      <c r="H303" t="e">
        <f>VLOOKUP($A303,Lcode_mapping!$C:$AA,H$1,FALSE)</f>
        <v>#N/A</v>
      </c>
      <c r="I303" t="e">
        <f>VLOOKUP($A303,Lcode_mapping!$C:$AA,I$1,FALSE)</f>
        <v>#N/A</v>
      </c>
      <c r="J303" t="e">
        <f>VLOOKUP($A303,Lcode_mapping!$C:$AA,J$1,FALSE)</f>
        <v>#N/A</v>
      </c>
    </row>
    <row r="304" spans="1:10" x14ac:dyDescent="0.25">
      <c r="A304" s="12" t="s">
        <v>2405</v>
      </c>
      <c r="B304" t="e">
        <f>VLOOKUP($A304,Lcode_mapping!$C:$AA,B$1,FALSE)</f>
        <v>#N/A</v>
      </c>
      <c r="C304" t="e">
        <f>VLOOKUP($A304,Lcode_mapping!$C:$AA,C$1,FALSE)</f>
        <v>#N/A</v>
      </c>
      <c r="D304" t="e">
        <f>VLOOKUP($A304,Lcode_mapping!$C:$AA,D$1,FALSE)</f>
        <v>#N/A</v>
      </c>
      <c r="E304" t="e">
        <f>VLOOKUP($A304,Lcode_mapping!$C:$AA,E$1,FALSE)</f>
        <v>#N/A</v>
      </c>
      <c r="F304" t="e">
        <f>VLOOKUP($A304,Lcode_mapping!$C:$AA,F$1,FALSE)</f>
        <v>#N/A</v>
      </c>
      <c r="G304" t="e">
        <f>VLOOKUP($A304,Lcode_mapping!$C:$AA,G$1,FALSE)</f>
        <v>#N/A</v>
      </c>
      <c r="H304" t="e">
        <f>VLOOKUP($A304,Lcode_mapping!$C:$AA,H$1,FALSE)</f>
        <v>#N/A</v>
      </c>
      <c r="I304" t="e">
        <f>VLOOKUP($A304,Lcode_mapping!$C:$AA,I$1,FALSE)</f>
        <v>#N/A</v>
      </c>
      <c r="J304" t="e">
        <f>VLOOKUP($A304,Lcode_mapping!$C:$AA,J$1,FALSE)</f>
        <v>#N/A</v>
      </c>
    </row>
    <row r="305" spans="1:10" x14ac:dyDescent="0.25">
      <c r="A305" s="12" t="s">
        <v>1649</v>
      </c>
      <c r="B305" t="str">
        <f>VLOOKUP($A305,Lcode_mapping!$C:$AA,B$1,FALSE)</f>
        <v>Phase_bS</v>
      </c>
      <c r="C305" t="str">
        <f>VLOOKUP($A305,Lcode_mapping!$C:$AA,C$1,FALSE)</f>
        <v>Observables</v>
      </c>
      <c r="D305" t="str">
        <f>VLOOKUP($A305,Lcode_mapping!$C:$AA,D$1,FALSE)</f>
        <v>Obs</v>
      </c>
      <c r="E305" t="str">
        <f>VLOOKUP($A305,Lcode_mapping!$C:$AA,E$1,FALSE)</f>
        <v>Phase</v>
      </c>
      <c r="F305" t="str">
        <f>VLOOKUP($A305,Lcode_mapping!$C:$AA,F$1,FALSE)</f>
        <v>R</v>
      </c>
      <c r="G305">
        <f>VLOOKUP($A305,Lcode_mapping!$C:$AA,G$1,FALSE)</f>
        <v>1</v>
      </c>
      <c r="H305">
        <f>VLOOKUP($A305,Lcode_mapping!$C:$AA,H$1,FALSE)</f>
        <v>1</v>
      </c>
      <c r="I305">
        <f>VLOOKUP($A305,Lcode_mapping!$C:$AA,I$1,FALSE)</f>
        <v>1</v>
      </c>
      <c r="J305" t="str">
        <f>VLOOKUP($A305,Lcode_mapping!$C:$AA,J$1,FALSE)</f>
        <v xml:space="preserve">Total phase   </v>
      </c>
    </row>
    <row r="306" spans="1:10" x14ac:dyDescent="0.25">
      <c r="A306" s="12" t="s">
        <v>2200</v>
      </c>
      <c r="B306" t="str">
        <f>VLOOKUP($A306,Lcode_mapping!$C:$AA,B$1,FALSE)</f>
        <v>Phase_bS</v>
      </c>
      <c r="C306" t="str">
        <f>VLOOKUP($A306,Lcode_mapping!$C:$AA,C$1,FALSE)</f>
        <v>Observables</v>
      </c>
      <c r="D306" t="str">
        <f>VLOOKUP($A306,Lcode_mapping!$C:$AA,D$1,FALSE)</f>
        <v>Obs</v>
      </c>
      <c r="E306" t="str">
        <f>VLOOKUP($A306,Lcode_mapping!$C:$AA,E$1,FALSE)</f>
        <v>PhaseDataFlag</v>
      </c>
      <c r="F306" t="str">
        <f>VLOOKUP($A306,Lcode_mapping!$C:$AA,F$1,FALSE)</f>
        <v>I</v>
      </c>
      <c r="G306">
        <f>VLOOKUP($A306,Lcode_mapping!$C:$AA,G$1,FALSE)</f>
        <v>1</v>
      </c>
      <c r="H306">
        <f>VLOOKUP($A306,Lcode_mapping!$C:$AA,H$1,FALSE)</f>
        <v>1</v>
      </c>
      <c r="I306">
        <f>VLOOKUP($A306,Lcode_mapping!$C:$AA,I$1,FALSE)</f>
        <v>1</v>
      </c>
      <c r="J306" t="str">
        <f>VLOOKUP($A306,Lcode_mapping!$C:$AA,J$1,FALSE)</f>
        <v>0=OK, -1=Missing,  -2=bad,-3=sigma small, -4=sigma big</v>
      </c>
    </row>
    <row r="307" spans="1:10" x14ac:dyDescent="0.25">
      <c r="A307" s="12" t="s">
        <v>2200</v>
      </c>
      <c r="B307" t="str">
        <f>VLOOKUP($A307,Lcode_mapping!$C:$AA,B$1,FALSE)</f>
        <v>Phase_bS</v>
      </c>
      <c r="C307" t="str">
        <f>VLOOKUP($A307,Lcode_mapping!$C:$AA,C$1,FALSE)</f>
        <v>Observables</v>
      </c>
      <c r="D307" t="str">
        <f>VLOOKUP($A307,Lcode_mapping!$C:$AA,D$1,FALSE)</f>
        <v>Obs</v>
      </c>
      <c r="E307" t="str">
        <f>VLOOKUP($A307,Lcode_mapping!$C:$AA,E$1,FALSE)</f>
        <v>PhaseDataFlag</v>
      </c>
      <c r="F307" t="str">
        <f>VLOOKUP($A307,Lcode_mapping!$C:$AA,F$1,FALSE)</f>
        <v>I</v>
      </c>
      <c r="G307">
        <f>VLOOKUP($A307,Lcode_mapping!$C:$AA,G$1,FALSE)</f>
        <v>1</v>
      </c>
      <c r="H307">
        <f>VLOOKUP($A307,Lcode_mapping!$C:$AA,H$1,FALSE)</f>
        <v>1</v>
      </c>
      <c r="I307">
        <f>VLOOKUP($A307,Lcode_mapping!$C:$AA,I$1,FALSE)</f>
        <v>1</v>
      </c>
      <c r="J307" t="str">
        <f>VLOOKUP($A307,Lcode_mapping!$C:$AA,J$1,FALSE)</f>
        <v>0=OK, -1=Missing,  -2=bad,-3=sigma small, -4=sigma big</v>
      </c>
    </row>
    <row r="308" spans="1:10" x14ac:dyDescent="0.25">
      <c r="A308" s="12" t="s">
        <v>2199</v>
      </c>
      <c r="B308" t="str">
        <f>VLOOKUP($A308,Lcode_mapping!$C:$AA,B$1,FALSE)</f>
        <v>Phase_bS</v>
      </c>
      <c r="C308" t="str">
        <f>VLOOKUP($A308,Lcode_mapping!$C:$AA,C$1,FALSE)</f>
        <v>Observables</v>
      </c>
      <c r="D308" t="str">
        <f>VLOOKUP($A308,Lcode_mapping!$C:$AA,D$1,FALSE)</f>
        <v>Obs</v>
      </c>
      <c r="E308" t="str">
        <f>VLOOKUP($A308,Lcode_mapping!$C:$AA,E$1,FALSE)</f>
        <v>PhaseSig</v>
      </c>
      <c r="F308" t="str">
        <f>VLOOKUP($A308,Lcode_mapping!$C:$AA,F$1,FALSE)</f>
        <v>R</v>
      </c>
      <c r="G308">
        <f>VLOOKUP($A308,Lcode_mapping!$C:$AA,G$1,FALSE)</f>
        <v>1</v>
      </c>
      <c r="H308">
        <f>VLOOKUP($A308,Lcode_mapping!$C:$AA,H$1,FALSE)</f>
        <v>1</v>
      </c>
      <c r="I308">
        <f>VLOOKUP($A308,Lcode_mapping!$C:$AA,I$1,FALSE)</f>
        <v>1</v>
      </c>
      <c r="J308" t="str">
        <f>VLOOKUP($A308,Lcode_mapping!$C:$AA,J$1,FALSE)</f>
        <v>Phase delay sigma.</v>
      </c>
    </row>
    <row r="309" spans="1:10" x14ac:dyDescent="0.25">
      <c r="A309" s="12" t="s">
        <v>2104</v>
      </c>
      <c r="B309" t="str">
        <f>VLOOKUP($A309,Lcode_mapping!$C:$AA,B$1,FALSE)</f>
        <v>Phase_bX</v>
      </c>
      <c r="C309" t="str">
        <f>VLOOKUP($A309,Lcode_mapping!$C:$AA,C$1,FALSE)</f>
        <v>Observables</v>
      </c>
      <c r="D309" t="str">
        <f>VLOOKUP($A309,Lcode_mapping!$C:$AA,D$1,FALSE)</f>
        <v>Obs</v>
      </c>
      <c r="E309" t="str">
        <f>VLOOKUP($A309,Lcode_mapping!$C:$AA,E$1,FALSE)</f>
        <v>PhaseDelayRaw</v>
      </c>
      <c r="F309" t="str">
        <f>VLOOKUP($A309,Lcode_mapping!$C:$AA,F$1,FALSE)</f>
        <v>R</v>
      </c>
      <c r="G309">
        <f>VLOOKUP($A309,Lcode_mapping!$C:$AA,G$1,FALSE)</f>
        <v>1</v>
      </c>
      <c r="H309">
        <f>VLOOKUP($A309,Lcode_mapping!$C:$AA,H$1,FALSE)</f>
        <v>1</v>
      </c>
      <c r="I309">
        <f>VLOOKUP($A309,Lcode_mapping!$C:$AA,I$1,FALSE)</f>
        <v>1</v>
      </c>
      <c r="J309" t="str">
        <f>VLOOKUP($A309,Lcode_mapping!$C:$AA,J$1,FALSE)</f>
        <v>Unresolved phase delay</v>
      </c>
    </row>
    <row r="310" spans="1:10" x14ac:dyDescent="0.25">
      <c r="A310" s="12" t="s">
        <v>1860</v>
      </c>
      <c r="B310" t="str">
        <f>VLOOKUP($A310,Lcode_mapping!$C:$AA,B$1,FALSE)</f>
        <v>PhaseBLWeights</v>
      </c>
      <c r="C310" t="str">
        <f>VLOOKUP($A310,Lcode_mapping!$C:$AA,C$1,FALSE)</f>
        <v>Solve</v>
      </c>
      <c r="D310" t="str">
        <f>VLOOKUP($A310,Lcode_mapping!$C:$AA,D$1,FALSE)</f>
        <v>Session</v>
      </c>
      <c r="E310" t="str">
        <f>VLOOKUP($A310,Lcode_mapping!$C:$AA,E$1,FALSE)</f>
        <v>PhaseBLWeights</v>
      </c>
      <c r="F310" t="str">
        <f>VLOOKUP($A310,Lcode_mapping!$C:$AA,F$1,FALSE)</f>
        <v>R</v>
      </c>
      <c r="G310">
        <f>VLOOKUP($A310,Lcode_mapping!$C:$AA,G$1,FALSE)</f>
        <v>2</v>
      </c>
      <c r="H310">
        <f>VLOOKUP($A310,Lcode_mapping!$C:$AA,H$1,FALSE)</f>
        <v>10</v>
      </c>
      <c r="I310">
        <f>VLOOKUP($A310,Lcode_mapping!$C:$AA,I$1,FALSE)</f>
        <v>1</v>
      </c>
      <c r="J310" t="str">
        <f>VLOOKUP($A310,Lcode_mapping!$C:$AA,J$1,FALSE)</f>
        <v>Phase formal error constants</v>
      </c>
    </row>
    <row r="311" spans="1:10" x14ac:dyDescent="0.25">
      <c r="A311" s="12" t="s">
        <v>1483</v>
      </c>
      <c r="B311" t="str">
        <f>VLOOKUP($A311,Lcode_mapping!$C:$AA,B$1,FALSE)</f>
        <v>PhaseDelayFull_bS</v>
      </c>
      <c r="C311" t="str">
        <f>VLOOKUP($A311,Lcode_mapping!$C:$AA,C$1,FALSE)</f>
        <v>ObsEdit</v>
      </c>
      <c r="D311" t="str">
        <f>VLOOKUP($A311,Lcode_mapping!$C:$AA,D$1,FALSE)</f>
        <v>Obs</v>
      </c>
      <c r="E311" t="str">
        <f>VLOOKUP($A311,Lcode_mapping!$C:$AA,E$1,FALSE)</f>
        <v>PhaseDelay</v>
      </c>
      <c r="F311" t="str">
        <f>VLOOKUP($A311,Lcode_mapping!$C:$AA,F$1,FALSE)</f>
        <v>R</v>
      </c>
      <c r="G311">
        <f>VLOOKUP($A311,Lcode_mapping!$C:$AA,G$1,FALSE)</f>
        <v>1</v>
      </c>
      <c r="H311">
        <f>VLOOKUP($A311,Lcode_mapping!$C:$AA,H$1,FALSE)</f>
        <v>1</v>
      </c>
      <c r="I311">
        <f>VLOOKUP($A311,Lcode_mapping!$C:$AA,I$1,FALSE)</f>
        <v>1</v>
      </c>
      <c r="J311" t="str">
        <f>VLOOKUP($A311,Lcode_mapping!$C:$AA,J$1,FALSE)</f>
        <v>Phase delay resolved with ambiguities added.</v>
      </c>
    </row>
    <row r="312" spans="1:10" x14ac:dyDescent="0.25">
      <c r="A312" s="12" t="s">
        <v>2222</v>
      </c>
      <c r="B312" t="str">
        <f>VLOOKUP($A312,Lcode_mapping!$C:$AA,B$1,FALSE)</f>
        <v>PhaseDelayFull_bX</v>
      </c>
      <c r="C312" t="str">
        <f>VLOOKUP($A312,Lcode_mapping!$C:$AA,C$1,FALSE)</f>
        <v>ObsEdit</v>
      </c>
      <c r="D312" t="str">
        <f>VLOOKUP($A312,Lcode_mapping!$C:$AA,D$1,FALSE)</f>
        <v>Obs</v>
      </c>
      <c r="E312" t="str">
        <f>VLOOKUP($A312,Lcode_mapping!$C:$AA,E$1,FALSE)</f>
        <v>PhaseDelayFull</v>
      </c>
      <c r="F312" t="str">
        <f>VLOOKUP($A312,Lcode_mapping!$C:$AA,F$1,FALSE)</f>
        <v>R</v>
      </c>
      <c r="G312">
        <f>VLOOKUP($A312,Lcode_mapping!$C:$AA,G$1,FALSE)</f>
        <v>1</v>
      </c>
      <c r="H312">
        <f>VLOOKUP($A312,Lcode_mapping!$C:$AA,H$1,FALSE)</f>
        <v>1</v>
      </c>
      <c r="I312">
        <f>VLOOKUP($A312,Lcode_mapping!$C:$AA,I$1,FALSE)</f>
        <v>1</v>
      </c>
      <c r="J312" t="str">
        <f>VLOOKUP($A312,Lcode_mapping!$C:$AA,J$1,FALSE)</f>
        <v>Phase delay resolved with ambiguities added.</v>
      </c>
    </row>
    <row r="313" spans="1:10" x14ac:dyDescent="0.25">
      <c r="A313" s="12" t="s">
        <v>1520</v>
      </c>
      <c r="B313" t="str">
        <f>VLOOKUP($A313,Lcode_mapping!$C:$AA,B$1,FALSE)</f>
        <v>QualityCode_bS</v>
      </c>
      <c r="C313" t="str">
        <f>VLOOKUP($A313,Lcode_mapping!$C:$AA,C$1,FALSE)</f>
        <v>Observables</v>
      </c>
      <c r="D313" t="str">
        <f>VLOOKUP($A313,Lcode_mapping!$C:$AA,D$1,FALSE)</f>
        <v>Obs</v>
      </c>
      <c r="E313" t="str">
        <f>VLOOKUP($A313,Lcode_mapping!$C:$AA,E$1,FALSE)</f>
        <v>QualityCode</v>
      </c>
      <c r="F313" t="str">
        <f>VLOOKUP($A313,Lcode_mapping!$C:$AA,F$1,FALSE)</f>
        <v>A</v>
      </c>
      <c r="G313">
        <f>VLOOKUP($A313,Lcode_mapping!$C:$AA,G$1,FALSE)</f>
        <v>1</v>
      </c>
      <c r="H313">
        <f>VLOOKUP($A313,Lcode_mapping!$C:$AA,H$1,FALSE)</f>
        <v>1</v>
      </c>
      <c r="I313">
        <f>VLOOKUP($A313,Lcode_mapping!$C:$AA,I$1,FALSE)</f>
        <v>1</v>
      </c>
      <c r="J313" t="str">
        <f>VLOOKUP($A313,Lcode_mapping!$C:$AA,J$1,FALSE)</f>
        <v>FRNGE quality  index 0 --&gt; 9</v>
      </c>
    </row>
    <row r="314" spans="1:10" x14ac:dyDescent="0.25">
      <c r="A314" s="12" t="s">
        <v>1641</v>
      </c>
      <c r="B314" t="str">
        <f>VLOOKUP($A314,Lcode_mapping!$C:$AA,B$1,FALSE)</f>
        <v>RateTheoretical</v>
      </c>
      <c r="C314" t="str">
        <f>VLOOKUP($A314,Lcode_mapping!$C:$AA,C$1,FALSE)</f>
        <v>ObsTheoretical</v>
      </c>
      <c r="D314" t="str">
        <f>VLOOKUP($A314,Lcode_mapping!$C:$AA,D$1,FALSE)</f>
        <v>Obs</v>
      </c>
      <c r="E314" t="str">
        <f>VLOOKUP($A314,Lcode_mapping!$C:$AA,E$1,FALSE)</f>
        <v>RateTheoretical</v>
      </c>
      <c r="F314" t="str">
        <f>VLOOKUP($A314,Lcode_mapping!$C:$AA,F$1,FALSE)</f>
        <v>R</v>
      </c>
      <c r="G314">
        <f>VLOOKUP($A314,Lcode_mapping!$C:$AA,G$1,FALSE)</f>
        <v>1</v>
      </c>
      <c r="H314">
        <f>VLOOKUP($A314,Lcode_mapping!$C:$AA,H$1,FALSE)</f>
        <v>1</v>
      </c>
      <c r="I314">
        <f>VLOOKUP($A314,Lcode_mapping!$C:$AA,I$1,FALSE)</f>
        <v>1</v>
      </c>
      <c r="J314" t="str">
        <f>VLOOKUP($A314,Lcode_mapping!$C:$AA,J$1,FALSE)</f>
        <v>Consensus theoretical rate</v>
      </c>
    </row>
    <row r="315" spans="1:10" x14ac:dyDescent="0.25">
      <c r="A315" s="12" t="s">
        <v>2183</v>
      </c>
      <c r="B315" t="str">
        <f>VLOOKUP($A315,Lcode_mapping!$C:$AA,B$1,FALSE)</f>
        <v>RefFreq_bS</v>
      </c>
      <c r="C315" t="str">
        <f>VLOOKUP($A315,Lcode_mapping!$C:$AA,C$1,FALSE)</f>
        <v>Observables</v>
      </c>
      <c r="D315" t="str">
        <f>VLOOKUP($A315,Lcode_mapping!$C:$AA,D$1,FALSE)</f>
        <v>Obs</v>
      </c>
      <c r="E315" t="str">
        <f>VLOOKUP($A315,Lcode_mapping!$C:$AA,E$1,FALSE)</f>
        <v>RefFreq</v>
      </c>
      <c r="F315" t="str">
        <f>VLOOKUP($A315,Lcode_mapping!$C:$AA,F$1,FALSE)</f>
        <v>R</v>
      </c>
      <c r="G315">
        <f>VLOOKUP($A315,Lcode_mapping!$C:$AA,G$1,FALSE)</f>
        <v>1</v>
      </c>
      <c r="H315">
        <f>VLOOKUP($A315,Lcode_mapping!$C:$AA,H$1,FALSE)</f>
        <v>1</v>
      </c>
      <c r="I315">
        <f>VLOOKUP($A315,Lcode_mapping!$C:$AA,I$1,FALSE)</f>
        <v>1</v>
      </c>
      <c r="J315" t="str">
        <f>VLOOKUP($A315,Lcode_mapping!$C:$AA,J$1,FALSE)</f>
        <v>Frequency to which phase is referenced</v>
      </c>
    </row>
    <row r="316" spans="1:10" x14ac:dyDescent="0.25">
      <c r="A316" s="12" t="s">
        <v>940</v>
      </c>
      <c r="B316" t="e">
        <f>VLOOKUP($A316,Lcode_mapping!$C:$AA,B$1,FALSE)</f>
        <v>#N/A</v>
      </c>
      <c r="C316" t="e">
        <f>VLOOKUP($A316,Lcode_mapping!$C:$AA,C$1,FALSE)</f>
        <v>#N/A</v>
      </c>
      <c r="D316" t="e">
        <f>VLOOKUP($A316,Lcode_mapping!$C:$AA,D$1,FALSE)</f>
        <v>#N/A</v>
      </c>
      <c r="E316" t="e">
        <f>VLOOKUP($A316,Lcode_mapping!$C:$AA,E$1,FALSE)</f>
        <v>#N/A</v>
      </c>
      <c r="F316" t="e">
        <f>VLOOKUP($A316,Lcode_mapping!$C:$AA,F$1,FALSE)</f>
        <v>#N/A</v>
      </c>
      <c r="G316" t="e">
        <f>VLOOKUP($A316,Lcode_mapping!$C:$AA,G$1,FALSE)</f>
        <v>#N/A</v>
      </c>
      <c r="H316" t="e">
        <f>VLOOKUP($A316,Lcode_mapping!$C:$AA,H$1,FALSE)</f>
        <v>#N/A</v>
      </c>
      <c r="I316" t="e">
        <f>VLOOKUP($A316,Lcode_mapping!$C:$AA,I$1,FALSE)</f>
        <v>#N/A</v>
      </c>
      <c r="J316" t="e">
        <f>VLOOKUP($A316,Lcode_mapping!$C:$AA,J$1,FALSE)</f>
        <v>#N/A</v>
      </c>
    </row>
    <row r="317" spans="1:10" x14ac:dyDescent="0.25">
      <c r="A317" s="12" t="s">
        <v>1518</v>
      </c>
      <c r="B317" t="str">
        <f>VLOOKUP($A317,Lcode_mapping!$C:$AA,B$1,FALSE)</f>
        <v>SBDelay_bS</v>
      </c>
      <c r="C317" t="str">
        <f>VLOOKUP($A317,Lcode_mapping!$C:$AA,C$1,FALSE)</f>
        <v>Observables</v>
      </c>
      <c r="D317" t="str">
        <f>VLOOKUP($A317,Lcode_mapping!$C:$AA,D$1,FALSE)</f>
        <v>Obs</v>
      </c>
      <c r="E317" t="str">
        <f>VLOOKUP($A317,Lcode_mapping!$C:$AA,E$1,FALSE)</f>
        <v>SBDelay</v>
      </c>
      <c r="F317" t="str">
        <f>VLOOKUP($A317,Lcode_mapping!$C:$AA,F$1,FALSE)</f>
        <v>R</v>
      </c>
      <c r="G317">
        <f>VLOOKUP($A317,Lcode_mapping!$C:$AA,G$1,FALSE)</f>
        <v>1</v>
      </c>
      <c r="H317">
        <f>VLOOKUP($A317,Lcode_mapping!$C:$AA,H$1,FALSE)</f>
        <v>1</v>
      </c>
      <c r="I317">
        <f>VLOOKUP($A317,Lcode_mapping!$C:$AA,I$1,FALSE)</f>
        <v>1</v>
      </c>
      <c r="J317" t="str">
        <f>VLOOKUP($A317,Lcode_mapping!$C:$AA,J$1,FALSE)</f>
        <v>Single band delay</v>
      </c>
    </row>
    <row r="318" spans="1:10" x14ac:dyDescent="0.25">
      <c r="A318" s="12" t="s">
        <v>1519</v>
      </c>
      <c r="B318" t="str">
        <f>VLOOKUP($A318,Lcode_mapping!$C:$AA,B$1,FALSE)</f>
        <v>SBDelay_bS</v>
      </c>
      <c r="C318" t="str">
        <f>VLOOKUP($A318,Lcode_mapping!$C:$AA,C$1,FALSE)</f>
        <v>Observables</v>
      </c>
      <c r="D318" t="str">
        <f>VLOOKUP($A318,Lcode_mapping!$C:$AA,D$1,FALSE)</f>
        <v>Obs</v>
      </c>
      <c r="E318" t="str">
        <f>VLOOKUP($A318,Lcode_mapping!$C:$AA,E$1,FALSE)</f>
        <v>SBDelaySig</v>
      </c>
      <c r="F318" t="str">
        <f>VLOOKUP($A318,Lcode_mapping!$C:$AA,F$1,FALSE)</f>
        <v>R</v>
      </c>
      <c r="G318">
        <f>VLOOKUP($A318,Lcode_mapping!$C:$AA,G$1,FALSE)</f>
        <v>1</v>
      </c>
      <c r="H318">
        <f>VLOOKUP($A318,Lcode_mapping!$C:$AA,H$1,FALSE)</f>
        <v>1</v>
      </c>
      <c r="I318">
        <f>VLOOKUP($A318,Lcode_mapping!$C:$AA,I$1,FALSE)</f>
        <v>1</v>
      </c>
      <c r="J318" t="str">
        <f>VLOOKUP($A318,Lcode_mapping!$C:$AA,J$1,FALSE)</f>
        <v>Single band delay error</v>
      </c>
    </row>
    <row r="319" spans="1:10" x14ac:dyDescent="0.25">
      <c r="A319" s="12" t="s">
        <v>1487</v>
      </c>
      <c r="B319" t="str">
        <f>VLOOKUP($A319,Lcode_mapping!$C:$AA,B$1,FALSE)</f>
        <v>ScanName</v>
      </c>
      <c r="C319" t="str">
        <f>VLOOKUP($A319,Lcode_mapping!$C:$AA,C$1,FALSE)</f>
        <v>Scan</v>
      </c>
      <c r="D319" t="str">
        <f>VLOOKUP($A319,Lcode_mapping!$C:$AA,D$1,FALSE)</f>
        <v>Scan</v>
      </c>
      <c r="E319" t="str">
        <f>VLOOKUP($A319,Lcode_mapping!$C:$AA,E$1,FALSE)</f>
        <v>ScanName</v>
      </c>
      <c r="F319" t="str">
        <f>VLOOKUP($A319,Lcode_mapping!$C:$AA,F$1,FALSE)</f>
        <v>A</v>
      </c>
      <c r="G319">
        <f>VLOOKUP($A319,Lcode_mapping!$C:$AA,G$1,FALSE)</f>
        <v>5</v>
      </c>
      <c r="H319">
        <f>VLOOKUP($A319,Lcode_mapping!$C:$AA,H$1,FALSE)</f>
        <v>1</v>
      </c>
      <c r="I319">
        <f>VLOOKUP($A319,Lcode_mapping!$C:$AA,I$1,FALSE)</f>
        <v>1</v>
      </c>
      <c r="J319" t="str">
        <f>VLOOKUP($A319,Lcode_mapping!$C:$AA,J$1,FALSE)</f>
        <v>Scanname in database</v>
      </c>
    </row>
    <row r="320" spans="1:10" x14ac:dyDescent="0.25">
      <c r="A320" s="12" t="s">
        <v>1924</v>
      </c>
      <c r="B320" t="str">
        <f>VLOOKUP($A320,Lcode_mapping!$C:$AA,B$1,FALSE)</f>
        <v>ScanName</v>
      </c>
      <c r="C320" t="str">
        <f>VLOOKUP($A320,Lcode_mapping!$C:$AA,C$1,FALSE)</f>
        <v>Scan</v>
      </c>
      <c r="D320" t="str">
        <f>VLOOKUP($A320,Lcode_mapping!$C:$AA,D$1,FALSE)</f>
        <v>Scan</v>
      </c>
      <c r="E320" t="str">
        <f>VLOOKUP($A320,Lcode_mapping!$C:$AA,E$1,FALSE)</f>
        <v>ScanNameFull</v>
      </c>
      <c r="F320" t="str">
        <f>VLOOKUP($A320,Lcode_mapping!$C:$AA,F$1,FALSE)</f>
        <v>A</v>
      </c>
      <c r="G320">
        <f>VLOOKUP($A320,Lcode_mapping!$C:$AA,G$1,FALSE)</f>
        <v>15</v>
      </c>
      <c r="H320">
        <f>VLOOKUP($A320,Lcode_mapping!$C:$AA,H$1,FALSE)</f>
        <v>1</v>
      </c>
      <c r="I320">
        <f>VLOOKUP($A320,Lcode_mapping!$C:$AA,I$1,FALSE)</f>
        <v>1</v>
      </c>
      <c r="J320" t="str">
        <f>VLOOKUP($A320,Lcode_mapping!$C:$AA,J$1,FALSE)</f>
        <v>ScanName=UTC TimeTag + SourceName</v>
      </c>
    </row>
    <row r="321" spans="1:10" x14ac:dyDescent="0.25">
      <c r="A321" s="12" t="s">
        <v>1941</v>
      </c>
      <c r="B321" t="str">
        <f>VLOOKUP($A321,Lcode_mapping!$C:$AA,B$1,FALSE)</f>
        <v>ScanTimeMJD</v>
      </c>
      <c r="C321" t="str">
        <f>VLOOKUP($A321,Lcode_mapping!$C:$AA,C$1,FALSE)</f>
        <v>Solve</v>
      </c>
      <c r="D321" t="str">
        <f>VLOOKUP($A321,Lcode_mapping!$C:$AA,D$1,FALSE)</f>
        <v>Scan</v>
      </c>
      <c r="E321" t="str">
        <f>VLOOKUP($A321,Lcode_mapping!$C:$AA,E$1,FALSE)</f>
        <v>DayFrac</v>
      </c>
      <c r="F321" t="str">
        <f>VLOOKUP($A321,Lcode_mapping!$C:$AA,F$1,FALSE)</f>
        <v>R</v>
      </c>
      <c r="G321">
        <f>VLOOKUP($A321,Lcode_mapping!$C:$AA,G$1,FALSE)</f>
        <v>1</v>
      </c>
      <c r="H321">
        <f>VLOOKUP($A321,Lcode_mapping!$C:$AA,H$1,FALSE)</f>
        <v>1</v>
      </c>
      <c r="I321">
        <f>VLOOKUP($A321,Lcode_mapping!$C:$AA,I$1,FALSE)</f>
        <v>1</v>
      </c>
      <c r="J321" t="str">
        <f>VLOOKUP($A321,Lcode_mapping!$C:$AA,J$1,FALSE)</f>
        <v>Fractional day time tag of scan</v>
      </c>
    </row>
    <row r="322" spans="1:10" x14ac:dyDescent="0.25">
      <c r="A322" s="12" t="s">
        <v>1942</v>
      </c>
      <c r="B322" t="str">
        <f>VLOOKUP($A322,Lcode_mapping!$C:$AA,B$1,FALSE)</f>
        <v>ScanTimeMJD</v>
      </c>
      <c r="C322" t="str">
        <f>VLOOKUP($A322,Lcode_mapping!$C:$AA,C$1,FALSE)</f>
        <v>Solve</v>
      </c>
      <c r="D322" t="str">
        <f>VLOOKUP($A322,Lcode_mapping!$C:$AA,D$1,FALSE)</f>
        <v>Scan</v>
      </c>
      <c r="E322" t="str">
        <f>VLOOKUP($A322,Lcode_mapping!$C:$AA,E$1,FALSE)</f>
        <v>MJD</v>
      </c>
      <c r="F322" t="str">
        <f>VLOOKUP($A322,Lcode_mapping!$C:$AA,F$1,FALSE)</f>
        <v>J</v>
      </c>
      <c r="G322">
        <f>VLOOKUP($A322,Lcode_mapping!$C:$AA,G$1,FALSE)</f>
        <v>1</v>
      </c>
      <c r="H322">
        <f>VLOOKUP($A322,Lcode_mapping!$C:$AA,H$1,FALSE)</f>
        <v>1</v>
      </c>
      <c r="I322">
        <f>VLOOKUP($A322,Lcode_mapping!$C:$AA,I$1,FALSE)</f>
        <v>1</v>
      </c>
      <c r="J322" t="str">
        <f>VLOOKUP($A322,Lcode_mapping!$C:$AA,J$1,FALSE)</f>
        <v>MJD time tag of scan</v>
      </c>
    </row>
    <row r="323" spans="1:10" x14ac:dyDescent="0.25">
      <c r="A323" s="12" t="s">
        <v>2403</v>
      </c>
      <c r="B323" t="str">
        <f>VLOOKUP($A323,Lcode_mapping!$C:$AA,B$1,FALSE)</f>
        <v>SelectionStatus</v>
      </c>
      <c r="C323" t="str">
        <f>VLOOKUP($A323,Lcode_mapping!$C:$AA,C$1,FALSE)</f>
        <v>Solve</v>
      </c>
      <c r="D323" t="str">
        <f>VLOOKUP($A323,Lcode_mapping!$C:$AA,D$1,FALSE)</f>
        <v>Session</v>
      </c>
      <c r="E323" t="str">
        <f>VLOOKUP($A323,Lcode_mapping!$C:$AA,E$1,FALSE)</f>
        <v>BaselineSelectionFlag</v>
      </c>
      <c r="F323" t="str">
        <f>VLOOKUP($A323,Lcode_mapping!$C:$AA,F$1,FALSE)</f>
        <v>I</v>
      </c>
      <c r="G323">
        <f>VLOOKUP($A323,Lcode_mapping!$C:$AA,G$1,FALSE)</f>
        <v>121</v>
      </c>
      <c r="H323">
        <f>VLOOKUP($A323,Lcode_mapping!$C:$AA,H$1,FALSE)</f>
        <v>1</v>
      </c>
      <c r="I323">
        <f>VLOOKUP($A323,Lcode_mapping!$C:$AA,I$1,FALSE)</f>
        <v>1</v>
      </c>
      <c r="J323" t="str">
        <f>VLOOKUP($A323,Lcode_mapping!$C:$AA,J$1,FALSE)</f>
        <v>Baseline selection bit maped array. 1=some obs, etc.</v>
      </c>
    </row>
    <row r="324" spans="1:10" x14ac:dyDescent="0.25">
      <c r="A324" s="12" t="s">
        <v>2404</v>
      </c>
      <c r="B324" t="str">
        <f>VLOOKUP($A324,Lcode_mapping!$C:$AA,B$1,FALSE)</f>
        <v>SelectionStatus</v>
      </c>
      <c r="C324" t="str">
        <f>VLOOKUP($A324,Lcode_mapping!$C:$AA,C$1,FALSE)</f>
        <v>Solve</v>
      </c>
      <c r="D324" t="str">
        <f>VLOOKUP($A324,Lcode_mapping!$C:$AA,D$1,FALSE)</f>
        <v>Session</v>
      </c>
      <c r="E324" t="str">
        <f>VLOOKUP($A324,Lcode_mapping!$C:$AA,E$1,FALSE)</f>
        <v>SourceSelectionFlag</v>
      </c>
      <c r="F324" t="str">
        <f>VLOOKUP($A324,Lcode_mapping!$C:$AA,F$1,FALSE)</f>
        <v>I</v>
      </c>
      <c r="G324">
        <f>VLOOKUP($A324,Lcode_mapping!$C:$AA,G$1,FALSE)</f>
        <v>70</v>
      </c>
      <c r="H324">
        <f>VLOOKUP($A324,Lcode_mapping!$C:$AA,H$1,FALSE)</f>
        <v>1</v>
      </c>
      <c r="I324">
        <f>VLOOKUP($A324,Lcode_mapping!$C:$AA,I$1,FALSE)</f>
        <v>1</v>
      </c>
      <c r="J324" t="str">
        <f>VLOOKUP($A324,Lcode_mapping!$C:$AA,J$1,FALSE)</f>
        <v>Source selection status bit-mapped array.</v>
      </c>
    </row>
    <row r="325" spans="1:10" x14ac:dyDescent="0.25">
      <c r="A325" s="12" t="s">
        <v>1456</v>
      </c>
      <c r="B325" t="str">
        <f>VLOOKUP($A325,Lcode_mapping!$C:$AA,B$1,FALSE)</f>
        <v>SNR_bS</v>
      </c>
      <c r="C325" t="str">
        <f>VLOOKUP($A325,Lcode_mapping!$C:$AA,C$1,FALSE)</f>
        <v>Observables</v>
      </c>
      <c r="D325" t="str">
        <f>VLOOKUP($A325,Lcode_mapping!$C:$AA,D$1,FALSE)</f>
        <v>Obs</v>
      </c>
      <c r="E325" t="str">
        <f>VLOOKUP($A325,Lcode_mapping!$C:$AA,E$1,FALSE)</f>
        <v>SNR</v>
      </c>
      <c r="F325" t="str">
        <f>VLOOKUP($A325,Lcode_mapping!$C:$AA,F$1,FALSE)</f>
        <v>R</v>
      </c>
      <c r="G325">
        <f>VLOOKUP($A325,Lcode_mapping!$C:$AA,G$1,FALSE)</f>
        <v>1</v>
      </c>
      <c r="H325">
        <f>VLOOKUP($A325,Lcode_mapping!$C:$AA,H$1,FALSE)</f>
        <v>1</v>
      </c>
      <c r="I325">
        <f>VLOOKUP($A325,Lcode_mapping!$C:$AA,I$1,FALSE)</f>
        <v>1</v>
      </c>
      <c r="J325" t="str">
        <f>VLOOKUP($A325,Lcode_mapping!$C:$AA,J$1,FALSE)</f>
        <v>Signal to noise ratio for S-band</v>
      </c>
    </row>
    <row r="326" spans="1:10" x14ac:dyDescent="0.25">
      <c r="A326" s="12" t="s">
        <v>2071</v>
      </c>
      <c r="B326" t="str">
        <f>VLOOKUP($A326,Lcode_mapping!$C:$AA,B$1,FALSE)</f>
        <v>Source</v>
      </c>
      <c r="C326" t="str">
        <f>VLOOKUP($A326,Lcode_mapping!$C:$AA,C$1,FALSE)</f>
        <v>Observables</v>
      </c>
      <c r="D326" t="str">
        <f>VLOOKUP($A326,Lcode_mapping!$C:$AA,D$1,FALSE)</f>
        <v>Obs</v>
      </c>
      <c r="E326" t="str">
        <f>VLOOKUP($A326,Lcode_mapping!$C:$AA,E$1,FALSE)</f>
        <v>Source</v>
      </c>
      <c r="F326" t="str">
        <f>VLOOKUP($A326,Lcode_mapping!$C:$AA,F$1,FALSE)</f>
        <v>A</v>
      </c>
      <c r="G326">
        <f>VLOOKUP($A326,Lcode_mapping!$C:$AA,G$1,FALSE)</f>
        <v>4</v>
      </c>
      <c r="H326">
        <f>VLOOKUP($A326,Lcode_mapping!$C:$AA,H$1,FALSE)</f>
        <v>1</v>
      </c>
      <c r="I326">
        <f>VLOOKUP($A326,Lcode_mapping!$C:$AA,I$1,FALSE)</f>
        <v>1</v>
      </c>
      <c r="J326" t="str">
        <f>VLOOKUP($A326,Lcode_mapping!$C:$AA,J$1,FALSE)</f>
        <v>Radio source name.</v>
      </c>
    </row>
    <row r="327" spans="1:10" x14ac:dyDescent="0.25">
      <c r="A327" s="12" t="s">
        <v>1907</v>
      </c>
      <c r="B327" t="e">
        <f>VLOOKUP($A327,Lcode_mapping!$C:$AA,B$1,FALSE)</f>
        <v>#N/A</v>
      </c>
      <c r="C327" t="e">
        <f>VLOOKUP($A327,Lcode_mapping!$C:$AA,C$1,FALSE)</f>
        <v>#N/A</v>
      </c>
      <c r="D327" t="e">
        <f>VLOOKUP($A327,Lcode_mapping!$C:$AA,D$1,FALSE)</f>
        <v>#N/A</v>
      </c>
      <c r="E327" t="e">
        <f>VLOOKUP($A327,Lcode_mapping!$C:$AA,E$1,FALSE)</f>
        <v>#N/A</v>
      </c>
      <c r="F327" t="e">
        <f>VLOOKUP($A327,Lcode_mapping!$C:$AA,F$1,FALSE)</f>
        <v>#N/A</v>
      </c>
      <c r="G327" t="e">
        <f>VLOOKUP($A327,Lcode_mapping!$C:$AA,G$1,FALSE)</f>
        <v>#N/A</v>
      </c>
      <c r="H327" t="e">
        <f>VLOOKUP($A327,Lcode_mapping!$C:$AA,H$1,FALSE)</f>
        <v>#N/A</v>
      </c>
      <c r="I327" t="e">
        <f>VLOOKUP($A327,Lcode_mapping!$C:$AA,I$1,FALSE)</f>
        <v>#N/A</v>
      </c>
      <c r="J327" t="e">
        <f>VLOOKUP($A327,Lcode_mapping!$C:$AA,J$1,FALSE)</f>
        <v>#N/A</v>
      </c>
    </row>
    <row r="328" spans="1:10" x14ac:dyDescent="0.25">
      <c r="A328" s="12" t="s">
        <v>2154</v>
      </c>
      <c r="B328" t="e">
        <f>VLOOKUP($A328,Lcode_mapping!$C:$AA,B$1,FALSE)</f>
        <v>#N/A</v>
      </c>
      <c r="C328" t="e">
        <f>VLOOKUP($A328,Lcode_mapping!$C:$AA,C$1,FALSE)</f>
        <v>#N/A</v>
      </c>
      <c r="D328" t="e">
        <f>VLOOKUP($A328,Lcode_mapping!$C:$AA,D$1,FALSE)</f>
        <v>#N/A</v>
      </c>
      <c r="E328" t="e">
        <f>VLOOKUP($A328,Lcode_mapping!$C:$AA,E$1,FALSE)</f>
        <v>#N/A</v>
      </c>
      <c r="F328" t="e">
        <f>VLOOKUP($A328,Lcode_mapping!$C:$AA,F$1,FALSE)</f>
        <v>#N/A</v>
      </c>
      <c r="G328" t="e">
        <f>VLOOKUP($A328,Lcode_mapping!$C:$AA,G$1,FALSE)</f>
        <v>#N/A</v>
      </c>
      <c r="H328" t="e">
        <f>VLOOKUP($A328,Lcode_mapping!$C:$AA,H$1,FALSE)</f>
        <v>#N/A</v>
      </c>
      <c r="I328" t="e">
        <f>VLOOKUP($A328,Lcode_mapping!$C:$AA,I$1,FALSE)</f>
        <v>#N/A</v>
      </c>
      <c r="J328" t="e">
        <f>VLOOKUP($A328,Lcode_mapping!$C:$AA,J$1,FALSE)</f>
        <v>#N/A</v>
      </c>
    </row>
    <row r="329" spans="1:10" x14ac:dyDescent="0.25">
      <c r="A329" s="12" t="s">
        <v>1476</v>
      </c>
      <c r="B329" t="e">
        <f>VLOOKUP($A329,Lcode_mapping!$C:$AA,B$1,FALSE)</f>
        <v>#N/A</v>
      </c>
      <c r="C329" t="e">
        <f>VLOOKUP($A329,Lcode_mapping!$C:$AA,C$1,FALSE)</f>
        <v>#N/A</v>
      </c>
      <c r="D329" t="e">
        <f>VLOOKUP($A329,Lcode_mapping!$C:$AA,D$1,FALSE)</f>
        <v>#N/A</v>
      </c>
      <c r="E329" t="e">
        <f>VLOOKUP($A329,Lcode_mapping!$C:$AA,E$1,FALSE)</f>
        <v>#N/A</v>
      </c>
      <c r="F329" t="e">
        <f>VLOOKUP($A329,Lcode_mapping!$C:$AA,F$1,FALSE)</f>
        <v>#N/A</v>
      </c>
      <c r="G329" t="e">
        <f>VLOOKUP($A329,Lcode_mapping!$C:$AA,G$1,FALSE)</f>
        <v>#N/A</v>
      </c>
      <c r="H329" t="e">
        <f>VLOOKUP($A329,Lcode_mapping!$C:$AA,H$1,FALSE)</f>
        <v>#N/A</v>
      </c>
      <c r="I329" t="e">
        <f>VLOOKUP($A329,Lcode_mapping!$C:$AA,I$1,FALSE)</f>
        <v>#N/A</v>
      </c>
      <c r="J329" t="e">
        <f>VLOOKUP($A329,Lcode_mapping!$C:$AA,J$1,FALSE)</f>
        <v>#N/A</v>
      </c>
    </row>
    <row r="330" spans="1:10" x14ac:dyDescent="0.25">
      <c r="A330" s="12" t="s">
        <v>1928</v>
      </c>
      <c r="B330" t="str">
        <f>VLOOKUP($A330,Lcode_mapping!$C:$AA,B$1,FALSE)</f>
        <v>SourceCrossRef</v>
      </c>
      <c r="C330" t="str">
        <f>VLOOKUP($A330,Lcode_mapping!$C:$AA,C$1,FALSE)</f>
        <v>CrossReference</v>
      </c>
      <c r="D330" t="str">
        <f>VLOOKUP($A330,Lcode_mapping!$C:$AA,D$1,FALSE)</f>
        <v>Session</v>
      </c>
      <c r="E330" t="str">
        <f>VLOOKUP($A330,Lcode_mapping!$C:$AA,E$1,FALSE)</f>
        <v>Scan2Source</v>
      </c>
      <c r="F330" t="str">
        <f>VLOOKUP($A330,Lcode_mapping!$C:$AA,F$1,FALSE)</f>
        <v>J</v>
      </c>
      <c r="G330">
        <f>VLOOKUP($A330,Lcode_mapping!$C:$AA,G$1,FALSE)</f>
        <v>1</v>
      </c>
      <c r="H330">
        <f>VLOOKUP($A330,Lcode_mapping!$C:$AA,H$1,FALSE)</f>
        <v>1</v>
      </c>
      <c r="I330">
        <f>VLOOKUP($A330,Lcode_mapping!$C:$AA,I$1,FALSE)</f>
        <v>1</v>
      </c>
      <c r="J330" t="str">
        <f>VLOOKUP($A330,Lcode_mapping!$C:$AA,J$1,FALSE)</f>
        <v>Cross reference scan to source</v>
      </c>
    </row>
    <row r="331" spans="1:10" x14ac:dyDescent="0.25">
      <c r="A331" s="12" t="s">
        <v>2083</v>
      </c>
      <c r="B331" t="e">
        <f>VLOOKUP($A331,Lcode_mapping!$C:$AA,B$1,FALSE)</f>
        <v>#N/A</v>
      </c>
      <c r="C331" t="e">
        <f>VLOOKUP($A331,Lcode_mapping!$C:$AA,C$1,FALSE)</f>
        <v>#N/A</v>
      </c>
      <c r="D331" t="e">
        <f>VLOOKUP($A331,Lcode_mapping!$C:$AA,D$1,FALSE)</f>
        <v>#N/A</v>
      </c>
      <c r="E331" t="e">
        <f>VLOOKUP($A331,Lcode_mapping!$C:$AA,E$1,FALSE)</f>
        <v>#N/A</v>
      </c>
      <c r="F331" t="e">
        <f>VLOOKUP($A331,Lcode_mapping!$C:$AA,F$1,FALSE)</f>
        <v>#N/A</v>
      </c>
      <c r="G331" t="e">
        <f>VLOOKUP($A331,Lcode_mapping!$C:$AA,G$1,FALSE)</f>
        <v>#N/A</v>
      </c>
      <c r="H331" t="e">
        <f>VLOOKUP($A331,Lcode_mapping!$C:$AA,H$1,FALSE)</f>
        <v>#N/A</v>
      </c>
      <c r="I331" t="e">
        <f>VLOOKUP($A331,Lcode_mapping!$C:$AA,I$1,FALSE)</f>
        <v>#N/A</v>
      </c>
      <c r="J331" t="e">
        <f>VLOOKUP($A331,Lcode_mapping!$C:$AA,J$1,FALSE)</f>
        <v>#N/A</v>
      </c>
    </row>
    <row r="332" spans="1:10" x14ac:dyDescent="0.25">
      <c r="A332" s="12" t="s">
        <v>1498</v>
      </c>
      <c r="B332" t="e">
        <f>VLOOKUP($A332,Lcode_mapping!$C:$AA,B$1,FALSE)</f>
        <v>#N/A</v>
      </c>
      <c r="C332" t="e">
        <f>VLOOKUP($A332,Lcode_mapping!$C:$AA,C$1,FALSE)</f>
        <v>#N/A</v>
      </c>
      <c r="D332" t="e">
        <f>VLOOKUP($A332,Lcode_mapping!$C:$AA,D$1,FALSE)</f>
        <v>#N/A</v>
      </c>
      <c r="E332" t="e">
        <f>VLOOKUP($A332,Lcode_mapping!$C:$AA,E$1,FALSE)</f>
        <v>#N/A</v>
      </c>
      <c r="F332" t="e">
        <f>VLOOKUP($A332,Lcode_mapping!$C:$AA,F$1,FALSE)</f>
        <v>#N/A</v>
      </c>
      <c r="G332" t="e">
        <f>VLOOKUP($A332,Lcode_mapping!$C:$AA,G$1,FALSE)</f>
        <v>#N/A</v>
      </c>
      <c r="H332" t="e">
        <f>VLOOKUP($A332,Lcode_mapping!$C:$AA,H$1,FALSE)</f>
        <v>#N/A</v>
      </c>
      <c r="I332" t="e">
        <f>VLOOKUP($A332,Lcode_mapping!$C:$AA,I$1,FALSE)</f>
        <v>#N/A</v>
      </c>
      <c r="J332" t="e">
        <f>VLOOKUP($A332,Lcode_mapping!$C:$AA,J$1,FALSE)</f>
        <v>#N/A</v>
      </c>
    </row>
    <row r="333" spans="1:10" x14ac:dyDescent="0.25">
      <c r="A333" s="12" t="s">
        <v>1468</v>
      </c>
      <c r="B333" t="e">
        <f>VLOOKUP($A333,Lcode_mapping!$C:$AA,B$1,FALSE)</f>
        <v>#N/A</v>
      </c>
      <c r="C333" t="e">
        <f>VLOOKUP($A333,Lcode_mapping!$C:$AA,C$1,FALSE)</f>
        <v>#N/A</v>
      </c>
      <c r="D333" t="e">
        <f>VLOOKUP($A333,Lcode_mapping!$C:$AA,D$1,FALSE)</f>
        <v>#N/A</v>
      </c>
      <c r="E333" t="e">
        <f>VLOOKUP($A333,Lcode_mapping!$C:$AA,E$1,FALSE)</f>
        <v>#N/A</v>
      </c>
      <c r="F333" t="e">
        <f>VLOOKUP($A333,Lcode_mapping!$C:$AA,F$1,FALSE)</f>
        <v>#N/A</v>
      </c>
      <c r="G333" t="e">
        <f>VLOOKUP($A333,Lcode_mapping!$C:$AA,G$1,FALSE)</f>
        <v>#N/A</v>
      </c>
      <c r="H333" t="e">
        <f>VLOOKUP($A333,Lcode_mapping!$C:$AA,H$1,FALSE)</f>
        <v>#N/A</v>
      </c>
      <c r="I333" t="e">
        <f>VLOOKUP($A333,Lcode_mapping!$C:$AA,I$1,FALSE)</f>
        <v>#N/A</v>
      </c>
      <c r="J333" t="e">
        <f>VLOOKUP($A333,Lcode_mapping!$C:$AA,J$1,FALSE)</f>
        <v>#N/A</v>
      </c>
    </row>
    <row r="334" spans="1:10" x14ac:dyDescent="0.25">
      <c r="A334" s="12" t="s">
        <v>1463</v>
      </c>
      <c r="B334" t="e">
        <f>VLOOKUP($A334,Lcode_mapping!$C:$AA,B$1,FALSE)</f>
        <v>#N/A</v>
      </c>
      <c r="C334" t="e">
        <f>VLOOKUP($A334,Lcode_mapping!$C:$AA,C$1,FALSE)</f>
        <v>#N/A</v>
      </c>
      <c r="D334" t="e">
        <f>VLOOKUP($A334,Lcode_mapping!$C:$AA,D$1,FALSE)</f>
        <v>#N/A</v>
      </c>
      <c r="E334" t="e">
        <f>VLOOKUP($A334,Lcode_mapping!$C:$AA,E$1,FALSE)</f>
        <v>#N/A</v>
      </c>
      <c r="F334" t="e">
        <f>VLOOKUP($A334,Lcode_mapping!$C:$AA,F$1,FALSE)</f>
        <v>#N/A</v>
      </c>
      <c r="G334" t="e">
        <f>VLOOKUP($A334,Lcode_mapping!$C:$AA,G$1,FALSE)</f>
        <v>#N/A</v>
      </c>
      <c r="H334" t="e">
        <f>VLOOKUP($A334,Lcode_mapping!$C:$AA,H$1,FALSE)</f>
        <v>#N/A</v>
      </c>
      <c r="I334" t="e">
        <f>VLOOKUP($A334,Lcode_mapping!$C:$AA,I$1,FALSE)</f>
        <v>#N/A</v>
      </c>
      <c r="J334" t="e">
        <f>VLOOKUP($A334,Lcode_mapping!$C:$AA,J$1,FALSE)</f>
        <v>#N/A</v>
      </c>
    </row>
    <row r="335" spans="1:10" x14ac:dyDescent="0.25">
      <c r="A335" s="12" t="s">
        <v>2149</v>
      </c>
      <c r="B335" t="e">
        <f>VLOOKUP($A335,Lcode_mapping!$C:$AA,B$1,FALSE)</f>
        <v>#N/A</v>
      </c>
      <c r="C335" t="e">
        <f>VLOOKUP($A335,Lcode_mapping!$C:$AA,C$1,FALSE)</f>
        <v>#N/A</v>
      </c>
      <c r="D335" t="e">
        <f>VLOOKUP($A335,Lcode_mapping!$C:$AA,D$1,FALSE)</f>
        <v>#N/A</v>
      </c>
      <c r="E335" t="e">
        <f>VLOOKUP($A335,Lcode_mapping!$C:$AA,E$1,FALSE)</f>
        <v>#N/A</v>
      </c>
      <c r="F335" t="e">
        <f>VLOOKUP($A335,Lcode_mapping!$C:$AA,F$1,FALSE)</f>
        <v>#N/A</v>
      </c>
      <c r="G335" t="e">
        <f>VLOOKUP($A335,Lcode_mapping!$C:$AA,G$1,FALSE)</f>
        <v>#N/A</v>
      </c>
      <c r="H335" t="e">
        <f>VLOOKUP($A335,Lcode_mapping!$C:$AA,H$1,FALSE)</f>
        <v>#N/A</v>
      </c>
      <c r="I335" t="e">
        <f>VLOOKUP($A335,Lcode_mapping!$C:$AA,I$1,FALSE)</f>
        <v>#N/A</v>
      </c>
      <c r="J335" t="e">
        <f>VLOOKUP($A335,Lcode_mapping!$C:$AA,J$1,FALSE)</f>
        <v>#N/A</v>
      </c>
    </row>
    <row r="336" spans="1:10" x14ac:dyDescent="0.25">
      <c r="A336" s="12" t="s">
        <v>1911</v>
      </c>
      <c r="B336" t="str">
        <f>VLOOKUP($A336,Lcode_mapping!$C:$AA,B$1,FALSE)</f>
        <v>Eccentricity</v>
      </c>
      <c r="C336" t="str">
        <f>VLOOKUP($A336,Lcode_mapping!$C:$AA,C$1,FALSE)</f>
        <v>Apriori</v>
      </c>
      <c r="D336" t="str">
        <f>VLOOKUP($A336,Lcode_mapping!$C:$AA,D$1,FALSE)</f>
        <v>Session</v>
      </c>
      <c r="E336" t="str">
        <f>VLOOKUP($A336,Lcode_mapping!$C:$AA,E$1,FALSE)</f>
        <v>EccentricityMonument</v>
      </c>
      <c r="F336" t="str">
        <f>VLOOKUP($A336,Lcode_mapping!$C:$AA,F$1,FALSE)</f>
        <v>A</v>
      </c>
      <c r="G336">
        <f>VLOOKUP($A336,Lcode_mapping!$C:$AA,G$1,FALSE)</f>
        <v>9</v>
      </c>
      <c r="H336">
        <f>VLOOKUP($A336,Lcode_mapping!$C:$AA,H$1,FALSE)</f>
        <v>11</v>
      </c>
      <c r="I336">
        <f>VLOOKUP($A336,Lcode_mapping!$C:$AA,I$1,FALSE)</f>
        <v>1</v>
      </c>
      <c r="J336" t="str">
        <f>VLOOKUP($A336,Lcode_mapping!$C:$AA,J$1,FALSE)</f>
        <v>Eccentricity monument name</v>
      </c>
    </row>
    <row r="337" spans="1:10" x14ac:dyDescent="0.25">
      <c r="A337" s="12" t="s">
        <v>1909</v>
      </c>
      <c r="B337" t="str">
        <f>VLOOKUP($A337,Lcode_mapping!$C:$AA,B$1,FALSE)</f>
        <v>Eccentricity</v>
      </c>
      <c r="C337" t="str">
        <f>VLOOKUP($A337,Lcode_mapping!$C:$AA,C$1,FALSE)</f>
        <v>Apriori</v>
      </c>
      <c r="D337" t="str">
        <f>VLOOKUP($A337,Lcode_mapping!$C:$AA,D$1,FALSE)</f>
        <v>Session</v>
      </c>
      <c r="E337" t="str">
        <f>VLOOKUP($A337,Lcode_mapping!$C:$AA,E$1,FALSE)</f>
        <v>EccentricityType</v>
      </c>
      <c r="F337" t="str">
        <f>VLOOKUP($A337,Lcode_mapping!$C:$AA,F$1,FALSE)</f>
        <v>A</v>
      </c>
      <c r="G337">
        <f>VLOOKUP($A337,Lcode_mapping!$C:$AA,G$1,FALSE)</f>
        <v>11</v>
      </c>
      <c r="H337">
        <f>VLOOKUP($A337,Lcode_mapping!$C:$AA,H$1,FALSE)</f>
        <v>1</v>
      </c>
      <c r="I337">
        <f>VLOOKUP($A337,Lcode_mapping!$C:$AA,I$1,FALSE)</f>
        <v>1</v>
      </c>
      <c r="J337" t="str">
        <f>VLOOKUP($A337,Lcode_mapping!$C:$AA,J$1,FALSE)</f>
        <v>Eccentricity type: XY or NE</v>
      </c>
    </row>
    <row r="338" spans="1:10" x14ac:dyDescent="0.25">
      <c r="A338" s="12" t="s">
        <v>1910</v>
      </c>
      <c r="B338" t="str">
        <f>VLOOKUP($A338,Lcode_mapping!$C:$AA,B$1,FALSE)</f>
        <v>Eccentricity</v>
      </c>
      <c r="C338" t="str">
        <f>VLOOKUP($A338,Lcode_mapping!$C:$AA,C$1,FALSE)</f>
        <v>Apriori</v>
      </c>
      <c r="D338" t="str">
        <f>VLOOKUP($A338,Lcode_mapping!$C:$AA,D$1,FALSE)</f>
        <v>Session</v>
      </c>
      <c r="E338" t="str">
        <f>VLOOKUP($A338,Lcode_mapping!$C:$AA,E$1,FALSE)</f>
        <v>EccentricityVector</v>
      </c>
      <c r="F338" t="str">
        <f>VLOOKUP($A338,Lcode_mapping!$C:$AA,F$1,FALSE)</f>
        <v>R</v>
      </c>
      <c r="G338">
        <f>VLOOKUP($A338,Lcode_mapping!$C:$AA,G$1,FALSE)</f>
        <v>3</v>
      </c>
      <c r="H338">
        <f>VLOOKUP($A338,Lcode_mapping!$C:$AA,H$1,FALSE)</f>
        <v>11</v>
      </c>
      <c r="I338">
        <f>VLOOKUP($A338,Lcode_mapping!$C:$AA,I$1,FALSE)</f>
        <v>1</v>
      </c>
      <c r="J338" t="str">
        <f>VLOOKUP($A338,Lcode_mapping!$C:$AA,J$1,FALSE)</f>
        <v>Eccentricity taken from eccentricity file.</v>
      </c>
    </row>
    <row r="339" spans="1:10" x14ac:dyDescent="0.25">
      <c r="A339" s="12" t="s">
        <v>1272</v>
      </c>
      <c r="B339" t="e">
        <f>VLOOKUP($A339,Lcode_mapping!$C:$AA,B$1,FALSE)</f>
        <v>#N/A</v>
      </c>
      <c r="C339" t="e">
        <f>VLOOKUP($A339,Lcode_mapping!$C:$AA,C$1,FALSE)</f>
        <v>#N/A</v>
      </c>
      <c r="D339" t="e">
        <f>VLOOKUP($A339,Lcode_mapping!$C:$AA,D$1,FALSE)</f>
        <v>#N/A</v>
      </c>
      <c r="E339" t="e">
        <f>VLOOKUP($A339,Lcode_mapping!$C:$AA,E$1,FALSE)</f>
        <v>#N/A</v>
      </c>
      <c r="F339" t="e">
        <f>VLOOKUP($A339,Lcode_mapping!$C:$AA,F$1,FALSE)</f>
        <v>#N/A</v>
      </c>
      <c r="G339" t="e">
        <f>VLOOKUP($A339,Lcode_mapping!$C:$AA,G$1,FALSE)</f>
        <v>#N/A</v>
      </c>
      <c r="H339" t="e">
        <f>VLOOKUP($A339,Lcode_mapping!$C:$AA,H$1,FALSE)</f>
        <v>#N/A</v>
      </c>
      <c r="I339" t="e">
        <f>VLOOKUP($A339,Lcode_mapping!$C:$AA,I$1,FALSE)</f>
        <v>#N/A</v>
      </c>
      <c r="J339" t="e">
        <f>VLOOKUP($A339,Lcode_mapping!$C:$AA,J$1,FALSE)</f>
        <v>#N/A</v>
      </c>
    </row>
    <row r="340" spans="1:10" x14ac:dyDescent="0.25">
      <c r="A340" s="12" t="s">
        <v>2081</v>
      </c>
      <c r="B340" t="e">
        <f>VLOOKUP($A340,Lcode_mapping!$C:$AA,B$1,FALSE)</f>
        <v>#N/A</v>
      </c>
      <c r="C340" t="e">
        <f>VLOOKUP($A340,Lcode_mapping!$C:$AA,C$1,FALSE)</f>
        <v>#N/A</v>
      </c>
      <c r="D340" t="e">
        <f>VLOOKUP($A340,Lcode_mapping!$C:$AA,D$1,FALSE)</f>
        <v>#N/A</v>
      </c>
      <c r="E340" t="e">
        <f>VLOOKUP($A340,Lcode_mapping!$C:$AA,E$1,FALSE)</f>
        <v>#N/A</v>
      </c>
      <c r="F340" t="e">
        <f>VLOOKUP($A340,Lcode_mapping!$C:$AA,F$1,FALSE)</f>
        <v>#N/A</v>
      </c>
      <c r="G340" t="e">
        <f>VLOOKUP($A340,Lcode_mapping!$C:$AA,G$1,FALSE)</f>
        <v>#N/A</v>
      </c>
      <c r="H340" t="e">
        <f>VLOOKUP($A340,Lcode_mapping!$C:$AA,H$1,FALSE)</f>
        <v>#N/A</v>
      </c>
      <c r="I340" t="e">
        <f>VLOOKUP($A340,Lcode_mapping!$C:$AA,I$1,FALSE)</f>
        <v>#N/A</v>
      </c>
      <c r="J340" t="e">
        <f>VLOOKUP($A340,Lcode_mapping!$C:$AA,J$1,FALSE)</f>
        <v>#N/A</v>
      </c>
    </row>
    <row r="341" spans="1:10" x14ac:dyDescent="0.25">
      <c r="A341" s="12" t="s">
        <v>1466</v>
      </c>
      <c r="B341" t="e">
        <f>VLOOKUP($A341,Lcode_mapping!$C:$AA,B$1,FALSE)</f>
        <v>#N/A</v>
      </c>
      <c r="C341" t="e">
        <f>VLOOKUP($A341,Lcode_mapping!$C:$AA,C$1,FALSE)</f>
        <v>#N/A</v>
      </c>
      <c r="D341" t="e">
        <f>VLOOKUP($A341,Lcode_mapping!$C:$AA,D$1,FALSE)</f>
        <v>#N/A</v>
      </c>
      <c r="E341" t="e">
        <f>VLOOKUP($A341,Lcode_mapping!$C:$AA,E$1,FALSE)</f>
        <v>#N/A</v>
      </c>
      <c r="F341" t="e">
        <f>VLOOKUP($A341,Lcode_mapping!$C:$AA,F$1,FALSE)</f>
        <v>#N/A</v>
      </c>
      <c r="G341" t="e">
        <f>VLOOKUP($A341,Lcode_mapping!$C:$AA,G$1,FALSE)</f>
        <v>#N/A</v>
      </c>
      <c r="H341" t="e">
        <f>VLOOKUP($A341,Lcode_mapping!$C:$AA,H$1,FALSE)</f>
        <v>#N/A</v>
      </c>
      <c r="I341" t="e">
        <f>VLOOKUP($A341,Lcode_mapping!$C:$AA,I$1,FALSE)</f>
        <v>#N/A</v>
      </c>
      <c r="J341" t="e">
        <f>VLOOKUP($A341,Lcode_mapping!$C:$AA,J$1,FALSE)</f>
        <v>#N/A</v>
      </c>
    </row>
    <row r="342" spans="1:10" x14ac:dyDescent="0.25">
      <c r="A342" s="12" t="s">
        <v>1940</v>
      </c>
      <c r="B342" t="str">
        <f>VLOOKUP($A342,Lcode_mapping!$C:$AA,B$1,FALSE)</f>
        <v>StationCrossRef</v>
      </c>
      <c r="C342" t="str">
        <f>VLOOKUP($A342,Lcode_mapping!$C:$AA,C$1,FALSE)</f>
        <v>CrossReference</v>
      </c>
      <c r="D342" t="str">
        <f>VLOOKUP($A342,Lcode_mapping!$C:$AA,D$1,FALSE)</f>
        <v>Session</v>
      </c>
      <c r="E342" t="str">
        <f>VLOOKUP($A342,Lcode_mapping!$C:$AA,E$1,FALSE)</f>
        <v>NumScansPerStation</v>
      </c>
      <c r="F342" t="str">
        <f>VLOOKUP($A342,Lcode_mapping!$C:$AA,F$1,FALSE)</f>
        <v>J</v>
      </c>
      <c r="G342">
        <f>VLOOKUP($A342,Lcode_mapping!$C:$AA,G$1,FALSE)</f>
        <v>1</v>
      </c>
      <c r="H342">
        <f>VLOOKUP($A342,Lcode_mapping!$C:$AA,H$1,FALSE)</f>
        <v>1</v>
      </c>
      <c r="I342">
        <f>VLOOKUP($A342,Lcode_mapping!$C:$AA,I$1,FALSE)</f>
        <v>1</v>
      </c>
      <c r="J342" t="str">
        <f>VLOOKUP($A342,Lcode_mapping!$C:$AA,J$1,FALSE)</f>
        <v>Number of scans per station.</v>
      </c>
    </row>
    <row r="343" spans="1:10" x14ac:dyDescent="0.25">
      <c r="A343" s="12" t="s">
        <v>1929</v>
      </c>
      <c r="B343" t="str">
        <f>VLOOKUP($A343,Lcode_mapping!$C:$AA,B$1,FALSE)</f>
        <v>StationCrossRef</v>
      </c>
      <c r="C343" t="str">
        <f>VLOOKUP($A343,Lcode_mapping!$C:$AA,C$1,FALSE)</f>
        <v>CrossReference</v>
      </c>
      <c r="D343" t="str">
        <f>VLOOKUP($A343,Lcode_mapping!$C:$AA,D$1,FALSE)</f>
        <v>Session</v>
      </c>
      <c r="E343" t="str">
        <f>VLOOKUP($A343,Lcode_mapping!$C:$AA,E$1,FALSE)</f>
        <v>Scan2Station</v>
      </c>
      <c r="F343" t="str">
        <f>VLOOKUP($A343,Lcode_mapping!$C:$AA,F$1,FALSE)</f>
        <v>J</v>
      </c>
      <c r="G343">
        <f>VLOOKUP($A343,Lcode_mapping!$C:$AA,G$1,FALSE)</f>
        <v>1</v>
      </c>
      <c r="H343">
        <f>VLOOKUP($A343,Lcode_mapping!$C:$AA,H$1,FALSE)</f>
        <v>1</v>
      </c>
      <c r="I343">
        <f>VLOOKUP($A343,Lcode_mapping!$C:$AA,I$1,FALSE)</f>
        <v>1</v>
      </c>
      <c r="J343" t="str">
        <f>VLOOKUP($A343,Lcode_mapping!$C:$AA,J$1,FALSE)</f>
        <v>Cross reference scans to station</v>
      </c>
    </row>
    <row r="344" spans="1:10" x14ac:dyDescent="0.25">
      <c r="A344" s="12" t="s">
        <v>1930</v>
      </c>
      <c r="B344" t="str">
        <f>VLOOKUP($A344,Lcode_mapping!$C:$AA,B$1,FALSE)</f>
        <v>StationCrossRef</v>
      </c>
      <c r="C344" t="str">
        <f>VLOOKUP($A344,Lcode_mapping!$C:$AA,C$1,FALSE)</f>
        <v>CrossReference</v>
      </c>
      <c r="D344" t="str">
        <f>VLOOKUP($A344,Lcode_mapping!$C:$AA,D$1,FALSE)</f>
        <v>Session</v>
      </c>
      <c r="E344" t="str">
        <f>VLOOKUP($A344,Lcode_mapping!$C:$AA,E$1,FALSE)</f>
        <v>Station2Scan</v>
      </c>
      <c r="F344" t="str">
        <f>VLOOKUP($A344,Lcode_mapping!$C:$AA,F$1,FALSE)</f>
        <v>J</v>
      </c>
      <c r="G344">
        <f>VLOOKUP($A344,Lcode_mapping!$C:$AA,G$1,FALSE)</f>
        <v>1</v>
      </c>
      <c r="H344">
        <f>VLOOKUP($A344,Lcode_mapping!$C:$AA,H$1,FALSE)</f>
        <v>1</v>
      </c>
      <c r="I344">
        <f>VLOOKUP($A344,Lcode_mapping!$C:$AA,I$1,FALSE)</f>
        <v>1</v>
      </c>
      <c r="J344" t="str">
        <f>VLOOKUP($A344,Lcode_mapping!$C:$AA,J$1,FALSE)</f>
        <v>Cross reference station-scan to schedule-scan</v>
      </c>
    </row>
    <row r="345" spans="1:10" x14ac:dyDescent="0.25">
      <c r="A345" s="12" t="s">
        <v>2080</v>
      </c>
      <c r="B345" t="e">
        <f>VLOOKUP($A345,Lcode_mapping!$C:$AA,B$1,FALSE)</f>
        <v>#N/A</v>
      </c>
      <c r="C345" t="e">
        <f>VLOOKUP($A345,Lcode_mapping!$C:$AA,C$1,FALSE)</f>
        <v>#N/A</v>
      </c>
      <c r="D345" t="e">
        <f>VLOOKUP($A345,Lcode_mapping!$C:$AA,D$1,FALSE)</f>
        <v>#N/A</v>
      </c>
      <c r="E345" t="e">
        <f>VLOOKUP($A345,Lcode_mapping!$C:$AA,E$1,FALSE)</f>
        <v>#N/A</v>
      </c>
      <c r="F345" t="e">
        <f>VLOOKUP($A345,Lcode_mapping!$C:$AA,F$1,FALSE)</f>
        <v>#N/A</v>
      </c>
      <c r="G345" t="e">
        <f>VLOOKUP($A345,Lcode_mapping!$C:$AA,G$1,FALSE)</f>
        <v>#N/A</v>
      </c>
      <c r="H345" t="e">
        <f>VLOOKUP($A345,Lcode_mapping!$C:$AA,H$1,FALSE)</f>
        <v>#N/A</v>
      </c>
      <c r="I345" t="e">
        <f>VLOOKUP($A345,Lcode_mapping!$C:$AA,I$1,FALSE)</f>
        <v>#N/A</v>
      </c>
      <c r="J345" t="e">
        <f>VLOOKUP($A345,Lcode_mapping!$C:$AA,J$1,FALSE)</f>
        <v>#N/A</v>
      </c>
    </row>
    <row r="346" spans="1:10" x14ac:dyDescent="0.25">
      <c r="A346" s="12" t="s">
        <v>1840</v>
      </c>
      <c r="B346" t="str">
        <f>VLOOKUP($A346,Lcode_mapping!$C:$AA,B$1,FALSE)</f>
        <v>TimeUTC</v>
      </c>
      <c r="C346" t="str">
        <f>VLOOKUP($A346,Lcode_mapping!$C:$AA,C$1,FALSE)</f>
        <v>-</v>
      </c>
      <c r="D346" t="str">
        <f>VLOOKUP($A346,Lcode_mapping!$C:$AA,D$1,FALSE)</f>
        <v>Station</v>
      </c>
      <c r="E346" t="str">
        <f>VLOOKUP($A346,Lcode_mapping!$C:$AA,E$1,FALSE)</f>
        <v>Second</v>
      </c>
      <c r="F346" t="str">
        <f>VLOOKUP($A346,Lcode_mapping!$C:$AA,F$1,FALSE)</f>
        <v>R</v>
      </c>
      <c r="G346">
        <f>VLOOKUP($A346,Lcode_mapping!$C:$AA,G$1,FALSE)</f>
        <v>1</v>
      </c>
      <c r="H346">
        <f>VLOOKUP($A346,Lcode_mapping!$C:$AA,H$1,FALSE)</f>
        <v>1</v>
      </c>
      <c r="I346">
        <f>VLOOKUP($A346,Lcode_mapping!$C:$AA,I$1,FALSE)</f>
        <v>1</v>
      </c>
      <c r="J346" t="str">
        <f>VLOOKUP($A346,Lcode_mapping!$C:$AA,J$1,FALSE)</f>
        <v>Seconds part of time-tag</v>
      </c>
    </row>
    <row r="347" spans="1:10" x14ac:dyDescent="0.25">
      <c r="A347" s="12" t="s">
        <v>1839</v>
      </c>
      <c r="B347" t="str">
        <f>VLOOKUP($A347,Lcode_mapping!$C:$AA,B$1,FALSE)</f>
        <v>TimeUTC</v>
      </c>
      <c r="C347" t="str">
        <f>VLOOKUP($A347,Lcode_mapping!$C:$AA,C$1,FALSE)</f>
        <v>-</v>
      </c>
      <c r="D347" t="str">
        <f>VLOOKUP($A347,Lcode_mapping!$C:$AA,D$1,FALSE)</f>
        <v>Station</v>
      </c>
      <c r="E347" t="str">
        <f>VLOOKUP($A347,Lcode_mapping!$C:$AA,E$1,FALSE)</f>
        <v>YMDHM</v>
      </c>
      <c r="F347" t="str">
        <f>VLOOKUP($A347,Lcode_mapping!$C:$AA,F$1,FALSE)</f>
        <v>I</v>
      </c>
      <c r="G347">
        <f>VLOOKUP($A347,Lcode_mapping!$C:$AA,G$1,FALSE)</f>
        <v>5</v>
      </c>
      <c r="H347">
        <f>VLOOKUP($A347,Lcode_mapping!$C:$AA,H$1,FALSE)</f>
        <v>1</v>
      </c>
      <c r="I347">
        <f>VLOOKUP($A347,Lcode_mapping!$C:$AA,I$1,FALSE)</f>
        <v>1</v>
      </c>
      <c r="J347" t="str">
        <f>VLOOKUP($A347,Lcode_mapping!$C:$AA,J$1,FALSE)</f>
        <v>Year, Month, Day, Hour, Minute part of time-tag</v>
      </c>
    </row>
    <row r="348" spans="1:10" x14ac:dyDescent="0.25">
      <c r="A348" s="12" t="s">
        <v>1499</v>
      </c>
      <c r="B348" t="str">
        <f>VLOOKUP($A348,Lcode_mapping!$C:$AA,B$1,FALSE)</f>
        <v>Tsys</v>
      </c>
      <c r="C348" t="str">
        <f>VLOOKUP($A348,Lcode_mapping!$C:$AA,C$1,FALSE)</f>
        <v>Observables</v>
      </c>
      <c r="D348" t="str">
        <f>VLOOKUP($A348,Lcode_mapping!$C:$AA,D$1,FALSE)</f>
        <v>Obs</v>
      </c>
      <c r="E348" t="str">
        <f>VLOOKUP($A348,Lcode_mapping!$C:$AA,E$1,FALSE)</f>
        <v>Tsys</v>
      </c>
      <c r="F348" t="str">
        <f>VLOOKUP($A348,Lcode_mapping!$C:$AA,F$1,FALSE)</f>
        <v>R</v>
      </c>
      <c r="G348">
        <f>VLOOKUP($A348,Lcode_mapping!$C:$AA,G$1,FALSE)</f>
        <v>16</v>
      </c>
      <c r="H348">
        <f>VLOOKUP($A348,Lcode_mapping!$C:$AA,H$1,FALSE)</f>
        <v>2</v>
      </c>
      <c r="I348">
        <f>VLOOKUP($A348,Lcode_mapping!$C:$AA,I$1,FALSE)</f>
        <v>1</v>
      </c>
      <c r="J348" t="str">
        <f>VLOOKUP($A348,Lcode_mapping!$C:$AA,J$1,FALSE)</f>
        <v>TSYS TMP (K) 14CH AND IF1 IF2</v>
      </c>
    </row>
    <row r="349" spans="1:10" x14ac:dyDescent="0.25">
      <c r="A349" s="12" t="s">
        <v>1240</v>
      </c>
      <c r="B349" t="s">
        <v>1240</v>
      </c>
      <c r="C349" t="str">
        <f>VLOOKUP($A349,Lcode_mapping!$C:$AA,C$1,FALSE)</f>
        <v>-</v>
      </c>
      <c r="D349" t="str">
        <f>VLOOKUP($A349,Lcode_mapping!$C:$AA,D$1,FALSE)</f>
        <v>Obs</v>
      </c>
      <c r="E349" t="str">
        <f>VLOOKUP($A349,Lcode_mapping!$C:$AA,E$1,FALSE)</f>
        <v>UNCALDLY</v>
      </c>
      <c r="F349" t="str">
        <f>VLOOKUP($A349,Lcode_mapping!$C:$AA,F$1,FALSE)</f>
        <v>R</v>
      </c>
      <c r="G349">
        <f>VLOOKUP($A349,Lcode_mapping!$C:$AA,G$1,FALSE)</f>
        <v>1</v>
      </c>
      <c r="H349">
        <f>VLOOKUP($A349,Lcode_mapping!$C:$AA,H$1,FALSE)</f>
        <v>1</v>
      </c>
      <c r="I349">
        <f>VLOOKUP($A349,Lcode_mapping!$C:$AA,I$1,FALSE)</f>
        <v>1</v>
      </c>
      <c r="J349" t="str">
        <f>VLOOKUP($A349,Lcode_mapping!$C:$AA,J$1,FALSE)</f>
        <v>Bad Phase Cal Delay. Removed from Obs.</v>
      </c>
    </row>
    <row r="350" spans="1:10" x14ac:dyDescent="0.25">
      <c r="A350" s="12" t="s">
        <v>962</v>
      </c>
      <c r="B350" t="s">
        <v>962</v>
      </c>
      <c r="C350" t="str">
        <f>VLOOKUP($A350,Lcode_mapping!$C:$AA,C$1,FALSE)</f>
        <v>Solve</v>
      </c>
      <c r="D350" t="str">
        <f>VLOOKUP($A350,Lcode_mapping!$C:$AA,D$1,FALSE)</f>
        <v>Obs</v>
      </c>
      <c r="E350" t="str">
        <f>VLOOKUP($A350,Lcode_mapping!$C:$AA,E$1,FALSE)</f>
        <v>UNPHAFLG</v>
      </c>
      <c r="F350" t="str">
        <f>VLOOKUP($A350,Lcode_mapping!$C:$AA,F$1,FALSE)</f>
        <v>I</v>
      </c>
      <c r="G350">
        <f>VLOOKUP($A350,Lcode_mapping!$C:$AA,G$1,FALSE)</f>
        <v>2</v>
      </c>
      <c r="H350">
        <f>VLOOKUP($A350,Lcode_mapping!$C:$AA,H$1,FALSE)</f>
        <v>2</v>
      </c>
      <c r="I350">
        <f>VLOOKUP($A350,Lcode_mapping!$C:$AA,I$1,FALSE)</f>
        <v>1</v>
      </c>
      <c r="J350" t="str">
        <f>VLOOKUP($A350,Lcode_mapping!$C:$AA,J$1,FALSE)</f>
        <v>UnPhaseCal flag</v>
      </c>
    </row>
    <row r="351" spans="1:10" x14ac:dyDescent="0.25">
      <c r="A351" s="12" t="s">
        <v>789</v>
      </c>
      <c r="B351" t="s">
        <v>789</v>
      </c>
      <c r="C351" t="str">
        <f>VLOOKUP($A351,Lcode_mapping!$C:$AA,C$1,FALSE)</f>
        <v>Observables</v>
      </c>
      <c r="D351" t="str">
        <f>VLOOKUP($A351,Lcode_mapping!$C:$AA,D$1,FALSE)</f>
        <v>Obs</v>
      </c>
      <c r="E351" t="str">
        <f>VLOOKUP($A351,Lcode_mapping!$C:$AA,E$1,FALSE)</f>
        <v>URVR</v>
      </c>
      <c r="F351" t="str">
        <f>VLOOKUP($A351,Lcode_mapping!$C:$AA,F$1,FALSE)</f>
        <v>R</v>
      </c>
      <c r="G351">
        <f>VLOOKUP($A351,Lcode_mapping!$C:$AA,G$1,FALSE)</f>
        <v>2</v>
      </c>
      <c r="H351">
        <f>VLOOKUP($A351,Lcode_mapping!$C:$AA,H$1,FALSE)</f>
        <v>1</v>
      </c>
      <c r="I351">
        <f>VLOOKUP($A351,Lcode_mapping!$C:$AA,I$1,FALSE)</f>
        <v>1</v>
      </c>
      <c r="J351" t="str">
        <f>VLOOKUP($A351,Lcode_mapping!$C:$AA,J$1,FALSE)</f>
        <v>Rate derivatives mHz per asec.</v>
      </c>
    </row>
    <row r="352" spans="1:10" x14ac:dyDescent="0.25">
      <c r="A352" s="12" t="s">
        <v>1533</v>
      </c>
      <c r="B352" t="s">
        <v>1533</v>
      </c>
      <c r="C352" t="str">
        <f>VLOOKUP($A352,Lcode_mapping!$C:$AA,C$1,FALSE)</f>
        <v>Solve</v>
      </c>
      <c r="D352" t="str">
        <f>VLOOKUP($A352,Lcode_mapping!$C:$AA,D$1,FALSE)</f>
        <v>Obs</v>
      </c>
      <c r="E352" t="str">
        <f>VLOOKUP($A352,Lcode_mapping!$C:$AA,E$1,FALSE)</f>
        <v>UVFperAsec</v>
      </c>
      <c r="F352" t="str">
        <f>VLOOKUP($A352,Lcode_mapping!$C:$AA,F$1,FALSE)</f>
        <v>R</v>
      </c>
      <c r="G352">
        <f>VLOOKUP($A352,Lcode_mapping!$C:$AA,G$1,FALSE)</f>
        <v>2</v>
      </c>
      <c r="H352">
        <f>VLOOKUP($A352,Lcode_mapping!$C:$AA,H$1,FALSE)</f>
        <v>1</v>
      </c>
      <c r="I352">
        <f>VLOOKUP($A352,Lcode_mapping!$C:$AA,I$1,FALSE)</f>
        <v>1</v>
      </c>
      <c r="J352" t="str">
        <f>VLOOKUP($A352,Lcode_mapping!$C:$AA,J$1,FALSE)</f>
        <v>U V in FR per arcsec  from CALC</v>
      </c>
    </row>
    <row r="353" spans="1:10" x14ac:dyDescent="0.25">
      <c r="A353" s="12" t="s">
        <v>2125</v>
      </c>
      <c r="B353" t="str">
        <f>VLOOKUP($A353,Lcode_mapping!$C:$AA,B$1,FALSE)</f>
        <v>WVR</v>
      </c>
      <c r="C353" t="str">
        <f>VLOOKUP($A353,Lcode_mapping!$C:$AA,C$1,FALSE)</f>
        <v>-</v>
      </c>
      <c r="D353" t="str">
        <f>VLOOKUP($A353,Lcode_mapping!$C:$AA,D$1,FALSE)</f>
        <v>Station</v>
      </c>
      <c r="E353" t="str">
        <f>VLOOKUP($A353,Lcode_mapping!$C:$AA,E$1,FALSE)</f>
        <v>F12VOLT</v>
      </c>
      <c r="F353" t="str">
        <f>VLOOKUP($A353,Lcode_mapping!$C:$AA,F$1,FALSE)</f>
        <v>R</v>
      </c>
      <c r="G353">
        <f>VLOOKUP($A353,Lcode_mapping!$C:$AA,G$1,FALSE)</f>
        <v>2</v>
      </c>
      <c r="H353">
        <f>VLOOKUP($A353,Lcode_mapping!$C:$AA,H$1,FALSE)</f>
        <v>2</v>
      </c>
      <c r="I353">
        <f>VLOOKUP($A353,Lcode_mapping!$C:$AA,I$1,FALSE)</f>
        <v>1</v>
      </c>
      <c r="J353" t="str">
        <f>VLOOKUP($A353,Lcode_mapping!$C:$AA,J$1,FALSE)</f>
        <v>F1, F2 VOLT          .</v>
      </c>
    </row>
    <row r="354" spans="1:10" x14ac:dyDescent="0.25">
      <c r="A354" s="12" t="s">
        <v>1950</v>
      </c>
      <c r="B354" t="str">
        <f>VLOOKUP($A354,Lcode_mapping!$C:$AA,B$1,FALSE)</f>
        <v>WVR</v>
      </c>
      <c r="C354" t="str">
        <f>VLOOKUP($A354,Lcode_mapping!$C:$AA,C$1,FALSE)</f>
        <v>-</v>
      </c>
      <c r="D354" t="str">
        <f>VLOOKUP($A354,Lcode_mapping!$C:$AA,D$1,FALSE)</f>
        <v>Station</v>
      </c>
      <c r="E354" t="str">
        <f>VLOOKUP($A354,Lcode_mapping!$C:$AA,E$1,FALSE)</f>
        <v>WVRDelay</v>
      </c>
      <c r="F354" t="str">
        <f>VLOOKUP($A354,Lcode_mapping!$C:$AA,F$1,FALSE)</f>
        <v>R</v>
      </c>
      <c r="G354">
        <f>VLOOKUP($A354,Lcode_mapping!$C:$AA,G$1,FALSE)</f>
        <v>2</v>
      </c>
      <c r="H354">
        <f>VLOOKUP($A354,Lcode_mapping!$C:$AA,H$1,FALSE)</f>
        <v>2</v>
      </c>
      <c r="I354">
        <f>VLOOKUP($A354,Lcode_mapping!$C:$AA,I$1,FALSE)</f>
        <v>2</v>
      </c>
      <c r="J354" t="str">
        <f>VLOOKUP($A354,Lcode_mapping!$C:$AA,J$1,FALSE)</f>
        <v>WVR line of sight &amp; ZENITH(sec)</v>
      </c>
    </row>
    <row r="355" spans="1:10" x14ac:dyDescent="0.25">
      <c r="A355" s="12" t="s">
        <v>1953</v>
      </c>
      <c r="B355" t="str">
        <f>VLOOKUP($A355,Lcode_mapping!$C:$AA,B$1,FALSE)</f>
        <v>WVR</v>
      </c>
      <c r="C355" t="str">
        <f>VLOOKUP($A355,Lcode_mapping!$C:$AA,C$1,FALSE)</f>
        <v>-</v>
      </c>
      <c r="D355" t="str">
        <f>VLOOKUP($A355,Lcode_mapping!$C:$AA,D$1,FALSE)</f>
        <v>Station</v>
      </c>
      <c r="E355" t="str">
        <f>VLOOKUP($A355,Lcode_mapping!$C:$AA,E$1,FALSE)</f>
        <v>WVRQcode</v>
      </c>
      <c r="F355" t="str">
        <f>VLOOKUP($A355,Lcode_mapping!$C:$AA,F$1,FALSE)</f>
        <v>I</v>
      </c>
      <c r="G355">
        <f>VLOOKUP($A355,Lcode_mapping!$C:$AA,G$1,FALSE)</f>
        <v>2</v>
      </c>
      <c r="H355">
        <f>VLOOKUP($A355,Lcode_mapping!$C:$AA,H$1,FALSE)</f>
        <v>1</v>
      </c>
      <c r="I355">
        <f>VLOOKUP($A355,Lcode_mapping!$C:$AA,I$1,FALSE)</f>
        <v>1</v>
      </c>
      <c r="J355" t="str">
        <f>VLOOKUP($A355,Lcode_mapping!$C:$AA,J$1,FALSE)</f>
        <v>WVR DELAY DATA QUALITY CODE</v>
      </c>
    </row>
    <row r="356" spans="1:10" x14ac:dyDescent="0.25">
      <c r="A356" s="12" t="s">
        <v>1951</v>
      </c>
      <c r="B356" t="str">
        <f>VLOOKUP($A356,Lcode_mapping!$C:$AA,B$1,FALSE)</f>
        <v>WVR</v>
      </c>
      <c r="C356" t="str">
        <f>VLOOKUP($A356,Lcode_mapping!$C:$AA,C$1,FALSE)</f>
        <v>-</v>
      </c>
      <c r="D356" t="str">
        <f>VLOOKUP($A356,Lcode_mapping!$C:$AA,D$1,FALSE)</f>
        <v>Station</v>
      </c>
      <c r="E356" t="str">
        <f>VLOOKUP($A356,Lcode_mapping!$C:$AA,E$1,FALSE)</f>
        <v>WVRTemp</v>
      </c>
      <c r="F356" t="str">
        <f>VLOOKUP($A356,Lcode_mapping!$C:$AA,F$1,FALSE)</f>
        <v>R</v>
      </c>
      <c r="G356">
        <f>VLOOKUP($A356,Lcode_mapping!$C:$AA,G$1,FALSE)</f>
        <v>2</v>
      </c>
      <c r="H356">
        <f>VLOOKUP($A356,Lcode_mapping!$C:$AA,H$1,FALSE)</f>
        <v>2</v>
      </c>
      <c r="I356">
        <f>VLOOKUP($A356,Lcode_mapping!$C:$AA,I$1,FALSE)</f>
        <v>1</v>
      </c>
      <c r="J356" t="str">
        <f>VLOOKUP($A356,Lcode_mapping!$C:$AA,J$1,FALSE)</f>
        <v>BRT TEMP (K) OF WVR ,F1,F2.</v>
      </c>
    </row>
    <row r="357" spans="1:10" x14ac:dyDescent="0.25">
      <c r="A357" s="12" t="s">
        <v>1954</v>
      </c>
      <c r="B357" t="str">
        <f>VLOOKUP($A357,Lcode_mapping!$C:$AA,B$1,FALSE)</f>
        <v>WVR</v>
      </c>
      <c r="C357" t="str">
        <f>VLOOKUP($A357,Lcode_mapping!$C:$AA,C$1,FALSE)</f>
        <v>-</v>
      </c>
      <c r="D357" t="str">
        <f>VLOOKUP($A357,Lcode_mapping!$C:$AA,D$1,FALSE)</f>
        <v>Station</v>
      </c>
      <c r="E357" t="str">
        <f>VLOOKUP($A357,Lcode_mapping!$C:$AA,E$1,FALSE)</f>
        <v>WVRTempRef</v>
      </c>
      <c r="F357" t="str">
        <f>VLOOKUP($A357,Lcode_mapping!$C:$AA,F$1,FALSE)</f>
        <v>R</v>
      </c>
      <c r="G357">
        <f>VLOOKUP($A357,Lcode_mapping!$C:$AA,G$1,FALSE)</f>
        <v>3</v>
      </c>
      <c r="H357">
        <f>VLOOKUP($A357,Lcode_mapping!$C:$AA,H$1,FALSE)</f>
        <v>2</v>
      </c>
      <c r="I357">
        <f>VLOOKUP($A357,Lcode_mapping!$C:$AA,I$1,FALSE)</f>
        <v>1</v>
      </c>
      <c r="J357" t="str">
        <f>VLOOKUP($A357,Lcode_mapping!$C:$AA,J$1,FALSE)</f>
        <v>REFERENCE1,2 WVR TEMP (K).</v>
      </c>
    </row>
  </sheetData>
  <sortState ref="A3:L357">
    <sortCondition ref="B3:B357"/>
    <sortCondition ref="E3:E35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73"/>
  <sheetViews>
    <sheetView topLeftCell="A213" workbookViewId="0">
      <selection activeCell="G53" sqref="G53"/>
    </sheetView>
  </sheetViews>
  <sheetFormatPr defaultRowHeight="15" x14ac:dyDescent="0.25"/>
  <cols>
    <col min="8" max="8" width="31.28515625" customWidth="1"/>
    <col min="9" max="9" width="19" customWidth="1"/>
    <col min="10" max="10" width="14.7109375" customWidth="1"/>
  </cols>
  <sheetData>
    <row r="1" spans="1:13" x14ac:dyDescent="0.25">
      <c r="B1" t="s">
        <v>1069</v>
      </c>
      <c r="D1" t="s">
        <v>1502</v>
      </c>
      <c r="E1" t="s">
        <v>1123</v>
      </c>
      <c r="F1" t="s">
        <v>1503</v>
      </c>
      <c r="G1" t="s">
        <v>1464</v>
      </c>
      <c r="H1" t="s">
        <v>2025</v>
      </c>
      <c r="I1" t="s">
        <v>2015</v>
      </c>
      <c r="J1" t="s">
        <v>2016</v>
      </c>
      <c r="K1" t="s">
        <v>1833</v>
      </c>
      <c r="M1" t="s">
        <v>2062</v>
      </c>
    </row>
    <row r="2" spans="1:13" x14ac:dyDescent="0.25">
      <c r="A2">
        <v>1</v>
      </c>
      <c r="B2">
        <v>1</v>
      </c>
      <c r="C2" t="s">
        <v>483</v>
      </c>
      <c r="D2">
        <v>3</v>
      </c>
      <c r="E2">
        <v>3</v>
      </c>
      <c r="F2">
        <v>1</v>
      </c>
      <c r="G2" t="s">
        <v>447</v>
      </c>
      <c r="H2" t="s">
        <v>484</v>
      </c>
      <c r="I2" t="s">
        <v>1714</v>
      </c>
      <c r="J2" t="s">
        <v>2017</v>
      </c>
      <c r="K2">
        <v>5029</v>
      </c>
      <c r="M2" t="str">
        <f>VLOOKUP(C2,Lcode_mapping!D:D,1,FALSE)</f>
        <v>SITERECS</v>
      </c>
    </row>
    <row r="3" spans="1:13" x14ac:dyDescent="0.25">
      <c r="A3">
        <v>2</v>
      </c>
      <c r="B3">
        <v>1</v>
      </c>
      <c r="C3" t="s">
        <v>487</v>
      </c>
      <c r="D3">
        <v>3</v>
      </c>
      <c r="E3">
        <v>1</v>
      </c>
      <c r="F3">
        <v>1</v>
      </c>
      <c r="G3" t="s">
        <v>447</v>
      </c>
      <c r="H3" t="s">
        <v>488</v>
      </c>
      <c r="I3" t="s">
        <v>1714</v>
      </c>
      <c r="J3" t="s">
        <v>2017</v>
      </c>
      <c r="K3">
        <v>5029</v>
      </c>
      <c r="M3" t="str">
        <f>VLOOKUP(C3,Lcode_mapping!D:D,1,FALSE)</f>
        <v>AXISOFFS</v>
      </c>
    </row>
    <row r="4" spans="1:13" x14ac:dyDescent="0.25">
      <c r="A4">
        <v>3</v>
      </c>
      <c r="B4">
        <v>1</v>
      </c>
      <c r="C4" t="s">
        <v>449</v>
      </c>
      <c r="D4">
        <v>3</v>
      </c>
      <c r="E4">
        <v>1</v>
      </c>
      <c r="F4">
        <v>1</v>
      </c>
      <c r="G4" t="s">
        <v>447</v>
      </c>
      <c r="H4" t="s">
        <v>450</v>
      </c>
      <c r="I4" t="s">
        <v>1714</v>
      </c>
      <c r="J4" t="s">
        <v>2017</v>
      </c>
      <c r="K4">
        <v>5029</v>
      </c>
      <c r="M4" t="str">
        <f>VLOOKUP(C4,Lcode_mapping!D:D,1,FALSE)</f>
        <v>ETD DATA</v>
      </c>
    </row>
    <row r="5" spans="1:13" x14ac:dyDescent="0.25">
      <c r="A5">
        <v>4</v>
      </c>
      <c r="B5">
        <v>1</v>
      </c>
      <c r="C5" t="s">
        <v>451</v>
      </c>
      <c r="D5">
        <v>1</v>
      </c>
      <c r="E5">
        <v>1</v>
      </c>
      <c r="F5">
        <v>1</v>
      </c>
      <c r="G5" t="s">
        <v>447</v>
      </c>
      <c r="H5" t="s">
        <v>452</v>
      </c>
      <c r="I5" t="s">
        <v>1714</v>
      </c>
      <c r="J5" t="s">
        <v>2017</v>
      </c>
      <c r="K5">
        <v>5029</v>
      </c>
      <c r="M5" t="str">
        <f>VLOOKUP(C5,Lcode_mapping!D:D,1,FALSE)</f>
        <v>PRE DATA</v>
      </c>
    </row>
    <row r="6" spans="1:13" x14ac:dyDescent="0.25">
      <c r="A6">
        <v>5</v>
      </c>
      <c r="B6">
        <v>1</v>
      </c>
      <c r="C6" t="s">
        <v>453</v>
      </c>
      <c r="D6">
        <v>1</v>
      </c>
      <c r="E6">
        <v>1</v>
      </c>
      <c r="F6">
        <v>1</v>
      </c>
      <c r="G6" t="s">
        <v>447</v>
      </c>
      <c r="H6" t="s">
        <v>454</v>
      </c>
      <c r="I6" t="s">
        <v>1714</v>
      </c>
      <c r="J6" t="s">
        <v>2017</v>
      </c>
      <c r="K6">
        <v>5029</v>
      </c>
      <c r="M6" t="str">
        <f>VLOOKUP(C6,Lcode_mapping!D:D,1,FALSE)</f>
        <v>REL DATA</v>
      </c>
    </row>
    <row r="7" spans="1:13" x14ac:dyDescent="0.25">
      <c r="A7">
        <v>6</v>
      </c>
      <c r="B7">
        <v>1</v>
      </c>
      <c r="C7" t="s">
        <v>455</v>
      </c>
      <c r="D7">
        <v>1</v>
      </c>
      <c r="E7">
        <v>1</v>
      </c>
      <c r="F7">
        <v>1</v>
      </c>
      <c r="G7" t="s">
        <v>447</v>
      </c>
      <c r="H7" t="s">
        <v>456</v>
      </c>
      <c r="I7" t="s">
        <v>1714</v>
      </c>
      <c r="J7" t="s">
        <v>2017</v>
      </c>
      <c r="K7">
        <v>5029</v>
      </c>
      <c r="M7" t="str">
        <f>VLOOKUP(C7,Lcode_mapping!D:D,1,FALSE)</f>
        <v>PI</v>
      </c>
    </row>
    <row r="8" spans="1:13" x14ac:dyDescent="0.25">
      <c r="A8">
        <v>7</v>
      </c>
      <c r="B8">
        <v>1</v>
      </c>
      <c r="C8" t="s">
        <v>457</v>
      </c>
      <c r="D8">
        <v>1</v>
      </c>
      <c r="E8">
        <v>1</v>
      </c>
      <c r="F8">
        <v>1</v>
      </c>
      <c r="G8" t="s">
        <v>447</v>
      </c>
      <c r="H8" t="s">
        <v>458</v>
      </c>
      <c r="I8" t="s">
        <v>1714</v>
      </c>
      <c r="J8" t="s">
        <v>2017</v>
      </c>
      <c r="K8">
        <v>5029</v>
      </c>
      <c r="M8" t="str">
        <f>VLOOKUP(C8,Lcode_mapping!D:D,1,FALSE)</f>
        <v>HALF PI</v>
      </c>
    </row>
    <row r="9" spans="1:13" x14ac:dyDescent="0.25">
      <c r="A9">
        <v>8</v>
      </c>
      <c r="B9">
        <v>1</v>
      </c>
      <c r="C9" t="s">
        <v>459</v>
      </c>
      <c r="D9">
        <v>1</v>
      </c>
      <c r="E9">
        <v>1</v>
      </c>
      <c r="F9">
        <v>1</v>
      </c>
      <c r="G9" t="s">
        <v>447</v>
      </c>
      <c r="H9" t="s">
        <v>460</v>
      </c>
      <c r="I9" t="s">
        <v>1714</v>
      </c>
      <c r="J9" t="s">
        <v>2017</v>
      </c>
      <c r="K9">
        <v>5003</v>
      </c>
      <c r="M9" t="str">
        <f>VLOOKUP(C9,Lcode_mapping!D:D,1,FALSE)</f>
        <v>RAD/DEG</v>
      </c>
    </row>
    <row r="10" spans="1:13" x14ac:dyDescent="0.25">
      <c r="A10">
        <v>9</v>
      </c>
      <c r="B10">
        <v>1</v>
      </c>
      <c r="C10" t="s">
        <v>461</v>
      </c>
      <c r="D10">
        <v>1</v>
      </c>
      <c r="E10">
        <v>1</v>
      </c>
      <c r="F10">
        <v>1</v>
      </c>
      <c r="G10" t="s">
        <v>447</v>
      </c>
      <c r="H10" t="s">
        <v>462</v>
      </c>
      <c r="I10" t="s">
        <v>1714</v>
      </c>
      <c r="J10" t="s">
        <v>2017</v>
      </c>
      <c r="K10">
        <v>5029</v>
      </c>
      <c r="M10" t="str">
        <f>VLOOKUP(C10,Lcode_mapping!D:D,1,FALSE)</f>
        <v>VLIGHT</v>
      </c>
    </row>
    <row r="11" spans="1:13" x14ac:dyDescent="0.25">
      <c r="A11">
        <v>10</v>
      </c>
      <c r="B11">
        <v>1</v>
      </c>
      <c r="C11" t="s">
        <v>463</v>
      </c>
      <c r="D11">
        <v>1</v>
      </c>
      <c r="E11">
        <v>1</v>
      </c>
      <c r="F11">
        <v>1</v>
      </c>
      <c r="G11" t="s">
        <v>447</v>
      </c>
      <c r="H11" t="s">
        <v>464</v>
      </c>
      <c r="I11" t="s">
        <v>1714</v>
      </c>
      <c r="J11" t="s">
        <v>2017</v>
      </c>
      <c r="K11">
        <v>5029</v>
      </c>
      <c r="M11" t="str">
        <f>VLOOKUP(C11,Lcode_mapping!D:D,1,FALSE)</f>
        <v>GAUSS</v>
      </c>
    </row>
    <row r="12" spans="1:13" x14ac:dyDescent="0.25">
      <c r="A12">
        <v>11</v>
      </c>
      <c r="B12">
        <v>1</v>
      </c>
      <c r="C12" t="s">
        <v>465</v>
      </c>
      <c r="D12">
        <v>1</v>
      </c>
      <c r="E12">
        <v>1</v>
      </c>
      <c r="F12">
        <v>1</v>
      </c>
      <c r="G12" t="s">
        <v>447</v>
      </c>
      <c r="H12" t="s">
        <v>466</v>
      </c>
      <c r="I12" t="s">
        <v>1714</v>
      </c>
      <c r="J12" t="s">
        <v>2017</v>
      </c>
      <c r="K12">
        <v>5029</v>
      </c>
      <c r="M12" t="str">
        <f>VLOOKUP(C12,Lcode_mapping!D:D,1,FALSE)</f>
        <v>ACCELGRV</v>
      </c>
    </row>
    <row r="13" spans="1:13" x14ac:dyDescent="0.25">
      <c r="A13">
        <v>12</v>
      </c>
      <c r="B13">
        <v>1</v>
      </c>
      <c r="C13" t="s">
        <v>467</v>
      </c>
      <c r="D13">
        <v>1</v>
      </c>
      <c r="E13">
        <v>1</v>
      </c>
      <c r="F13">
        <v>1</v>
      </c>
      <c r="G13" t="s">
        <v>447</v>
      </c>
      <c r="H13" t="s">
        <v>468</v>
      </c>
      <c r="I13" t="s">
        <v>1714</v>
      </c>
      <c r="J13" t="s">
        <v>2017</v>
      </c>
      <c r="K13">
        <v>5029</v>
      </c>
      <c r="M13" t="str">
        <f>VLOOKUP(C13,Lcode_mapping!D:D,1,FALSE)</f>
        <v>GMSUN</v>
      </c>
    </row>
    <row r="14" spans="1:13" x14ac:dyDescent="0.25">
      <c r="A14">
        <v>13</v>
      </c>
      <c r="B14">
        <v>1</v>
      </c>
      <c r="C14" t="s">
        <v>471</v>
      </c>
      <c r="D14">
        <v>1</v>
      </c>
      <c r="E14">
        <v>1</v>
      </c>
      <c r="F14">
        <v>1</v>
      </c>
      <c r="G14" t="s">
        <v>447</v>
      </c>
      <c r="H14" t="s">
        <v>472</v>
      </c>
      <c r="I14" t="s">
        <v>1714</v>
      </c>
      <c r="J14" t="s">
        <v>2017</v>
      </c>
      <c r="K14">
        <v>5029</v>
      </c>
      <c r="M14" t="str">
        <f>VLOOKUP(C14,Lcode_mapping!D:D,1,FALSE)</f>
        <v>GMMOON</v>
      </c>
    </row>
    <row r="15" spans="1:13" x14ac:dyDescent="0.25">
      <c r="A15">
        <v>14</v>
      </c>
      <c r="B15">
        <v>1</v>
      </c>
      <c r="C15" t="s">
        <v>473</v>
      </c>
      <c r="D15">
        <v>1</v>
      </c>
      <c r="E15">
        <v>1</v>
      </c>
      <c r="F15">
        <v>1</v>
      </c>
      <c r="G15" t="s">
        <v>447</v>
      </c>
      <c r="H15" t="s">
        <v>474</v>
      </c>
      <c r="I15" t="s">
        <v>1714</v>
      </c>
      <c r="J15" t="s">
        <v>2017</v>
      </c>
      <c r="K15">
        <v>5029</v>
      </c>
      <c r="M15" t="str">
        <f>VLOOKUP(C15,Lcode_mapping!D:D,1,FALSE)</f>
        <v>TSEC/AU</v>
      </c>
    </row>
    <row r="16" spans="1:13" x14ac:dyDescent="0.25">
      <c r="A16">
        <v>15</v>
      </c>
      <c r="B16">
        <v>1</v>
      </c>
      <c r="C16" t="s">
        <v>475</v>
      </c>
      <c r="D16">
        <v>1</v>
      </c>
      <c r="E16">
        <v>1</v>
      </c>
      <c r="F16">
        <v>1</v>
      </c>
      <c r="G16" t="s">
        <v>447</v>
      </c>
      <c r="H16" t="s">
        <v>476</v>
      </c>
      <c r="I16" t="s">
        <v>1714</v>
      </c>
      <c r="J16" t="s">
        <v>2017</v>
      </c>
      <c r="K16">
        <v>5029</v>
      </c>
      <c r="M16" t="str">
        <f>VLOOKUP(C16,Lcode_mapping!D:D,1,FALSE)</f>
        <v>EARTHRAD</v>
      </c>
    </row>
    <row r="17" spans="1:13" x14ac:dyDescent="0.25">
      <c r="A17">
        <v>16</v>
      </c>
      <c r="B17">
        <v>1</v>
      </c>
      <c r="C17" t="s">
        <v>477</v>
      </c>
      <c r="D17">
        <v>1</v>
      </c>
      <c r="E17">
        <v>1</v>
      </c>
      <c r="F17">
        <v>1</v>
      </c>
      <c r="G17" t="s">
        <v>447</v>
      </c>
      <c r="H17" t="s">
        <v>478</v>
      </c>
      <c r="I17" t="s">
        <v>1714</v>
      </c>
      <c r="J17" t="s">
        <v>2017</v>
      </c>
      <c r="K17">
        <v>5029</v>
      </c>
      <c r="M17" t="str">
        <f>VLOOKUP(C17,Lcode_mapping!D:D,1,FALSE)</f>
        <v>EMS/MMS</v>
      </c>
    </row>
    <row r="18" spans="1:13" x14ac:dyDescent="0.25">
      <c r="A18">
        <v>17</v>
      </c>
      <c r="B18">
        <v>1</v>
      </c>
      <c r="C18" t="s">
        <v>479</v>
      </c>
      <c r="D18">
        <v>1</v>
      </c>
      <c r="E18">
        <v>1</v>
      </c>
      <c r="F18">
        <v>1</v>
      </c>
      <c r="G18" t="s">
        <v>447</v>
      </c>
      <c r="H18" t="s">
        <v>480</v>
      </c>
      <c r="I18" t="s">
        <v>1714</v>
      </c>
      <c r="J18" t="s">
        <v>2017</v>
      </c>
      <c r="K18">
        <v>5029</v>
      </c>
      <c r="M18" t="str">
        <f>VLOOKUP(C18,Lcode_mapping!D:D,1,FALSE)</f>
        <v>U-GRV-CN</v>
      </c>
    </row>
    <row r="19" spans="1:13" x14ac:dyDescent="0.25">
      <c r="A19">
        <v>18</v>
      </c>
      <c r="B19">
        <v>1</v>
      </c>
      <c r="C19" t="s">
        <v>481</v>
      </c>
      <c r="D19">
        <v>1</v>
      </c>
      <c r="E19">
        <v>1</v>
      </c>
      <c r="F19">
        <v>1</v>
      </c>
      <c r="G19" t="s">
        <v>447</v>
      </c>
      <c r="H19" t="s">
        <v>482</v>
      </c>
      <c r="I19" t="s">
        <v>1714</v>
      </c>
      <c r="J19" t="s">
        <v>2017</v>
      </c>
      <c r="K19">
        <v>5029</v>
      </c>
      <c r="M19" t="str">
        <f>VLOOKUP(C19,Lcode_mapping!D:D,1,FALSE)</f>
        <v>E-FLAT</v>
      </c>
    </row>
    <row r="20" spans="1:13" x14ac:dyDescent="0.25">
      <c r="A20">
        <v>19</v>
      </c>
      <c r="B20">
        <v>1</v>
      </c>
      <c r="C20" t="s">
        <v>497</v>
      </c>
      <c r="D20">
        <v>2</v>
      </c>
      <c r="E20">
        <v>14</v>
      </c>
      <c r="F20">
        <v>1</v>
      </c>
      <c r="G20" t="s">
        <v>447</v>
      </c>
      <c r="H20" t="s">
        <v>498</v>
      </c>
      <c r="I20" t="s">
        <v>1714</v>
      </c>
      <c r="J20" t="s">
        <v>2017</v>
      </c>
      <c r="K20">
        <v>5029</v>
      </c>
      <c r="M20" t="str">
        <f>VLOOKUP(C20,Lcode_mapping!D:D,1,FALSE)</f>
        <v>STAR2000</v>
      </c>
    </row>
    <row r="21" spans="1:13" x14ac:dyDescent="0.25">
      <c r="A21">
        <v>20</v>
      </c>
      <c r="B21">
        <v>1</v>
      </c>
      <c r="C21" t="s">
        <v>485</v>
      </c>
      <c r="D21">
        <v>3</v>
      </c>
      <c r="E21">
        <v>1</v>
      </c>
      <c r="F21">
        <v>1</v>
      </c>
      <c r="G21" t="s">
        <v>447</v>
      </c>
      <c r="H21" t="s">
        <v>486</v>
      </c>
      <c r="I21" t="s">
        <v>1714</v>
      </c>
      <c r="J21" t="s">
        <v>2017</v>
      </c>
      <c r="K21">
        <v>5029</v>
      </c>
      <c r="M21" t="str">
        <f>VLOOKUP(C21,Lcode_mapping!D:D,1,FALSE)</f>
        <v>SITEZENS</v>
      </c>
    </row>
    <row r="22" spans="1:13" x14ac:dyDescent="0.25">
      <c r="A22">
        <v>21</v>
      </c>
      <c r="B22">
        <v>1</v>
      </c>
      <c r="C22" t="s">
        <v>499</v>
      </c>
      <c r="D22">
        <v>4</v>
      </c>
      <c r="E22">
        <v>1</v>
      </c>
      <c r="F22">
        <v>1</v>
      </c>
      <c r="G22" t="s">
        <v>447</v>
      </c>
      <c r="H22" t="s">
        <v>500</v>
      </c>
      <c r="I22" t="s">
        <v>1714</v>
      </c>
      <c r="J22" t="s">
        <v>2017</v>
      </c>
      <c r="K22">
        <v>5029</v>
      </c>
      <c r="M22" t="str">
        <f>VLOOKUP(C22,Lcode_mapping!D:D,1,FALSE)</f>
        <v>FUT1 INF</v>
      </c>
    </row>
    <row r="23" spans="1:13" x14ac:dyDescent="0.25">
      <c r="A23">
        <v>22</v>
      </c>
      <c r="B23">
        <v>1</v>
      </c>
      <c r="C23" t="s">
        <v>515</v>
      </c>
      <c r="D23">
        <v>3</v>
      </c>
      <c r="E23">
        <v>1</v>
      </c>
      <c r="F23">
        <v>1</v>
      </c>
      <c r="G23" t="s">
        <v>447</v>
      </c>
      <c r="H23" t="s">
        <v>516</v>
      </c>
      <c r="I23" t="s">
        <v>1714</v>
      </c>
      <c r="J23" t="s">
        <v>2017</v>
      </c>
      <c r="K23">
        <v>5029</v>
      </c>
      <c r="M23" t="str">
        <f>VLOOKUP(C23,Lcode_mapping!D:D,1,FALSE)</f>
        <v>FWOB INF</v>
      </c>
    </row>
    <row r="24" spans="1:13" x14ac:dyDescent="0.25">
      <c r="A24">
        <v>23</v>
      </c>
      <c r="B24">
        <v>1</v>
      </c>
      <c r="C24" t="s">
        <v>503</v>
      </c>
      <c r="D24">
        <v>3</v>
      </c>
      <c r="E24">
        <v>1</v>
      </c>
      <c r="F24">
        <v>1</v>
      </c>
      <c r="G24" t="s">
        <v>447</v>
      </c>
      <c r="H24" t="s">
        <v>504</v>
      </c>
      <c r="I24" t="s">
        <v>1714</v>
      </c>
      <c r="J24" t="s">
        <v>2017</v>
      </c>
      <c r="K24">
        <v>5029</v>
      </c>
      <c r="M24" t="str">
        <f>VLOOKUP(C24,Lcode_mapping!D:D,1,FALSE)</f>
        <v>A1 - UTC</v>
      </c>
    </row>
    <row r="25" spans="1:13" x14ac:dyDescent="0.25">
      <c r="A25">
        <v>24</v>
      </c>
      <c r="B25">
        <v>1</v>
      </c>
      <c r="C25" t="s">
        <v>505</v>
      </c>
      <c r="D25">
        <v>3</v>
      </c>
      <c r="E25">
        <v>1</v>
      </c>
      <c r="F25">
        <v>1</v>
      </c>
      <c r="G25" t="s">
        <v>447</v>
      </c>
      <c r="H25" t="s">
        <v>506</v>
      </c>
      <c r="I25" t="s">
        <v>1714</v>
      </c>
      <c r="J25" t="s">
        <v>2017</v>
      </c>
      <c r="K25">
        <v>5029</v>
      </c>
      <c r="M25" t="str">
        <f>VLOOKUP(C25,Lcode_mapping!D:D,1,FALSE)</f>
        <v>TAI- UTC</v>
      </c>
    </row>
    <row r="26" spans="1:13" x14ac:dyDescent="0.25">
      <c r="A26">
        <v>25</v>
      </c>
      <c r="B26">
        <v>1</v>
      </c>
      <c r="C26" t="s">
        <v>507</v>
      </c>
      <c r="D26">
        <v>3</v>
      </c>
      <c r="E26">
        <v>1</v>
      </c>
      <c r="F26">
        <v>1</v>
      </c>
      <c r="G26" t="s">
        <v>447</v>
      </c>
      <c r="H26" t="s">
        <v>508</v>
      </c>
      <c r="I26" t="s">
        <v>1714</v>
      </c>
      <c r="J26" t="s">
        <v>2017</v>
      </c>
      <c r="K26">
        <v>5029</v>
      </c>
      <c r="M26" t="str">
        <f>VLOOKUP(C26,Lcode_mapping!D:D,1,FALSE)</f>
        <v>A1 - TAI</v>
      </c>
    </row>
    <row r="27" spans="1:13" x14ac:dyDescent="0.25">
      <c r="A27">
        <v>26</v>
      </c>
      <c r="B27">
        <v>1</v>
      </c>
      <c r="C27" t="s">
        <v>509</v>
      </c>
      <c r="D27">
        <v>2</v>
      </c>
      <c r="E27">
        <v>4</v>
      </c>
      <c r="F27">
        <v>1</v>
      </c>
      <c r="G27" t="s">
        <v>447</v>
      </c>
      <c r="H27" t="s">
        <v>510</v>
      </c>
      <c r="I27" t="s">
        <v>1714</v>
      </c>
      <c r="J27" t="s">
        <v>2017</v>
      </c>
      <c r="K27">
        <v>5029</v>
      </c>
      <c r="M27" t="str">
        <f>VLOOKUP(C27,Lcode_mapping!D:D,1,FALSE)</f>
        <v>ROTEPOCH</v>
      </c>
    </row>
    <row r="28" spans="1:13" x14ac:dyDescent="0.25">
      <c r="A28">
        <v>27</v>
      </c>
      <c r="B28">
        <v>1</v>
      </c>
      <c r="C28" t="s">
        <v>525</v>
      </c>
      <c r="D28">
        <v>2</v>
      </c>
      <c r="E28">
        <v>3</v>
      </c>
      <c r="F28">
        <v>1</v>
      </c>
      <c r="G28" t="s">
        <v>447</v>
      </c>
      <c r="H28" t="s">
        <v>526</v>
      </c>
      <c r="I28" t="s">
        <v>1714</v>
      </c>
      <c r="J28" t="s">
        <v>2017</v>
      </c>
      <c r="K28">
        <v>5028</v>
      </c>
      <c r="M28" t="str">
        <f>VLOOKUP(C28,Lcode_mapping!D:D,1,FALSE)</f>
        <v>ERROR K</v>
      </c>
    </row>
    <row r="29" spans="1:13" x14ac:dyDescent="0.25">
      <c r="A29">
        <v>28</v>
      </c>
      <c r="B29">
        <v>1</v>
      </c>
      <c r="C29" t="s">
        <v>489</v>
      </c>
      <c r="D29">
        <v>11</v>
      </c>
      <c r="E29">
        <v>3</v>
      </c>
      <c r="F29">
        <v>1</v>
      </c>
      <c r="G29" t="s">
        <v>447</v>
      </c>
      <c r="H29" t="s">
        <v>490</v>
      </c>
      <c r="I29" t="s">
        <v>1714</v>
      </c>
      <c r="J29" t="s">
        <v>2017</v>
      </c>
      <c r="K29">
        <v>5029</v>
      </c>
      <c r="M29" t="str">
        <f>VLOOKUP(C29,Lcode_mapping!D:D,1,FALSE)</f>
        <v>SITOCAMP</v>
      </c>
    </row>
    <row r="30" spans="1:13" x14ac:dyDescent="0.25">
      <c r="A30">
        <v>29</v>
      </c>
      <c r="B30">
        <v>1</v>
      </c>
      <c r="C30" t="s">
        <v>491</v>
      </c>
      <c r="D30">
        <v>11</v>
      </c>
      <c r="E30">
        <v>3</v>
      </c>
      <c r="F30">
        <v>1</v>
      </c>
      <c r="G30" t="s">
        <v>447</v>
      </c>
      <c r="H30" t="s">
        <v>492</v>
      </c>
      <c r="I30" t="s">
        <v>1714</v>
      </c>
      <c r="J30" t="s">
        <v>2017</v>
      </c>
      <c r="K30">
        <v>5029</v>
      </c>
      <c r="M30" t="str">
        <f>VLOOKUP(C30,Lcode_mapping!D:D,1,FALSE)</f>
        <v>SITOCPHS</v>
      </c>
    </row>
    <row r="31" spans="1:13" x14ac:dyDescent="0.25">
      <c r="A31">
        <v>30</v>
      </c>
      <c r="B31">
        <v>1</v>
      </c>
      <c r="C31" t="s">
        <v>527</v>
      </c>
      <c r="D31">
        <v>1</v>
      </c>
      <c r="E31">
        <v>1</v>
      </c>
      <c r="F31">
        <v>1</v>
      </c>
      <c r="G31" t="s">
        <v>447</v>
      </c>
      <c r="H31" t="s">
        <v>528</v>
      </c>
      <c r="I31" t="s">
        <v>1714</v>
      </c>
      <c r="J31" t="s">
        <v>2017</v>
      </c>
      <c r="K31">
        <v>5029</v>
      </c>
      <c r="M31" t="str">
        <f>VLOOKUP(C31,Lcode_mapping!D:D,1,FALSE)</f>
        <v>ATM_CNST</v>
      </c>
    </row>
    <row r="32" spans="1:13" x14ac:dyDescent="0.25">
      <c r="A32">
        <v>31</v>
      </c>
      <c r="B32">
        <v>1</v>
      </c>
      <c r="C32" t="s">
        <v>529</v>
      </c>
      <c r="D32">
        <v>1</v>
      </c>
      <c r="E32">
        <v>1</v>
      </c>
      <c r="F32">
        <v>1</v>
      </c>
      <c r="G32" t="s">
        <v>447</v>
      </c>
      <c r="H32" t="s">
        <v>530</v>
      </c>
      <c r="I32" t="s">
        <v>1714</v>
      </c>
      <c r="J32" t="s">
        <v>2017</v>
      </c>
      <c r="K32">
        <v>5029</v>
      </c>
      <c r="M32" t="str">
        <f>VLOOKUP(C32,Lcode_mapping!D:D,1,FALSE)</f>
        <v>CLK_CNST</v>
      </c>
    </row>
    <row r="33" spans="1:13" x14ac:dyDescent="0.25">
      <c r="A33">
        <v>32</v>
      </c>
      <c r="B33">
        <v>1</v>
      </c>
      <c r="C33" t="s">
        <v>535</v>
      </c>
      <c r="D33">
        <v>1</v>
      </c>
      <c r="E33">
        <v>1</v>
      </c>
      <c r="F33">
        <v>1</v>
      </c>
      <c r="G33" t="s">
        <v>447</v>
      </c>
      <c r="H33" t="s">
        <v>536</v>
      </c>
      <c r="I33" t="s">
        <v>1714</v>
      </c>
      <c r="J33" t="s">
        <v>2017</v>
      </c>
      <c r="K33">
        <v>5010</v>
      </c>
      <c r="M33" t="str">
        <f>VLOOKUP(C33,Lcode_mapping!D:D,1,FALSE)</f>
        <v>ATM_INTV</v>
      </c>
    </row>
    <row r="34" spans="1:13" x14ac:dyDescent="0.25">
      <c r="A34">
        <v>33</v>
      </c>
      <c r="B34">
        <v>1</v>
      </c>
      <c r="C34" t="s">
        <v>541</v>
      </c>
      <c r="D34">
        <v>3</v>
      </c>
      <c r="E34">
        <v>3</v>
      </c>
      <c r="F34">
        <v>1</v>
      </c>
      <c r="G34" t="s">
        <v>447</v>
      </c>
      <c r="H34" t="s">
        <v>542</v>
      </c>
      <c r="I34" t="s">
        <v>1714</v>
      </c>
      <c r="J34" t="s">
        <v>2017</v>
      </c>
      <c r="K34">
        <v>5028</v>
      </c>
      <c r="M34" t="str">
        <f>VLOOKUP(C34,Lcode_mapping!D:D,1,FALSE)</f>
        <v>ECCCOORD</v>
      </c>
    </row>
    <row r="35" spans="1:13" x14ac:dyDescent="0.25">
      <c r="A35">
        <v>34</v>
      </c>
      <c r="B35">
        <v>1</v>
      </c>
      <c r="C35" t="s">
        <v>493</v>
      </c>
      <c r="D35">
        <v>11</v>
      </c>
      <c r="E35">
        <v>2</v>
      </c>
      <c r="F35">
        <v>3</v>
      </c>
      <c r="G35" t="s">
        <v>447</v>
      </c>
      <c r="H35" t="s">
        <v>494</v>
      </c>
      <c r="I35" t="s">
        <v>1714</v>
      </c>
      <c r="J35" t="s">
        <v>2017</v>
      </c>
      <c r="K35">
        <v>5029</v>
      </c>
      <c r="M35" t="str">
        <f>VLOOKUP(C35,Lcode_mapping!D:D,1,FALSE)</f>
        <v>SITHOCAM</v>
      </c>
    </row>
    <row r="36" spans="1:13" x14ac:dyDescent="0.25">
      <c r="A36">
        <v>35</v>
      </c>
      <c r="B36">
        <v>1</v>
      </c>
      <c r="C36" t="s">
        <v>495</v>
      </c>
      <c r="D36">
        <v>11</v>
      </c>
      <c r="E36">
        <v>2</v>
      </c>
      <c r="F36">
        <v>3</v>
      </c>
      <c r="G36" t="s">
        <v>447</v>
      </c>
      <c r="H36" t="s">
        <v>496</v>
      </c>
      <c r="I36" t="s">
        <v>1714</v>
      </c>
      <c r="J36" t="s">
        <v>2017</v>
      </c>
      <c r="K36">
        <v>5029</v>
      </c>
      <c r="M36" t="str">
        <f>VLOOKUP(C36,Lcode_mapping!D:D,1,FALSE)</f>
        <v>SITHOCPH</v>
      </c>
    </row>
    <row r="37" spans="1:13" x14ac:dyDescent="0.25">
      <c r="A37">
        <v>36</v>
      </c>
      <c r="B37">
        <v>1</v>
      </c>
      <c r="C37" t="s">
        <v>531</v>
      </c>
      <c r="D37">
        <v>1</v>
      </c>
      <c r="E37">
        <v>1</v>
      </c>
      <c r="F37">
        <v>1</v>
      </c>
      <c r="G37" t="s">
        <v>447</v>
      </c>
      <c r="H37" t="s">
        <v>532</v>
      </c>
      <c r="I37" t="s">
        <v>1714</v>
      </c>
      <c r="J37" t="s">
        <v>2017</v>
      </c>
      <c r="K37">
        <v>5029</v>
      </c>
      <c r="M37" t="str">
        <f>VLOOKUP(C37,Lcode_mapping!D:D,1,FALSE)</f>
        <v>CLK_INTV</v>
      </c>
    </row>
    <row r="38" spans="1:13" x14ac:dyDescent="0.25">
      <c r="A38">
        <v>37</v>
      </c>
      <c r="B38">
        <v>1</v>
      </c>
      <c r="C38" t="s">
        <v>533</v>
      </c>
      <c r="D38">
        <v>2</v>
      </c>
      <c r="E38">
        <v>1</v>
      </c>
      <c r="F38">
        <v>1</v>
      </c>
      <c r="G38" t="s">
        <v>447</v>
      </c>
      <c r="H38" t="s">
        <v>534</v>
      </c>
      <c r="I38" t="s">
        <v>1714</v>
      </c>
      <c r="J38" t="s">
        <v>2017</v>
      </c>
      <c r="K38">
        <v>563</v>
      </c>
      <c r="M38" t="str">
        <f>VLOOKUP(C38,Lcode_mapping!D:D,1,FALSE)</f>
        <v>BRK_EPOC</v>
      </c>
    </row>
    <row r="39" spans="1:13" x14ac:dyDescent="0.25">
      <c r="A39">
        <v>38</v>
      </c>
      <c r="B39">
        <v>1</v>
      </c>
      <c r="C39" t="s">
        <v>501</v>
      </c>
      <c r="D39">
        <v>15</v>
      </c>
      <c r="E39">
        <v>1</v>
      </c>
      <c r="F39">
        <v>1</v>
      </c>
      <c r="G39" t="s">
        <v>447</v>
      </c>
      <c r="H39" t="s">
        <v>502</v>
      </c>
      <c r="I39" t="s">
        <v>1714</v>
      </c>
      <c r="J39" t="s">
        <v>2017</v>
      </c>
      <c r="K39">
        <v>5029</v>
      </c>
      <c r="M39" t="str">
        <f>VLOOKUP(C39,Lcode_mapping!D:D,1,FALSE)</f>
        <v>FUT1 PTS</v>
      </c>
    </row>
    <row r="40" spans="1:13" x14ac:dyDescent="0.25">
      <c r="A40">
        <v>39</v>
      </c>
      <c r="B40">
        <v>1</v>
      </c>
      <c r="C40" t="s">
        <v>517</v>
      </c>
      <c r="D40">
        <v>2</v>
      </c>
      <c r="E40">
        <v>15</v>
      </c>
      <c r="F40">
        <v>1</v>
      </c>
      <c r="G40" t="s">
        <v>447</v>
      </c>
      <c r="H40" t="s">
        <v>518</v>
      </c>
      <c r="I40" t="s">
        <v>1714</v>
      </c>
      <c r="J40" t="s">
        <v>2017</v>
      </c>
      <c r="K40">
        <v>5029</v>
      </c>
      <c r="M40" t="str">
        <f>VLOOKUP(C40,Lcode_mapping!D:D,1,FALSE)</f>
        <v>FWOBX&amp;YT</v>
      </c>
    </row>
    <row r="41" spans="1:13" x14ac:dyDescent="0.25">
      <c r="A41">
        <v>40</v>
      </c>
      <c r="B41">
        <v>1</v>
      </c>
      <c r="C41" t="s">
        <v>469</v>
      </c>
      <c r="D41">
        <v>1</v>
      </c>
      <c r="E41">
        <v>1</v>
      </c>
      <c r="F41">
        <v>1</v>
      </c>
      <c r="G41" t="s">
        <v>447</v>
      </c>
      <c r="H41" t="s">
        <v>470</v>
      </c>
      <c r="I41" t="s">
        <v>1714</v>
      </c>
      <c r="J41" t="s">
        <v>2017</v>
      </c>
      <c r="K41">
        <v>4924</v>
      </c>
      <c r="M41" t="str">
        <f>VLOOKUP(C41,Lcode_mapping!D:D,1,FALSE)</f>
        <v>GMEARTH</v>
      </c>
    </row>
    <row r="42" spans="1:13" x14ac:dyDescent="0.25">
      <c r="A42">
        <v>41</v>
      </c>
      <c r="B42">
        <v>1</v>
      </c>
      <c r="C42" t="s">
        <v>511</v>
      </c>
      <c r="D42">
        <v>2</v>
      </c>
      <c r="E42">
        <v>4</v>
      </c>
      <c r="F42">
        <v>1</v>
      </c>
      <c r="G42" t="s">
        <v>447</v>
      </c>
      <c r="H42" t="s">
        <v>512</v>
      </c>
      <c r="I42" t="s">
        <v>1714</v>
      </c>
      <c r="J42" t="s">
        <v>2017</v>
      </c>
      <c r="K42">
        <v>5029</v>
      </c>
      <c r="M42" t="str">
        <f>VLOOKUP(C42,Lcode_mapping!D:D,1,FALSE)</f>
        <v>UT1EPOCH</v>
      </c>
    </row>
    <row r="43" spans="1:13" x14ac:dyDescent="0.25">
      <c r="A43">
        <v>42</v>
      </c>
      <c r="B43">
        <v>1</v>
      </c>
      <c r="C43" t="s">
        <v>513</v>
      </c>
      <c r="D43">
        <v>2</v>
      </c>
      <c r="E43">
        <v>4</v>
      </c>
      <c r="F43">
        <v>1</v>
      </c>
      <c r="G43" t="s">
        <v>447</v>
      </c>
      <c r="H43" t="s">
        <v>514</v>
      </c>
      <c r="I43" t="s">
        <v>1714</v>
      </c>
      <c r="J43" t="s">
        <v>2017</v>
      </c>
      <c r="K43">
        <v>5029</v>
      </c>
      <c r="M43" t="str">
        <f>VLOOKUP(C43,Lcode_mapping!D:D,1,FALSE)</f>
        <v>WOBEPOCH</v>
      </c>
    </row>
    <row r="44" spans="1:13" x14ac:dyDescent="0.25">
      <c r="A44">
        <v>43</v>
      </c>
      <c r="B44">
        <v>1</v>
      </c>
      <c r="C44" t="s">
        <v>519</v>
      </c>
      <c r="D44">
        <v>1</v>
      </c>
      <c r="E44">
        <v>1</v>
      </c>
      <c r="F44">
        <v>1</v>
      </c>
      <c r="G44" t="s">
        <v>447</v>
      </c>
      <c r="H44" t="s">
        <v>520</v>
      </c>
      <c r="I44" t="s">
        <v>1714</v>
      </c>
      <c r="J44" t="s">
        <v>2017</v>
      </c>
      <c r="K44">
        <v>5029</v>
      </c>
      <c r="M44" t="str">
        <f>VLOOKUP(C44,Lcode_mapping!D:D,1,FALSE)</f>
        <v>CALC VER</v>
      </c>
    </row>
    <row r="45" spans="1:13" x14ac:dyDescent="0.25">
      <c r="A45">
        <v>44</v>
      </c>
      <c r="B45">
        <v>1</v>
      </c>
      <c r="C45" t="s">
        <v>733</v>
      </c>
      <c r="D45">
        <v>2</v>
      </c>
      <c r="E45">
        <v>3</v>
      </c>
      <c r="F45">
        <v>1</v>
      </c>
      <c r="G45" t="s">
        <v>447</v>
      </c>
      <c r="H45" t="s">
        <v>734</v>
      </c>
      <c r="I45" t="s">
        <v>1714</v>
      </c>
      <c r="J45" t="s">
        <v>2017</v>
      </c>
      <c r="K45">
        <v>5029</v>
      </c>
      <c r="M45" t="str">
        <f>VLOOKUP(C45,Lcode_mapping!D:D,1,FALSE)</f>
        <v>AXISTILT</v>
      </c>
    </row>
    <row r="46" spans="1:13" x14ac:dyDescent="0.25">
      <c r="A46">
        <v>45</v>
      </c>
      <c r="B46">
        <v>1</v>
      </c>
      <c r="C46" t="s">
        <v>537</v>
      </c>
      <c r="D46">
        <v>4</v>
      </c>
      <c r="E46">
        <v>1</v>
      </c>
      <c r="F46">
        <v>1</v>
      </c>
      <c r="G46" t="s">
        <v>447</v>
      </c>
      <c r="H46" t="s">
        <v>538</v>
      </c>
      <c r="I46" t="s">
        <v>1714</v>
      </c>
      <c r="J46" t="s">
        <v>2017</v>
      </c>
      <c r="K46">
        <v>2393</v>
      </c>
      <c r="M46" t="str">
        <f>VLOOKUP(C46,Lcode_mapping!D:D,1,FALSE)</f>
        <v>CLOOFACM</v>
      </c>
    </row>
    <row r="47" spans="1:13" x14ac:dyDescent="0.25">
      <c r="A47">
        <v>46</v>
      </c>
      <c r="B47">
        <v>1</v>
      </c>
      <c r="C47" t="s">
        <v>539</v>
      </c>
      <c r="D47">
        <v>4</v>
      </c>
      <c r="E47">
        <v>1</v>
      </c>
      <c r="F47">
        <v>1</v>
      </c>
      <c r="G47" t="s">
        <v>447</v>
      </c>
      <c r="H47" t="s">
        <v>540</v>
      </c>
      <c r="I47" t="s">
        <v>1714</v>
      </c>
      <c r="J47" t="s">
        <v>2017</v>
      </c>
      <c r="K47">
        <v>2393</v>
      </c>
      <c r="M47" t="str">
        <f>VLOOKUP(C47,Lcode_mapping!D:D,1,FALSE)</f>
        <v>CLODRACM</v>
      </c>
    </row>
    <row r="48" spans="1:13" x14ac:dyDescent="0.25">
      <c r="A48">
        <v>47</v>
      </c>
      <c r="B48">
        <v>1</v>
      </c>
      <c r="C48" t="s">
        <v>548</v>
      </c>
      <c r="D48">
        <v>1</v>
      </c>
      <c r="E48">
        <v>1</v>
      </c>
      <c r="F48">
        <v>1</v>
      </c>
      <c r="G48" t="s">
        <v>544</v>
      </c>
      <c r="H48" t="s">
        <v>549</v>
      </c>
      <c r="I48" t="s">
        <v>1714</v>
      </c>
      <c r="J48" t="s">
        <v>2017</v>
      </c>
      <c r="K48">
        <v>5029</v>
      </c>
      <c r="M48" t="str">
        <f>VLOOKUP(C48,Lcode_mapping!D:D,1,FALSE)</f>
        <v># SITES</v>
      </c>
    </row>
    <row r="49" spans="1:13" x14ac:dyDescent="0.25">
      <c r="A49">
        <v>48</v>
      </c>
      <c r="B49">
        <v>1</v>
      </c>
      <c r="C49" t="s">
        <v>550</v>
      </c>
      <c r="D49">
        <v>1</v>
      </c>
      <c r="E49">
        <v>1</v>
      </c>
      <c r="F49">
        <v>1</v>
      </c>
      <c r="G49" t="s">
        <v>544</v>
      </c>
      <c r="H49" t="s">
        <v>551</v>
      </c>
      <c r="I49" t="s">
        <v>1714</v>
      </c>
      <c r="J49" t="s">
        <v>2017</v>
      </c>
      <c r="K49">
        <v>5029</v>
      </c>
      <c r="M49" t="str">
        <f>VLOOKUP(C49,Lcode_mapping!D:D,1,FALSE)</f>
        <v># STARS</v>
      </c>
    </row>
    <row r="50" spans="1:13" x14ac:dyDescent="0.25">
      <c r="A50">
        <v>49</v>
      </c>
      <c r="B50">
        <v>1</v>
      </c>
      <c r="C50" t="s">
        <v>558</v>
      </c>
      <c r="D50">
        <v>3</v>
      </c>
      <c r="E50">
        <v>1</v>
      </c>
      <c r="F50">
        <v>1</v>
      </c>
      <c r="G50" t="s">
        <v>544</v>
      </c>
      <c r="H50" t="s">
        <v>559</v>
      </c>
      <c r="I50" t="s">
        <v>1714</v>
      </c>
      <c r="J50" t="s">
        <v>2017</v>
      </c>
      <c r="K50">
        <v>5029</v>
      </c>
      <c r="M50" t="str">
        <f>VLOOKUP(C50,Lcode_mapping!D:D,1,FALSE)</f>
        <v>AXISTYPS</v>
      </c>
    </row>
    <row r="51" spans="1:13" x14ac:dyDescent="0.25">
      <c r="A51">
        <v>50</v>
      </c>
      <c r="B51">
        <v>1</v>
      </c>
      <c r="C51" t="s">
        <v>1363</v>
      </c>
      <c r="D51">
        <v>1</v>
      </c>
      <c r="E51">
        <v>1</v>
      </c>
      <c r="F51">
        <v>1</v>
      </c>
      <c r="G51" t="s">
        <v>544</v>
      </c>
      <c r="H51" t="s">
        <v>1364</v>
      </c>
      <c r="I51" t="s">
        <v>1714</v>
      </c>
      <c r="J51" t="s">
        <v>2018</v>
      </c>
      <c r="K51">
        <v>3326</v>
      </c>
      <c r="M51" t="str">
        <f>VLOOKUP(C51,Lcode_mapping!D:D,1,FALSE)</f>
        <v>DELTFLAG</v>
      </c>
    </row>
    <row r="52" spans="1:13" x14ac:dyDescent="0.25">
      <c r="A52">
        <v>51</v>
      </c>
      <c r="B52">
        <v>1</v>
      </c>
      <c r="C52" t="s">
        <v>556</v>
      </c>
      <c r="D52">
        <v>5</v>
      </c>
      <c r="E52">
        <v>2</v>
      </c>
      <c r="F52">
        <v>1</v>
      </c>
      <c r="G52" t="s">
        <v>544</v>
      </c>
      <c r="H52" t="s">
        <v>557</v>
      </c>
      <c r="I52" t="s">
        <v>1714</v>
      </c>
      <c r="J52" t="s">
        <v>2017</v>
      </c>
      <c r="K52">
        <v>5029</v>
      </c>
      <c r="M52" t="str">
        <f>VLOOKUP(C52,Lcode_mapping!D:D,1,FALSE)</f>
        <v>INTERVAL</v>
      </c>
    </row>
    <row r="53" spans="1:13" x14ac:dyDescent="0.25">
      <c r="A53">
        <v>52</v>
      </c>
      <c r="B53">
        <v>1</v>
      </c>
      <c r="C53" t="s">
        <v>552</v>
      </c>
      <c r="D53">
        <v>1</v>
      </c>
      <c r="E53">
        <v>1</v>
      </c>
      <c r="F53">
        <v>1</v>
      </c>
      <c r="G53" t="s">
        <v>544</v>
      </c>
      <c r="H53" t="s">
        <v>553</v>
      </c>
      <c r="I53" t="s">
        <v>1714</v>
      </c>
      <c r="J53" t="s">
        <v>2017</v>
      </c>
      <c r="K53">
        <v>5029</v>
      </c>
      <c r="M53" t="str">
        <f>VLOOKUP(C53,Lcode_mapping!D:D,1,FALSE)</f>
        <v>NUMB OBS</v>
      </c>
    </row>
    <row r="54" spans="1:13" x14ac:dyDescent="0.25">
      <c r="A54">
        <v>53</v>
      </c>
      <c r="B54">
        <v>1</v>
      </c>
      <c r="C54" t="s">
        <v>564</v>
      </c>
      <c r="D54">
        <v>1</v>
      </c>
      <c r="E54">
        <v>1</v>
      </c>
      <c r="F54">
        <v>1</v>
      </c>
      <c r="G54" t="s">
        <v>544</v>
      </c>
      <c r="H54" t="s">
        <v>565</v>
      </c>
      <c r="I54" t="s">
        <v>1714</v>
      </c>
      <c r="J54" t="s">
        <v>2017</v>
      </c>
      <c r="K54">
        <v>5029</v>
      </c>
      <c r="M54" t="str">
        <f>VLOOKUP(C54,Lcode_mapping!D:D,1,FALSE)</f>
        <v>SOL_DATA</v>
      </c>
    </row>
    <row r="55" spans="1:13" x14ac:dyDescent="0.25">
      <c r="A55">
        <v>54</v>
      </c>
      <c r="B55">
        <v>1</v>
      </c>
      <c r="C55" t="s">
        <v>578</v>
      </c>
      <c r="D55">
        <v>3</v>
      </c>
      <c r="E55">
        <v>1</v>
      </c>
      <c r="F55">
        <v>1</v>
      </c>
      <c r="G55" t="s">
        <v>544</v>
      </c>
      <c r="H55" t="s">
        <v>579</v>
      </c>
      <c r="I55" t="s">
        <v>1714</v>
      </c>
      <c r="J55" t="s">
        <v>2017</v>
      </c>
      <c r="K55">
        <v>5028</v>
      </c>
      <c r="M55" t="str">
        <f>VLOOKUP(C55,Lcode_mapping!D:D,1,FALSE)</f>
        <v>CAL FLGS</v>
      </c>
    </row>
    <row r="56" spans="1:13" x14ac:dyDescent="0.25">
      <c r="A56">
        <v>55</v>
      </c>
      <c r="B56">
        <v>1</v>
      </c>
      <c r="C56" t="s">
        <v>586</v>
      </c>
      <c r="D56">
        <v>1</v>
      </c>
      <c r="E56">
        <v>1</v>
      </c>
      <c r="F56">
        <v>1</v>
      </c>
      <c r="G56" t="s">
        <v>544</v>
      </c>
      <c r="H56" t="s">
        <v>587</v>
      </c>
      <c r="I56" t="s">
        <v>1714</v>
      </c>
      <c r="J56" t="s">
        <v>2017</v>
      </c>
      <c r="K56">
        <v>4965</v>
      </c>
      <c r="M56" t="str">
        <f>VLOOKUP(C56,Lcode_mapping!D:D,1,FALSE)</f>
        <v>OBCLFLGS</v>
      </c>
    </row>
    <row r="57" spans="1:13" x14ac:dyDescent="0.25">
      <c r="A57">
        <v>56</v>
      </c>
      <c r="B57">
        <v>1</v>
      </c>
      <c r="C57" t="s">
        <v>560</v>
      </c>
      <c r="D57">
        <v>1</v>
      </c>
      <c r="E57">
        <v>1</v>
      </c>
      <c r="F57">
        <v>1</v>
      </c>
      <c r="G57" t="s">
        <v>544</v>
      </c>
      <c r="H57" t="s">
        <v>561</v>
      </c>
      <c r="I57" t="s">
        <v>1714</v>
      </c>
      <c r="J57" t="s">
        <v>2017</v>
      </c>
      <c r="K57">
        <v>5029</v>
      </c>
      <c r="M57" t="str">
        <f>VLOOKUP(C57,Lcode_mapping!D:D,1,FALSE)</f>
        <v>TIDALUT1</v>
      </c>
    </row>
    <row r="58" spans="1:13" x14ac:dyDescent="0.25">
      <c r="A58">
        <v>57</v>
      </c>
      <c r="B58">
        <v>1</v>
      </c>
      <c r="C58" t="s">
        <v>179</v>
      </c>
      <c r="D58">
        <v>1</v>
      </c>
      <c r="E58">
        <v>1</v>
      </c>
      <c r="F58">
        <v>1</v>
      </c>
      <c r="G58" t="s">
        <v>544</v>
      </c>
      <c r="H58" t="s">
        <v>1778</v>
      </c>
      <c r="I58" t="s">
        <v>1714</v>
      </c>
      <c r="J58" t="s">
        <v>1715</v>
      </c>
      <c r="K58">
        <v>3230</v>
      </c>
      <c r="M58" t="str">
        <f>VLOOKUP(C58,Lcode_mapping!D:D,1,FALSE)</f>
        <v>EPHEPOCH</v>
      </c>
    </row>
    <row r="59" spans="1:13" x14ac:dyDescent="0.25">
      <c r="A59">
        <v>58</v>
      </c>
      <c r="B59">
        <v>1</v>
      </c>
      <c r="C59" t="s">
        <v>568</v>
      </c>
      <c r="D59">
        <v>1</v>
      </c>
      <c r="E59">
        <v>1</v>
      </c>
      <c r="F59">
        <v>1</v>
      </c>
      <c r="G59" t="s">
        <v>544</v>
      </c>
      <c r="H59" t="s">
        <v>569</v>
      </c>
      <c r="I59" t="s">
        <v>1714</v>
      </c>
      <c r="J59" t="s">
        <v>2017</v>
      </c>
      <c r="K59">
        <v>562</v>
      </c>
      <c r="M59" t="str">
        <f>VLOOKUP(C59,Lcode_mapping!D:D,1,FALSE)</f>
        <v>BRK_NUMB</v>
      </c>
    </row>
    <row r="60" spans="1:13" x14ac:dyDescent="0.25">
      <c r="A60">
        <v>59</v>
      </c>
      <c r="B60">
        <v>1</v>
      </c>
      <c r="C60" t="s">
        <v>570</v>
      </c>
      <c r="D60">
        <v>2</v>
      </c>
      <c r="E60">
        <v>1</v>
      </c>
      <c r="F60">
        <v>1</v>
      </c>
      <c r="G60" t="s">
        <v>544</v>
      </c>
      <c r="H60" t="s">
        <v>571</v>
      </c>
      <c r="I60" t="s">
        <v>1714</v>
      </c>
      <c r="J60" t="s">
        <v>2017</v>
      </c>
      <c r="K60">
        <v>562</v>
      </c>
      <c r="M60" t="str">
        <f>VLOOKUP(C60,Lcode_mapping!D:D,1,FALSE)</f>
        <v>BRK_FLAG</v>
      </c>
    </row>
    <row r="61" spans="1:13" x14ac:dyDescent="0.25">
      <c r="A61">
        <v>60</v>
      </c>
      <c r="B61">
        <v>1</v>
      </c>
      <c r="C61" t="s">
        <v>580</v>
      </c>
      <c r="D61">
        <v>7</v>
      </c>
      <c r="E61">
        <v>3</v>
      </c>
      <c r="F61">
        <v>1</v>
      </c>
      <c r="G61" t="s">
        <v>544</v>
      </c>
      <c r="H61" t="s">
        <v>581</v>
      </c>
      <c r="I61" t="s">
        <v>1714</v>
      </c>
      <c r="J61" t="s">
        <v>2017</v>
      </c>
      <c r="K61">
        <v>4659</v>
      </c>
      <c r="M61" t="str">
        <f>VLOOKUP(C61,Lcode_mapping!D:D,1,FALSE)</f>
        <v>FCL FLGS</v>
      </c>
    </row>
    <row r="62" spans="1:13" x14ac:dyDescent="0.25">
      <c r="A62">
        <v>61</v>
      </c>
      <c r="B62">
        <v>1</v>
      </c>
      <c r="C62" t="s">
        <v>562</v>
      </c>
      <c r="D62">
        <v>31</v>
      </c>
      <c r="E62">
        <v>1</v>
      </c>
      <c r="F62">
        <v>1</v>
      </c>
      <c r="G62" t="s">
        <v>544</v>
      </c>
      <c r="H62" t="s">
        <v>563</v>
      </c>
      <c r="I62" t="s">
        <v>1714</v>
      </c>
      <c r="J62" t="s">
        <v>2017</v>
      </c>
      <c r="K62">
        <v>5029</v>
      </c>
      <c r="M62" t="str">
        <f>VLOOKUP(C62,Lcode_mapping!D:D,1,FALSE)</f>
        <v>CALCFLGV</v>
      </c>
    </row>
    <row r="63" spans="1:13" x14ac:dyDescent="0.25">
      <c r="A63">
        <v>62</v>
      </c>
      <c r="B63">
        <v>1</v>
      </c>
      <c r="C63" t="s">
        <v>566</v>
      </c>
      <c r="D63">
        <v>1</v>
      </c>
      <c r="E63">
        <v>1</v>
      </c>
      <c r="F63">
        <v>1</v>
      </c>
      <c r="G63" t="s">
        <v>544</v>
      </c>
      <c r="H63" t="s">
        <v>567</v>
      </c>
      <c r="I63" t="s">
        <v>1714</v>
      </c>
      <c r="J63" t="s">
        <v>2017</v>
      </c>
      <c r="K63">
        <v>2391</v>
      </c>
      <c r="M63" t="str">
        <f>VLOOKUP(C63,Lcode_mapping!D:D,1,FALSE)</f>
        <v># CLK_RF</v>
      </c>
    </row>
    <row r="64" spans="1:13" x14ac:dyDescent="0.25">
      <c r="A64">
        <v>63</v>
      </c>
      <c r="B64">
        <v>1</v>
      </c>
      <c r="C64" t="s">
        <v>572</v>
      </c>
      <c r="D64">
        <v>9</v>
      </c>
      <c r="E64">
        <v>1</v>
      </c>
      <c r="F64">
        <v>1</v>
      </c>
      <c r="G64" t="s">
        <v>544</v>
      </c>
      <c r="H64" t="s">
        <v>573</v>
      </c>
      <c r="I64" t="s">
        <v>1714</v>
      </c>
      <c r="J64" t="s">
        <v>2017</v>
      </c>
      <c r="K64">
        <v>2402</v>
      </c>
      <c r="M64" t="str">
        <f>VLOOKUP(C64,Lcode_mapping!D:D,1,FALSE)</f>
        <v>BASLSTAT</v>
      </c>
    </row>
    <row r="65" spans="1:13" x14ac:dyDescent="0.25">
      <c r="A65">
        <v>64</v>
      </c>
      <c r="B65">
        <v>1</v>
      </c>
      <c r="C65" t="s">
        <v>574</v>
      </c>
      <c r="D65">
        <v>14</v>
      </c>
      <c r="E65">
        <v>1</v>
      </c>
      <c r="F65">
        <v>1</v>
      </c>
      <c r="G65" t="s">
        <v>544</v>
      </c>
      <c r="H65" t="s">
        <v>575</v>
      </c>
      <c r="I65" t="s">
        <v>1714</v>
      </c>
      <c r="J65" t="s">
        <v>2017</v>
      </c>
      <c r="K65">
        <v>2402</v>
      </c>
      <c r="M65" t="str">
        <f>VLOOKUP(C65,Lcode_mapping!D:D,1,FALSE)</f>
        <v>SOURSTAT</v>
      </c>
    </row>
    <row r="66" spans="1:13" x14ac:dyDescent="0.25">
      <c r="A66">
        <v>65</v>
      </c>
      <c r="B66">
        <v>1</v>
      </c>
      <c r="C66" t="s">
        <v>576</v>
      </c>
      <c r="D66">
        <v>1</v>
      </c>
      <c r="E66">
        <v>1</v>
      </c>
      <c r="F66">
        <v>1</v>
      </c>
      <c r="G66" t="s">
        <v>544</v>
      </c>
      <c r="H66" t="s">
        <v>577</v>
      </c>
      <c r="I66" t="s">
        <v>1714</v>
      </c>
      <c r="J66" t="s">
        <v>2017</v>
      </c>
      <c r="K66">
        <v>2393</v>
      </c>
      <c r="M66" t="str">
        <f>VLOOKUP(C66,Lcode_mapping!D:D,1,FALSE)</f>
        <v>SUPMET</v>
      </c>
    </row>
    <row r="67" spans="1:13" x14ac:dyDescent="0.25">
      <c r="A67">
        <v>66</v>
      </c>
      <c r="B67">
        <v>1</v>
      </c>
      <c r="C67" t="s">
        <v>582</v>
      </c>
      <c r="D67">
        <v>1</v>
      </c>
      <c r="E67">
        <v>1</v>
      </c>
      <c r="F67">
        <v>1</v>
      </c>
      <c r="G67" t="s">
        <v>544</v>
      </c>
      <c r="H67" t="s">
        <v>583</v>
      </c>
      <c r="I67" t="s">
        <v>1714</v>
      </c>
      <c r="J67" t="s">
        <v>2017</v>
      </c>
      <c r="K67">
        <v>3477</v>
      </c>
      <c r="M67" t="str">
        <f>VLOOKUP(C67,Lcode_mapping!D:D,1,FALSE)</f>
        <v>PRT FLAG</v>
      </c>
    </row>
    <row r="68" spans="1:13" x14ac:dyDescent="0.25">
      <c r="A68">
        <v>67</v>
      </c>
      <c r="B68">
        <v>1</v>
      </c>
      <c r="C68" t="s">
        <v>584</v>
      </c>
      <c r="D68">
        <v>2</v>
      </c>
      <c r="E68">
        <v>1</v>
      </c>
      <c r="F68">
        <v>1</v>
      </c>
      <c r="G68" t="s">
        <v>544</v>
      </c>
      <c r="H68" t="s">
        <v>585</v>
      </c>
      <c r="I68" t="s">
        <v>1714</v>
      </c>
      <c r="J68" t="s">
        <v>2017</v>
      </c>
      <c r="K68">
        <v>2370</v>
      </c>
      <c r="M68" t="str">
        <f>VLOOKUP(C68,Lcode_mapping!D:D,1,FALSE)</f>
        <v>MCALSTAT</v>
      </c>
    </row>
    <row r="69" spans="1:13" x14ac:dyDescent="0.25">
      <c r="A69">
        <v>68</v>
      </c>
      <c r="B69">
        <v>1</v>
      </c>
      <c r="C69" t="s">
        <v>607</v>
      </c>
      <c r="D69">
        <v>4</v>
      </c>
      <c r="E69">
        <v>3</v>
      </c>
      <c r="F69">
        <v>1</v>
      </c>
      <c r="G69" t="s">
        <v>589</v>
      </c>
      <c r="H69" t="s">
        <v>608</v>
      </c>
      <c r="I69" t="s">
        <v>1714</v>
      </c>
      <c r="J69" t="s">
        <v>2017</v>
      </c>
      <c r="K69">
        <v>5029</v>
      </c>
      <c r="M69" t="str">
        <f>VLOOKUP(C69,Lcode_mapping!D:D,1,FALSE)</f>
        <v>SITNAMES</v>
      </c>
    </row>
    <row r="70" spans="1:13" x14ac:dyDescent="0.25">
      <c r="A70">
        <v>69</v>
      </c>
      <c r="B70">
        <v>1</v>
      </c>
      <c r="C70" t="s">
        <v>609</v>
      </c>
      <c r="D70">
        <v>4</v>
      </c>
      <c r="E70">
        <v>14</v>
      </c>
      <c r="F70">
        <v>1</v>
      </c>
      <c r="G70" t="s">
        <v>589</v>
      </c>
      <c r="H70" t="s">
        <v>610</v>
      </c>
      <c r="I70" t="s">
        <v>1714</v>
      </c>
      <c r="J70" t="s">
        <v>2017</v>
      </c>
      <c r="K70">
        <v>5029</v>
      </c>
      <c r="M70" t="str">
        <f>VLOOKUP(C70,Lcode_mapping!D:D,1,FALSE)</f>
        <v>STRNAMES</v>
      </c>
    </row>
    <row r="71" spans="1:13" x14ac:dyDescent="0.25">
      <c r="A71">
        <v>70</v>
      </c>
      <c r="B71">
        <v>1</v>
      </c>
      <c r="C71" t="s">
        <v>659</v>
      </c>
      <c r="D71">
        <v>40</v>
      </c>
      <c r="E71">
        <v>1</v>
      </c>
      <c r="F71">
        <v>1</v>
      </c>
      <c r="G71" t="s">
        <v>589</v>
      </c>
      <c r="H71" t="s">
        <v>660</v>
      </c>
      <c r="I71" t="s">
        <v>1714</v>
      </c>
      <c r="J71" t="s">
        <v>2017</v>
      </c>
      <c r="K71">
        <v>5029</v>
      </c>
      <c r="M71" t="str">
        <f>VLOOKUP(C71,Lcode_mapping!D:D,1,FALSE)</f>
        <v>FUT1TEXT</v>
      </c>
    </row>
    <row r="72" spans="1:13" x14ac:dyDescent="0.25">
      <c r="A72">
        <v>71</v>
      </c>
      <c r="B72">
        <v>1</v>
      </c>
      <c r="C72" t="s">
        <v>669</v>
      </c>
      <c r="D72">
        <v>40</v>
      </c>
      <c r="E72">
        <v>1</v>
      </c>
      <c r="F72">
        <v>1</v>
      </c>
      <c r="G72" t="s">
        <v>589</v>
      </c>
      <c r="H72" t="s">
        <v>670</v>
      </c>
      <c r="I72" t="s">
        <v>1714</v>
      </c>
      <c r="J72" t="s">
        <v>2017</v>
      </c>
      <c r="K72">
        <v>5029</v>
      </c>
      <c r="M72" t="str">
        <f>VLOOKUP(C72,Lcode_mapping!D:D,1,FALSE)</f>
        <v>FWOBTEXT</v>
      </c>
    </row>
    <row r="73" spans="1:13" x14ac:dyDescent="0.25">
      <c r="A73">
        <v>72</v>
      </c>
      <c r="B73">
        <v>1</v>
      </c>
      <c r="C73" t="s">
        <v>694</v>
      </c>
      <c r="D73">
        <v>4</v>
      </c>
      <c r="E73">
        <v>2</v>
      </c>
      <c r="F73">
        <v>3</v>
      </c>
      <c r="G73" t="s">
        <v>589</v>
      </c>
      <c r="H73" t="s">
        <v>695</v>
      </c>
      <c r="I73" t="s">
        <v>1714</v>
      </c>
      <c r="J73" t="s">
        <v>2017</v>
      </c>
      <c r="K73">
        <v>5028</v>
      </c>
      <c r="M73" t="str">
        <f>VLOOKUP(C73,Lcode_mapping!D:D,1,FALSE)</f>
        <v>ERROR BL</v>
      </c>
    </row>
    <row r="74" spans="1:13" x14ac:dyDescent="0.25">
      <c r="A74">
        <v>73</v>
      </c>
      <c r="B74">
        <v>1</v>
      </c>
      <c r="C74" t="s">
        <v>1216</v>
      </c>
      <c r="D74">
        <v>4</v>
      </c>
      <c r="E74">
        <v>3</v>
      </c>
      <c r="F74">
        <v>1</v>
      </c>
      <c r="G74" t="s">
        <v>589</v>
      </c>
      <c r="H74" t="s">
        <v>162</v>
      </c>
      <c r="I74" t="s">
        <v>1714</v>
      </c>
      <c r="J74" t="s">
        <v>1716</v>
      </c>
      <c r="K74">
        <v>1488</v>
      </c>
      <c r="M74" t="str">
        <f>VLOOKUP(C74,Lcode_mapping!D:D,1,FALSE)</f>
        <v>EPNAMES</v>
      </c>
    </row>
    <row r="75" spans="1:13" x14ac:dyDescent="0.25">
      <c r="A75">
        <v>74</v>
      </c>
      <c r="B75">
        <v>1</v>
      </c>
      <c r="C75" t="s">
        <v>645</v>
      </c>
      <c r="D75">
        <v>2</v>
      </c>
      <c r="E75">
        <v>3</v>
      </c>
      <c r="F75">
        <v>1</v>
      </c>
      <c r="G75" t="s">
        <v>589</v>
      </c>
      <c r="H75" t="s">
        <v>646</v>
      </c>
      <c r="I75" t="s">
        <v>1714</v>
      </c>
      <c r="J75" t="s">
        <v>2017</v>
      </c>
      <c r="K75">
        <v>5029</v>
      </c>
      <c r="M75" t="str">
        <f>VLOOKUP(C75,Lcode_mapping!D:D,1,FALSE)</f>
        <v>OCE STAT</v>
      </c>
    </row>
    <row r="76" spans="1:13" x14ac:dyDescent="0.25">
      <c r="A76">
        <v>75</v>
      </c>
      <c r="B76">
        <v>1</v>
      </c>
      <c r="C76" t="s">
        <v>700</v>
      </c>
      <c r="D76">
        <v>1</v>
      </c>
      <c r="E76">
        <v>1</v>
      </c>
      <c r="F76">
        <v>1</v>
      </c>
      <c r="G76" t="s">
        <v>589</v>
      </c>
      <c r="H76" t="s">
        <v>701</v>
      </c>
      <c r="I76" t="s">
        <v>1714</v>
      </c>
      <c r="J76" t="s">
        <v>2017</v>
      </c>
      <c r="K76">
        <v>5029</v>
      </c>
      <c r="M76" t="str">
        <f>VLOOKUP(C76,Lcode_mapping!D:D,1,FALSE)</f>
        <v>CLKBREAK</v>
      </c>
    </row>
    <row r="77" spans="1:13" x14ac:dyDescent="0.25">
      <c r="A77">
        <v>76</v>
      </c>
      <c r="B77">
        <v>1</v>
      </c>
      <c r="C77" t="s">
        <v>702</v>
      </c>
      <c r="D77">
        <v>1</v>
      </c>
      <c r="E77">
        <v>1</v>
      </c>
      <c r="F77">
        <v>1</v>
      </c>
      <c r="G77" t="s">
        <v>589</v>
      </c>
      <c r="H77" t="s">
        <v>703</v>
      </c>
      <c r="I77" t="s">
        <v>1714</v>
      </c>
      <c r="J77" t="s">
        <v>2017</v>
      </c>
      <c r="K77">
        <v>5029</v>
      </c>
      <c r="M77" t="e">
        <f>VLOOKUP(C77,Lcode_mapping!D:D,1,FALSE)</f>
        <v>#N/A</v>
      </c>
    </row>
    <row r="78" spans="1:13" x14ac:dyDescent="0.25">
      <c r="A78">
        <v>77</v>
      </c>
      <c r="B78">
        <v>1</v>
      </c>
      <c r="C78" t="s">
        <v>704</v>
      </c>
      <c r="D78">
        <v>1</v>
      </c>
      <c r="E78">
        <v>1</v>
      </c>
      <c r="F78">
        <v>1</v>
      </c>
      <c r="G78" t="s">
        <v>589</v>
      </c>
      <c r="H78" t="s">
        <v>705</v>
      </c>
      <c r="I78" t="s">
        <v>1714</v>
      </c>
      <c r="J78" t="s">
        <v>2017</v>
      </c>
      <c r="K78">
        <v>5029</v>
      </c>
      <c r="M78" t="str">
        <f>VLOOKUP(C78,Lcode_mapping!D:D,1,FALSE)</f>
        <v>CLK_CFLG</v>
      </c>
    </row>
    <row r="79" spans="1:13" x14ac:dyDescent="0.25">
      <c r="A79">
        <v>78</v>
      </c>
      <c r="B79">
        <v>1</v>
      </c>
      <c r="C79" t="s">
        <v>706</v>
      </c>
      <c r="D79">
        <v>2</v>
      </c>
      <c r="E79">
        <v>1</v>
      </c>
      <c r="F79">
        <v>1</v>
      </c>
      <c r="G79" t="s">
        <v>589</v>
      </c>
      <c r="H79" t="s">
        <v>707</v>
      </c>
      <c r="I79" t="s">
        <v>1714</v>
      </c>
      <c r="J79" t="s">
        <v>2017</v>
      </c>
      <c r="K79">
        <v>5029</v>
      </c>
      <c r="M79" t="str">
        <f>VLOOKUP(C79,Lcode_mapping!D:D,1,FALSE)</f>
        <v>BATCHCNT</v>
      </c>
    </row>
    <row r="80" spans="1:13" x14ac:dyDescent="0.25">
      <c r="A80">
        <v>79</v>
      </c>
      <c r="B80">
        <v>1</v>
      </c>
      <c r="C80" t="s">
        <v>716</v>
      </c>
      <c r="D80">
        <v>4</v>
      </c>
      <c r="E80">
        <v>3</v>
      </c>
      <c r="F80">
        <v>1</v>
      </c>
      <c r="G80" t="s">
        <v>589</v>
      </c>
      <c r="H80" t="s">
        <v>717</v>
      </c>
      <c r="I80" t="s">
        <v>1714</v>
      </c>
      <c r="J80" t="s">
        <v>2017</v>
      </c>
      <c r="K80">
        <v>5028</v>
      </c>
      <c r="M80" t="str">
        <f>VLOOKUP(C80,Lcode_mapping!D:D,1,FALSE)</f>
        <v>CALSITES</v>
      </c>
    </row>
    <row r="81" spans="1:13" x14ac:dyDescent="0.25">
      <c r="A81">
        <v>80</v>
      </c>
      <c r="B81">
        <v>1</v>
      </c>
      <c r="C81" t="s">
        <v>726</v>
      </c>
      <c r="D81">
        <v>9</v>
      </c>
      <c r="E81">
        <v>3</v>
      </c>
      <c r="F81">
        <v>1</v>
      </c>
      <c r="G81" t="s">
        <v>589</v>
      </c>
      <c r="H81" t="s">
        <v>727</v>
      </c>
      <c r="I81" t="s">
        <v>1714</v>
      </c>
      <c r="J81" t="s">
        <v>2017</v>
      </c>
      <c r="K81">
        <v>5028</v>
      </c>
      <c r="M81" t="str">
        <f>VLOOKUP(C81,Lcode_mapping!D:D,1,FALSE)</f>
        <v>ECCNAMES</v>
      </c>
    </row>
    <row r="82" spans="1:13" x14ac:dyDescent="0.25">
      <c r="A82">
        <v>81</v>
      </c>
      <c r="B82">
        <v>1</v>
      </c>
      <c r="C82" t="s">
        <v>728</v>
      </c>
      <c r="D82">
        <v>3</v>
      </c>
      <c r="E82">
        <v>1</v>
      </c>
      <c r="F82">
        <v>1</v>
      </c>
      <c r="G82" t="s">
        <v>589</v>
      </c>
      <c r="H82" t="s">
        <v>729</v>
      </c>
      <c r="I82" t="s">
        <v>1714</v>
      </c>
      <c r="J82" t="s">
        <v>2017</v>
      </c>
      <c r="K82">
        <v>5028</v>
      </c>
      <c r="M82" t="str">
        <f>VLOOKUP(C82,Lcode_mapping!D:D,1,FALSE)</f>
        <v>ECCTYPES</v>
      </c>
    </row>
    <row r="83" spans="1:13" x14ac:dyDescent="0.25">
      <c r="A83">
        <v>82</v>
      </c>
      <c r="B83">
        <v>1</v>
      </c>
      <c r="C83" t="s">
        <v>651</v>
      </c>
      <c r="D83">
        <v>10</v>
      </c>
      <c r="E83">
        <v>14</v>
      </c>
      <c r="F83">
        <v>1</v>
      </c>
      <c r="G83" t="s">
        <v>589</v>
      </c>
      <c r="H83" t="s">
        <v>652</v>
      </c>
      <c r="I83" t="s">
        <v>1714</v>
      </c>
      <c r="J83" t="s">
        <v>2017</v>
      </c>
      <c r="K83">
        <v>5029</v>
      </c>
      <c r="M83" t="str">
        <f>VLOOKUP(C83,Lcode_mapping!D:D,1,FALSE)</f>
        <v>STAR REF</v>
      </c>
    </row>
    <row r="84" spans="1:13" x14ac:dyDescent="0.25">
      <c r="A84">
        <v>83</v>
      </c>
      <c r="B84">
        <v>1</v>
      </c>
      <c r="C84" t="s">
        <v>696</v>
      </c>
      <c r="D84">
        <v>8</v>
      </c>
      <c r="E84">
        <v>1</v>
      </c>
      <c r="F84">
        <v>1</v>
      </c>
      <c r="G84" t="s">
        <v>589</v>
      </c>
      <c r="H84" t="s">
        <v>697</v>
      </c>
      <c r="I84" t="s">
        <v>1714</v>
      </c>
      <c r="J84" t="s">
        <v>2017</v>
      </c>
      <c r="K84">
        <v>4528</v>
      </c>
      <c r="M84" t="str">
        <f>VLOOKUP(C84,Lcode_mapping!D:D,1,FALSE)</f>
        <v>EL-CUT</v>
      </c>
    </row>
    <row r="85" spans="1:13" x14ac:dyDescent="0.25">
      <c r="A85">
        <v>84</v>
      </c>
      <c r="B85">
        <v>1</v>
      </c>
      <c r="C85" t="s">
        <v>708</v>
      </c>
      <c r="D85">
        <v>4</v>
      </c>
      <c r="E85">
        <v>1</v>
      </c>
      <c r="F85">
        <v>1</v>
      </c>
      <c r="G85" t="s">
        <v>589</v>
      </c>
      <c r="H85" t="s">
        <v>709</v>
      </c>
      <c r="I85" t="s">
        <v>1714</v>
      </c>
      <c r="J85" t="s">
        <v>2017</v>
      </c>
      <c r="K85">
        <v>5029</v>
      </c>
      <c r="M85" t="str">
        <f>VLOOKUP(C85,Lcode_mapping!D:D,1,FALSE)</f>
        <v>CLK_SITE</v>
      </c>
    </row>
    <row r="86" spans="1:13" x14ac:dyDescent="0.25">
      <c r="A86">
        <v>85</v>
      </c>
      <c r="B86">
        <v>1</v>
      </c>
      <c r="C86" t="s">
        <v>605</v>
      </c>
      <c r="D86">
        <v>40</v>
      </c>
      <c r="E86">
        <v>1</v>
      </c>
      <c r="F86">
        <v>1</v>
      </c>
      <c r="G86" t="s">
        <v>589</v>
      </c>
      <c r="H86" t="s">
        <v>606</v>
      </c>
      <c r="I86" t="s">
        <v>1714</v>
      </c>
      <c r="J86" t="s">
        <v>2017</v>
      </c>
      <c r="K86">
        <v>4920</v>
      </c>
      <c r="M86" t="str">
        <f>VLOOKUP(C86,Lcode_mapping!D:D,1,FALSE)</f>
        <v>TECTMODL</v>
      </c>
    </row>
    <row r="87" spans="1:13" x14ac:dyDescent="0.25">
      <c r="A87">
        <v>86</v>
      </c>
      <c r="B87">
        <v>1</v>
      </c>
      <c r="C87" t="s">
        <v>643</v>
      </c>
      <c r="D87">
        <v>2</v>
      </c>
      <c r="E87">
        <v>3</v>
      </c>
      <c r="F87">
        <v>1</v>
      </c>
      <c r="G87" t="s">
        <v>589</v>
      </c>
      <c r="H87" t="s">
        <v>644</v>
      </c>
      <c r="I87" t="s">
        <v>1714</v>
      </c>
      <c r="J87" t="s">
        <v>2017</v>
      </c>
      <c r="K87">
        <v>5029</v>
      </c>
      <c r="M87" t="str">
        <f>VLOOKUP(C87,Lcode_mapping!D:D,1,FALSE)</f>
        <v>TECTPLNM</v>
      </c>
    </row>
    <row r="88" spans="1:13" x14ac:dyDescent="0.25">
      <c r="A88">
        <v>87</v>
      </c>
      <c r="B88">
        <v>1</v>
      </c>
      <c r="C88" t="s">
        <v>611</v>
      </c>
      <c r="D88">
        <v>40</v>
      </c>
      <c r="E88">
        <v>1</v>
      </c>
      <c r="F88">
        <v>1</v>
      </c>
      <c r="G88" t="s">
        <v>589</v>
      </c>
      <c r="H88" t="s">
        <v>612</v>
      </c>
      <c r="I88" t="s">
        <v>1714</v>
      </c>
      <c r="J88" t="s">
        <v>2017</v>
      </c>
      <c r="K88">
        <v>5029</v>
      </c>
      <c r="M88" t="str">
        <f>VLOOKUP(C88,Lcode_mapping!D:D,1,FALSE)</f>
        <v>ATM MESS</v>
      </c>
    </row>
    <row r="89" spans="1:13" x14ac:dyDescent="0.25">
      <c r="A89">
        <v>88</v>
      </c>
      <c r="B89">
        <v>1</v>
      </c>
      <c r="C89" t="s">
        <v>613</v>
      </c>
      <c r="D89">
        <v>40</v>
      </c>
      <c r="E89">
        <v>1</v>
      </c>
      <c r="F89">
        <v>1</v>
      </c>
      <c r="G89" t="s">
        <v>589</v>
      </c>
      <c r="H89" t="s">
        <v>614</v>
      </c>
      <c r="I89" t="s">
        <v>1714</v>
      </c>
      <c r="J89" t="s">
        <v>2017</v>
      </c>
      <c r="K89">
        <v>5029</v>
      </c>
      <c r="M89" t="str">
        <f>VLOOKUP(C89,Lcode_mapping!D:D,1,FALSE)</f>
        <v>ATM CFLG</v>
      </c>
    </row>
    <row r="90" spans="1:13" x14ac:dyDescent="0.25">
      <c r="A90">
        <v>89</v>
      </c>
      <c r="B90">
        <v>1</v>
      </c>
      <c r="C90" t="s">
        <v>615</v>
      </c>
      <c r="D90">
        <v>40</v>
      </c>
      <c r="E90">
        <v>1</v>
      </c>
      <c r="F90">
        <v>1</v>
      </c>
      <c r="G90" t="s">
        <v>589</v>
      </c>
      <c r="H90" t="s">
        <v>616</v>
      </c>
      <c r="I90" t="s">
        <v>1714</v>
      </c>
      <c r="J90" t="s">
        <v>2017</v>
      </c>
      <c r="K90">
        <v>5029</v>
      </c>
      <c r="M90" t="str">
        <f>VLOOKUP(C90,Lcode_mapping!D:D,1,FALSE)</f>
        <v>AXO MESS</v>
      </c>
    </row>
    <row r="91" spans="1:13" x14ac:dyDescent="0.25">
      <c r="A91">
        <v>90</v>
      </c>
      <c r="B91">
        <v>1</v>
      </c>
      <c r="C91" t="s">
        <v>617</v>
      </c>
      <c r="D91">
        <v>40</v>
      </c>
      <c r="E91">
        <v>1</v>
      </c>
      <c r="F91">
        <v>1</v>
      </c>
      <c r="G91" t="s">
        <v>589</v>
      </c>
      <c r="H91" t="s">
        <v>618</v>
      </c>
      <c r="I91" t="s">
        <v>1714</v>
      </c>
      <c r="J91" t="s">
        <v>2017</v>
      </c>
      <c r="K91">
        <v>5029</v>
      </c>
      <c r="M91" t="str">
        <f>VLOOKUP(C91,Lcode_mapping!D:D,1,FALSE)</f>
        <v>AXO CFLG</v>
      </c>
    </row>
    <row r="92" spans="1:13" x14ac:dyDescent="0.25">
      <c r="A92">
        <v>91</v>
      </c>
      <c r="B92">
        <v>1</v>
      </c>
      <c r="C92" t="s">
        <v>621</v>
      </c>
      <c r="D92">
        <v>40</v>
      </c>
      <c r="E92">
        <v>1</v>
      </c>
      <c r="F92">
        <v>1</v>
      </c>
      <c r="G92" t="s">
        <v>589</v>
      </c>
      <c r="H92" t="s">
        <v>622</v>
      </c>
      <c r="I92" t="s">
        <v>1714</v>
      </c>
      <c r="J92" t="s">
        <v>2017</v>
      </c>
      <c r="K92">
        <v>5029</v>
      </c>
      <c r="M92" t="str">
        <f>VLOOKUP(C92,Lcode_mapping!D:D,1,FALSE)</f>
        <v>ETD MESS</v>
      </c>
    </row>
    <row r="93" spans="1:13" x14ac:dyDescent="0.25">
      <c r="A93">
        <v>92</v>
      </c>
      <c r="B93">
        <v>1</v>
      </c>
      <c r="C93" t="s">
        <v>623</v>
      </c>
      <c r="D93">
        <v>40</v>
      </c>
      <c r="E93">
        <v>1</v>
      </c>
      <c r="F93">
        <v>1</v>
      </c>
      <c r="G93" t="s">
        <v>589</v>
      </c>
      <c r="H93" t="s">
        <v>624</v>
      </c>
      <c r="I93" t="s">
        <v>1714</v>
      </c>
      <c r="J93" t="s">
        <v>2017</v>
      </c>
      <c r="K93">
        <v>5029</v>
      </c>
      <c r="M93" t="str">
        <f>VLOOKUP(C93,Lcode_mapping!D:D,1,FALSE)</f>
        <v>ETD CFLG</v>
      </c>
    </row>
    <row r="94" spans="1:13" x14ac:dyDescent="0.25">
      <c r="A94">
        <v>93</v>
      </c>
      <c r="B94">
        <v>1</v>
      </c>
      <c r="C94" t="s">
        <v>625</v>
      </c>
      <c r="D94">
        <v>40</v>
      </c>
      <c r="E94">
        <v>1</v>
      </c>
      <c r="F94">
        <v>1</v>
      </c>
      <c r="G94" t="s">
        <v>589</v>
      </c>
      <c r="H94" t="s">
        <v>626</v>
      </c>
      <c r="I94" t="s">
        <v>1714</v>
      </c>
      <c r="J94" t="s">
        <v>2017</v>
      </c>
      <c r="K94">
        <v>5029</v>
      </c>
      <c r="M94" t="str">
        <f>VLOOKUP(C94,Lcode_mapping!D:D,1,FALSE)</f>
        <v>PTD MESS</v>
      </c>
    </row>
    <row r="95" spans="1:13" x14ac:dyDescent="0.25">
      <c r="A95">
        <v>94</v>
      </c>
      <c r="B95">
        <v>1</v>
      </c>
      <c r="C95" t="s">
        <v>627</v>
      </c>
      <c r="D95">
        <v>40</v>
      </c>
      <c r="E95">
        <v>1</v>
      </c>
      <c r="F95">
        <v>1</v>
      </c>
      <c r="G95" t="s">
        <v>589</v>
      </c>
      <c r="H95" t="s">
        <v>628</v>
      </c>
      <c r="I95" t="s">
        <v>1714</v>
      </c>
      <c r="J95" t="s">
        <v>2017</v>
      </c>
      <c r="K95">
        <v>5029</v>
      </c>
      <c r="M95" t="str">
        <f>VLOOKUP(C95,Lcode_mapping!D:D,1,FALSE)</f>
        <v>PTD CFLG</v>
      </c>
    </row>
    <row r="96" spans="1:13" x14ac:dyDescent="0.25">
      <c r="A96">
        <v>95</v>
      </c>
      <c r="B96">
        <v>1</v>
      </c>
      <c r="C96" t="s">
        <v>629</v>
      </c>
      <c r="D96">
        <v>40</v>
      </c>
      <c r="E96">
        <v>1</v>
      </c>
      <c r="F96">
        <v>1</v>
      </c>
      <c r="G96" t="s">
        <v>589</v>
      </c>
      <c r="H96" t="s">
        <v>630</v>
      </c>
      <c r="I96" t="s">
        <v>1714</v>
      </c>
      <c r="J96" t="s">
        <v>2017</v>
      </c>
      <c r="K96">
        <v>5029</v>
      </c>
      <c r="M96" t="str">
        <f>VLOOKUP(C96,Lcode_mapping!D:D,1,FALSE)</f>
        <v>NUT MESS</v>
      </c>
    </row>
    <row r="97" spans="1:13" x14ac:dyDescent="0.25">
      <c r="A97">
        <v>96</v>
      </c>
      <c r="B97">
        <v>1</v>
      </c>
      <c r="C97" t="s">
        <v>631</v>
      </c>
      <c r="D97">
        <v>40</v>
      </c>
      <c r="E97">
        <v>1</v>
      </c>
      <c r="F97">
        <v>1</v>
      </c>
      <c r="G97" t="s">
        <v>589</v>
      </c>
      <c r="H97" t="s">
        <v>632</v>
      </c>
      <c r="I97" t="s">
        <v>1714</v>
      </c>
      <c r="J97" t="s">
        <v>2017</v>
      </c>
      <c r="K97">
        <v>5029</v>
      </c>
      <c r="M97" t="str">
        <f>VLOOKUP(C97,Lcode_mapping!D:D,1,FALSE)</f>
        <v>NUT CFLG</v>
      </c>
    </row>
    <row r="98" spans="1:13" x14ac:dyDescent="0.25">
      <c r="A98">
        <v>97</v>
      </c>
      <c r="B98">
        <v>1</v>
      </c>
      <c r="C98" t="s">
        <v>633</v>
      </c>
      <c r="D98">
        <v>40</v>
      </c>
      <c r="E98">
        <v>1</v>
      </c>
      <c r="F98">
        <v>1</v>
      </c>
      <c r="G98" t="s">
        <v>589</v>
      </c>
      <c r="H98" t="s">
        <v>634</v>
      </c>
      <c r="I98" t="s">
        <v>1714</v>
      </c>
      <c r="J98" t="s">
        <v>2017</v>
      </c>
      <c r="K98">
        <v>5029</v>
      </c>
      <c r="M98" t="str">
        <f>VLOOKUP(C98,Lcode_mapping!D:D,1,FALSE)</f>
        <v>OCE MESS</v>
      </c>
    </row>
    <row r="99" spans="1:13" x14ac:dyDescent="0.25">
      <c r="A99">
        <v>98</v>
      </c>
      <c r="B99">
        <v>1</v>
      </c>
      <c r="C99" t="s">
        <v>635</v>
      </c>
      <c r="D99">
        <v>40</v>
      </c>
      <c r="E99">
        <v>1</v>
      </c>
      <c r="F99">
        <v>1</v>
      </c>
      <c r="G99" t="s">
        <v>589</v>
      </c>
      <c r="H99" t="s">
        <v>636</v>
      </c>
      <c r="I99" t="s">
        <v>1714</v>
      </c>
      <c r="J99" t="s">
        <v>2017</v>
      </c>
      <c r="K99">
        <v>5029</v>
      </c>
      <c r="M99" t="str">
        <f>VLOOKUP(C99,Lcode_mapping!D:D,1,FALSE)</f>
        <v>OCE CFLG</v>
      </c>
    </row>
    <row r="100" spans="1:13" x14ac:dyDescent="0.25">
      <c r="A100">
        <v>99</v>
      </c>
      <c r="B100">
        <v>1</v>
      </c>
      <c r="C100" t="s">
        <v>637</v>
      </c>
      <c r="D100">
        <v>40</v>
      </c>
      <c r="E100">
        <v>1</v>
      </c>
      <c r="F100">
        <v>1</v>
      </c>
      <c r="G100" t="s">
        <v>589</v>
      </c>
      <c r="H100" t="s">
        <v>638</v>
      </c>
      <c r="I100" t="s">
        <v>1714</v>
      </c>
      <c r="J100" t="s">
        <v>2017</v>
      </c>
      <c r="K100">
        <v>5029</v>
      </c>
      <c r="M100" t="str">
        <f>VLOOKUP(C100,Lcode_mapping!D:D,1,FALSE)</f>
        <v>PRE MESS</v>
      </c>
    </row>
    <row r="101" spans="1:13" x14ac:dyDescent="0.25">
      <c r="A101">
        <v>100</v>
      </c>
      <c r="B101">
        <v>1</v>
      </c>
      <c r="C101" t="s">
        <v>639</v>
      </c>
      <c r="D101">
        <v>40</v>
      </c>
      <c r="E101">
        <v>1</v>
      </c>
      <c r="F101">
        <v>1</v>
      </c>
      <c r="G101" t="s">
        <v>589</v>
      </c>
      <c r="H101" t="s">
        <v>640</v>
      </c>
      <c r="I101" t="s">
        <v>1714</v>
      </c>
      <c r="J101" t="s">
        <v>2017</v>
      </c>
      <c r="K101">
        <v>5029</v>
      </c>
      <c r="M101" t="str">
        <f>VLOOKUP(C101,Lcode_mapping!D:D,1,FALSE)</f>
        <v>PRE CFLG</v>
      </c>
    </row>
    <row r="102" spans="1:13" x14ac:dyDescent="0.25">
      <c r="A102">
        <v>101</v>
      </c>
      <c r="B102">
        <v>1</v>
      </c>
      <c r="C102" t="s">
        <v>641</v>
      </c>
      <c r="D102">
        <v>40</v>
      </c>
      <c r="E102">
        <v>1</v>
      </c>
      <c r="F102">
        <v>1</v>
      </c>
      <c r="G102" t="s">
        <v>589</v>
      </c>
      <c r="H102" t="s">
        <v>642</v>
      </c>
      <c r="I102" t="s">
        <v>1714</v>
      </c>
      <c r="J102" t="s">
        <v>2017</v>
      </c>
      <c r="K102">
        <v>5029</v>
      </c>
      <c r="M102" t="str">
        <f>VLOOKUP(C102,Lcode_mapping!D:D,1,FALSE)</f>
        <v>SIT MESS</v>
      </c>
    </row>
    <row r="103" spans="1:13" x14ac:dyDescent="0.25">
      <c r="A103">
        <v>102</v>
      </c>
      <c r="B103">
        <v>1</v>
      </c>
      <c r="C103" t="s">
        <v>647</v>
      </c>
      <c r="D103">
        <v>40</v>
      </c>
      <c r="E103">
        <v>1</v>
      </c>
      <c r="F103">
        <v>1</v>
      </c>
      <c r="G103" t="s">
        <v>589</v>
      </c>
      <c r="H103" t="s">
        <v>648</v>
      </c>
      <c r="I103" t="s">
        <v>1714</v>
      </c>
      <c r="J103" t="s">
        <v>2017</v>
      </c>
      <c r="K103">
        <v>5029</v>
      </c>
      <c r="M103" t="str">
        <f>VLOOKUP(C103,Lcode_mapping!D:D,1,FALSE)</f>
        <v>STR MESS</v>
      </c>
    </row>
    <row r="104" spans="1:13" x14ac:dyDescent="0.25">
      <c r="A104">
        <v>103</v>
      </c>
      <c r="B104">
        <v>1</v>
      </c>
      <c r="C104" t="s">
        <v>653</v>
      </c>
      <c r="D104">
        <v>40</v>
      </c>
      <c r="E104">
        <v>1</v>
      </c>
      <c r="F104">
        <v>1</v>
      </c>
      <c r="G104" t="s">
        <v>589</v>
      </c>
      <c r="H104" t="s">
        <v>654</v>
      </c>
      <c r="I104" t="s">
        <v>1714</v>
      </c>
      <c r="J104" t="s">
        <v>2017</v>
      </c>
      <c r="K104">
        <v>5029</v>
      </c>
      <c r="M104" t="str">
        <f>VLOOKUP(C104,Lcode_mapping!D:D,1,FALSE)</f>
        <v>UT1 MESS</v>
      </c>
    </row>
    <row r="105" spans="1:13" x14ac:dyDescent="0.25">
      <c r="A105">
        <v>104</v>
      </c>
      <c r="B105">
        <v>1</v>
      </c>
      <c r="C105" t="s">
        <v>655</v>
      </c>
      <c r="D105">
        <v>40</v>
      </c>
      <c r="E105">
        <v>1</v>
      </c>
      <c r="F105">
        <v>1</v>
      </c>
      <c r="G105" t="s">
        <v>589</v>
      </c>
      <c r="H105" t="s">
        <v>656</v>
      </c>
      <c r="I105" t="s">
        <v>1714</v>
      </c>
      <c r="J105" t="s">
        <v>2017</v>
      </c>
      <c r="K105">
        <v>5029</v>
      </c>
      <c r="M105" t="str">
        <f>VLOOKUP(C105,Lcode_mapping!D:D,1,FALSE)</f>
        <v>UT1 CFLG</v>
      </c>
    </row>
    <row r="106" spans="1:13" x14ac:dyDescent="0.25">
      <c r="A106">
        <v>105</v>
      </c>
      <c r="B106">
        <v>1</v>
      </c>
      <c r="C106" t="s">
        <v>657</v>
      </c>
      <c r="D106">
        <v>30</v>
      </c>
      <c r="E106">
        <v>1</v>
      </c>
      <c r="F106">
        <v>1</v>
      </c>
      <c r="G106" t="s">
        <v>589</v>
      </c>
      <c r="H106" t="s">
        <v>658</v>
      </c>
      <c r="I106" t="s">
        <v>1714</v>
      </c>
      <c r="J106" t="s">
        <v>2017</v>
      </c>
      <c r="K106">
        <v>5029</v>
      </c>
      <c r="M106" t="str">
        <f>VLOOKUP(C106,Lcode_mapping!D:D,1,FALSE)</f>
        <v>UT1INTRP</v>
      </c>
    </row>
    <row r="107" spans="1:13" x14ac:dyDescent="0.25">
      <c r="A107">
        <v>106</v>
      </c>
      <c r="B107">
        <v>1</v>
      </c>
      <c r="C107" t="s">
        <v>663</v>
      </c>
      <c r="D107">
        <v>40</v>
      </c>
      <c r="E107">
        <v>1</v>
      </c>
      <c r="F107">
        <v>1</v>
      </c>
      <c r="G107" t="s">
        <v>589</v>
      </c>
      <c r="H107" t="s">
        <v>664</v>
      </c>
      <c r="I107" t="s">
        <v>1714</v>
      </c>
      <c r="J107" t="s">
        <v>2017</v>
      </c>
      <c r="K107">
        <v>5029</v>
      </c>
      <c r="M107" t="str">
        <f>VLOOKUP(C107,Lcode_mapping!D:D,1,FALSE)</f>
        <v>WOB MESS</v>
      </c>
    </row>
    <row r="108" spans="1:13" x14ac:dyDescent="0.25">
      <c r="A108">
        <v>107</v>
      </c>
      <c r="B108">
        <v>1</v>
      </c>
      <c r="C108" t="s">
        <v>665</v>
      </c>
      <c r="D108">
        <v>30</v>
      </c>
      <c r="E108">
        <v>1</v>
      </c>
      <c r="F108">
        <v>1</v>
      </c>
      <c r="G108" t="s">
        <v>589</v>
      </c>
      <c r="H108" t="s">
        <v>666</v>
      </c>
      <c r="I108" t="s">
        <v>1714</v>
      </c>
      <c r="J108" t="s">
        <v>2017</v>
      </c>
      <c r="K108">
        <v>5029</v>
      </c>
      <c r="M108" t="str">
        <f>VLOOKUP(C108,Lcode_mapping!D:D,1,FALSE)</f>
        <v>WOBINTRP</v>
      </c>
    </row>
    <row r="109" spans="1:13" x14ac:dyDescent="0.25">
      <c r="A109">
        <v>108</v>
      </c>
      <c r="B109">
        <v>1</v>
      </c>
      <c r="C109" t="s">
        <v>667</v>
      </c>
      <c r="D109">
        <v>40</v>
      </c>
      <c r="E109">
        <v>1</v>
      </c>
      <c r="F109">
        <v>1</v>
      </c>
      <c r="G109" t="s">
        <v>589</v>
      </c>
      <c r="H109" t="s">
        <v>668</v>
      </c>
      <c r="I109" t="s">
        <v>1714</v>
      </c>
      <c r="J109" t="s">
        <v>2017</v>
      </c>
      <c r="K109">
        <v>5029</v>
      </c>
      <c r="M109" t="str">
        <f>VLOOKUP(C109,Lcode_mapping!D:D,1,FALSE)</f>
        <v>WOB CFLG</v>
      </c>
    </row>
    <row r="110" spans="1:13" x14ac:dyDescent="0.25">
      <c r="A110">
        <v>109</v>
      </c>
      <c r="B110">
        <v>1</v>
      </c>
      <c r="C110" t="s">
        <v>671</v>
      </c>
      <c r="D110">
        <v>40</v>
      </c>
      <c r="E110">
        <v>1</v>
      </c>
      <c r="F110">
        <v>1</v>
      </c>
      <c r="G110" t="s">
        <v>589</v>
      </c>
      <c r="H110" t="s">
        <v>672</v>
      </c>
      <c r="I110" t="s">
        <v>1714</v>
      </c>
      <c r="J110" t="s">
        <v>2017</v>
      </c>
      <c r="K110">
        <v>5029</v>
      </c>
      <c r="M110" t="str">
        <f>VLOOKUP(C110,Lcode_mapping!D:D,1,FALSE)</f>
        <v>ATI MESS</v>
      </c>
    </row>
    <row r="111" spans="1:13" x14ac:dyDescent="0.25">
      <c r="A111">
        <v>110</v>
      </c>
      <c r="B111">
        <v>1</v>
      </c>
      <c r="C111" t="s">
        <v>673</v>
      </c>
      <c r="D111">
        <v>40</v>
      </c>
      <c r="E111">
        <v>1</v>
      </c>
      <c r="F111">
        <v>1</v>
      </c>
      <c r="G111" t="s">
        <v>589</v>
      </c>
      <c r="H111" t="s">
        <v>674</v>
      </c>
      <c r="I111" t="s">
        <v>1714</v>
      </c>
      <c r="J111" t="s">
        <v>2017</v>
      </c>
      <c r="K111">
        <v>5029</v>
      </c>
      <c r="M111" t="str">
        <f>VLOOKUP(C111,Lcode_mapping!D:D,1,FALSE)</f>
        <v>ATI CFLG</v>
      </c>
    </row>
    <row r="112" spans="1:13" x14ac:dyDescent="0.25">
      <c r="A112">
        <v>111</v>
      </c>
      <c r="B112">
        <v>1</v>
      </c>
      <c r="C112" t="s">
        <v>675</v>
      </c>
      <c r="D112">
        <v>40</v>
      </c>
      <c r="E112">
        <v>1</v>
      </c>
      <c r="F112">
        <v>1</v>
      </c>
      <c r="G112" t="s">
        <v>589</v>
      </c>
      <c r="H112" t="s">
        <v>676</v>
      </c>
      <c r="I112" t="s">
        <v>1714</v>
      </c>
      <c r="J112" t="s">
        <v>2017</v>
      </c>
      <c r="K112">
        <v>5029</v>
      </c>
      <c r="M112" t="str">
        <f>VLOOKUP(C112,Lcode_mapping!D:D,1,FALSE)</f>
        <v>CTI MESS</v>
      </c>
    </row>
    <row r="113" spans="1:13" x14ac:dyDescent="0.25">
      <c r="A113">
        <v>112</v>
      </c>
      <c r="B113">
        <v>1</v>
      </c>
      <c r="C113" t="s">
        <v>677</v>
      </c>
      <c r="D113">
        <v>40</v>
      </c>
      <c r="E113">
        <v>1</v>
      </c>
      <c r="F113">
        <v>1</v>
      </c>
      <c r="G113" t="s">
        <v>589</v>
      </c>
      <c r="H113" t="s">
        <v>678</v>
      </c>
      <c r="I113" t="s">
        <v>1714</v>
      </c>
      <c r="J113" t="s">
        <v>2017</v>
      </c>
      <c r="K113">
        <v>5029</v>
      </c>
      <c r="M113" t="str">
        <f>VLOOKUP(C113,Lcode_mapping!D:D,1,FALSE)</f>
        <v>CTI CFLG</v>
      </c>
    </row>
    <row r="114" spans="1:13" x14ac:dyDescent="0.25">
      <c r="A114">
        <v>113</v>
      </c>
      <c r="B114">
        <v>1</v>
      </c>
      <c r="C114" t="s">
        <v>679</v>
      </c>
      <c r="D114">
        <v>40</v>
      </c>
      <c r="E114">
        <v>1</v>
      </c>
      <c r="F114">
        <v>1</v>
      </c>
      <c r="G114" t="s">
        <v>589</v>
      </c>
      <c r="H114" t="s">
        <v>680</v>
      </c>
      <c r="I114" t="s">
        <v>1714</v>
      </c>
      <c r="J114" t="s">
        <v>2017</v>
      </c>
      <c r="K114">
        <v>5029</v>
      </c>
      <c r="M114" t="str">
        <f>VLOOKUP(C114,Lcode_mapping!D:D,1,FALSE)</f>
        <v>PEP MESS</v>
      </c>
    </row>
    <row r="115" spans="1:13" x14ac:dyDescent="0.25">
      <c r="A115">
        <v>114</v>
      </c>
      <c r="B115">
        <v>1</v>
      </c>
      <c r="C115" t="s">
        <v>681</v>
      </c>
      <c r="D115">
        <v>40</v>
      </c>
      <c r="E115">
        <v>1</v>
      </c>
      <c r="F115">
        <v>1</v>
      </c>
      <c r="G115" t="s">
        <v>589</v>
      </c>
      <c r="H115" t="s">
        <v>682</v>
      </c>
      <c r="I115" t="s">
        <v>1714</v>
      </c>
      <c r="J115" t="s">
        <v>2017</v>
      </c>
      <c r="K115">
        <v>5029</v>
      </c>
      <c r="M115" t="str">
        <f>VLOOKUP(C115,Lcode_mapping!D:D,1,FALSE)</f>
        <v>THE MESS</v>
      </c>
    </row>
    <row r="116" spans="1:13" x14ac:dyDescent="0.25">
      <c r="A116">
        <v>115</v>
      </c>
      <c r="B116">
        <v>1</v>
      </c>
      <c r="C116" t="s">
        <v>683</v>
      </c>
      <c r="D116">
        <v>30</v>
      </c>
      <c r="E116">
        <v>1</v>
      </c>
      <c r="F116">
        <v>1</v>
      </c>
      <c r="G116" t="s">
        <v>589</v>
      </c>
      <c r="H116" t="s">
        <v>684</v>
      </c>
      <c r="I116" t="s">
        <v>1714</v>
      </c>
      <c r="J116" t="s">
        <v>2017</v>
      </c>
      <c r="K116">
        <v>5029</v>
      </c>
      <c r="M116" t="str">
        <f>VLOOKUP(C116,Lcode_mapping!D:D,1,FALSE)</f>
        <v>REL CFLG</v>
      </c>
    </row>
    <row r="117" spans="1:13" x14ac:dyDescent="0.25">
      <c r="A117">
        <v>116</v>
      </c>
      <c r="B117">
        <v>1</v>
      </c>
      <c r="C117" t="s">
        <v>685</v>
      </c>
      <c r="D117">
        <v>2</v>
      </c>
      <c r="E117">
        <v>31</v>
      </c>
      <c r="F117">
        <v>1</v>
      </c>
      <c r="G117" t="s">
        <v>589</v>
      </c>
      <c r="H117" t="s">
        <v>686</v>
      </c>
      <c r="I117" t="s">
        <v>1714</v>
      </c>
      <c r="J117" t="s">
        <v>2017</v>
      </c>
      <c r="K117">
        <v>5029</v>
      </c>
      <c r="M117" t="str">
        <f>VLOOKUP(C117,Lcode_mapping!D:D,1,FALSE)</f>
        <v>CALCFLGN</v>
      </c>
    </row>
    <row r="118" spans="1:13" x14ac:dyDescent="0.25">
      <c r="A118">
        <v>117</v>
      </c>
      <c r="B118">
        <v>1</v>
      </c>
      <c r="C118" t="s">
        <v>687</v>
      </c>
      <c r="D118">
        <v>40</v>
      </c>
      <c r="E118">
        <v>1</v>
      </c>
      <c r="F118">
        <v>1</v>
      </c>
      <c r="G118" t="s">
        <v>589</v>
      </c>
      <c r="H118" t="s">
        <v>688</v>
      </c>
      <c r="I118" t="s">
        <v>1714</v>
      </c>
      <c r="J118" t="s">
        <v>2017</v>
      </c>
      <c r="K118">
        <v>5029</v>
      </c>
      <c r="M118" t="str">
        <f>VLOOKUP(C118,Lcode_mapping!D:D,1,FALSE)</f>
        <v>PLX MESS</v>
      </c>
    </row>
    <row r="119" spans="1:13" x14ac:dyDescent="0.25">
      <c r="A119">
        <v>118</v>
      </c>
      <c r="B119">
        <v>1</v>
      </c>
      <c r="C119" t="s">
        <v>689</v>
      </c>
      <c r="D119">
        <v>40</v>
      </c>
      <c r="E119">
        <v>1</v>
      </c>
      <c r="F119">
        <v>1</v>
      </c>
      <c r="G119" t="s">
        <v>589</v>
      </c>
      <c r="H119" t="s">
        <v>650</v>
      </c>
      <c r="I119" t="s">
        <v>1714</v>
      </c>
      <c r="J119" t="s">
        <v>2017</v>
      </c>
      <c r="K119">
        <v>5029</v>
      </c>
      <c r="M119" t="str">
        <f>VLOOKUP(C119,Lcode_mapping!D:D,1,FALSE)</f>
        <v>PLX CFLG</v>
      </c>
    </row>
    <row r="120" spans="1:13" x14ac:dyDescent="0.25">
      <c r="A120">
        <v>119</v>
      </c>
      <c r="B120">
        <v>1</v>
      </c>
      <c r="C120" t="s">
        <v>619</v>
      </c>
      <c r="D120">
        <v>40</v>
      </c>
      <c r="E120">
        <v>1</v>
      </c>
      <c r="F120">
        <v>1</v>
      </c>
      <c r="G120" t="s">
        <v>589</v>
      </c>
      <c r="H120" t="s">
        <v>620</v>
      </c>
      <c r="I120" t="s">
        <v>1714</v>
      </c>
      <c r="J120" t="s">
        <v>2017</v>
      </c>
      <c r="K120">
        <v>5029</v>
      </c>
      <c r="M120" t="str">
        <f>VLOOKUP(C120,Lcode_mapping!D:D,1,FALSE)</f>
        <v>PAN MESS</v>
      </c>
    </row>
    <row r="121" spans="1:13" x14ac:dyDescent="0.25">
      <c r="A121">
        <v>120</v>
      </c>
      <c r="B121">
        <v>1</v>
      </c>
      <c r="C121" t="s">
        <v>649</v>
      </c>
      <c r="D121">
        <v>40</v>
      </c>
      <c r="E121">
        <v>1</v>
      </c>
      <c r="F121">
        <v>1</v>
      </c>
      <c r="G121" t="s">
        <v>589</v>
      </c>
      <c r="H121" t="s">
        <v>650</v>
      </c>
      <c r="I121" t="s">
        <v>1714</v>
      </c>
      <c r="J121" t="s">
        <v>2017</v>
      </c>
      <c r="K121">
        <v>5029</v>
      </c>
      <c r="M121" t="str">
        <f>VLOOKUP(C121,Lcode_mapping!D:D,1,FALSE)</f>
        <v>STR CFLG</v>
      </c>
    </row>
    <row r="122" spans="1:13" x14ac:dyDescent="0.25">
      <c r="A122">
        <v>121</v>
      </c>
      <c r="B122">
        <v>1</v>
      </c>
      <c r="C122" t="s">
        <v>661</v>
      </c>
      <c r="D122">
        <v>4</v>
      </c>
      <c r="E122">
        <v>1</v>
      </c>
      <c r="F122">
        <v>1</v>
      </c>
      <c r="G122" t="s">
        <v>589</v>
      </c>
      <c r="H122" t="s">
        <v>662</v>
      </c>
      <c r="I122" t="s">
        <v>1714</v>
      </c>
      <c r="J122" t="s">
        <v>2017</v>
      </c>
      <c r="K122">
        <v>5029</v>
      </c>
      <c r="M122" t="str">
        <f>VLOOKUP(C122,Lcode_mapping!D:D,1,FALSE)</f>
        <v>EOPSCALE</v>
      </c>
    </row>
    <row r="123" spans="1:13" x14ac:dyDescent="0.25">
      <c r="A123">
        <v>122</v>
      </c>
      <c r="B123">
        <v>1</v>
      </c>
      <c r="C123" t="s">
        <v>698</v>
      </c>
      <c r="D123">
        <v>8</v>
      </c>
      <c r="E123">
        <v>1</v>
      </c>
      <c r="F123">
        <v>1</v>
      </c>
      <c r="G123" t="s">
        <v>589</v>
      </c>
      <c r="H123" t="s">
        <v>699</v>
      </c>
      <c r="I123" t="s">
        <v>1714</v>
      </c>
      <c r="J123" t="s">
        <v>2017</v>
      </c>
      <c r="K123">
        <v>2673</v>
      </c>
      <c r="M123" t="str">
        <f>VLOOKUP(C123,Lcode_mapping!D:D,1,FALSE)</f>
        <v>BLDEPCKS</v>
      </c>
    </row>
    <row r="124" spans="1:13" x14ac:dyDescent="0.25">
      <c r="A124">
        <v>123</v>
      </c>
      <c r="B124">
        <v>1</v>
      </c>
      <c r="C124" t="s">
        <v>710</v>
      </c>
      <c r="D124">
        <v>4</v>
      </c>
      <c r="E124">
        <v>1</v>
      </c>
      <c r="F124">
        <v>1</v>
      </c>
      <c r="G124" t="s">
        <v>589</v>
      </c>
      <c r="H124" t="s">
        <v>711</v>
      </c>
      <c r="I124" t="s">
        <v>1714</v>
      </c>
      <c r="J124" t="s">
        <v>2017</v>
      </c>
      <c r="K124">
        <v>2391</v>
      </c>
      <c r="M124" t="str">
        <f>VLOOKUP(C124,Lcode_mapping!D:D,1,FALSE)</f>
        <v>CLK_SITS</v>
      </c>
    </row>
    <row r="125" spans="1:13" x14ac:dyDescent="0.25">
      <c r="A125">
        <v>124</v>
      </c>
      <c r="B125">
        <v>1</v>
      </c>
      <c r="C125" t="s">
        <v>712</v>
      </c>
      <c r="D125">
        <v>4</v>
      </c>
      <c r="E125">
        <v>2</v>
      </c>
      <c r="F125">
        <v>1</v>
      </c>
      <c r="G125" t="s">
        <v>589</v>
      </c>
      <c r="H125" t="s">
        <v>713</v>
      </c>
      <c r="I125" t="s">
        <v>1714</v>
      </c>
      <c r="J125" t="s">
        <v>2017</v>
      </c>
      <c r="K125">
        <v>469</v>
      </c>
      <c r="M125" t="str">
        <f>VLOOKUP(C125,Lcode_mapping!D:D,1,FALSE)</f>
        <v>BRK_SNAM</v>
      </c>
    </row>
    <row r="126" spans="1:13" x14ac:dyDescent="0.25">
      <c r="A126">
        <v>125</v>
      </c>
      <c r="B126">
        <v>1</v>
      </c>
      <c r="C126" t="s">
        <v>714</v>
      </c>
      <c r="D126">
        <v>4</v>
      </c>
      <c r="E126">
        <v>4</v>
      </c>
      <c r="F126">
        <v>1</v>
      </c>
      <c r="G126" t="s">
        <v>589</v>
      </c>
      <c r="H126" t="s">
        <v>715</v>
      </c>
      <c r="I126" t="s">
        <v>1714</v>
      </c>
      <c r="J126" t="s">
        <v>2017</v>
      </c>
      <c r="K126">
        <v>2393</v>
      </c>
      <c r="M126" t="str">
        <f>VLOOKUP(C126,Lcode_mapping!D:D,1,FALSE)</f>
        <v>STAT_ACM</v>
      </c>
    </row>
    <row r="127" spans="1:13" x14ac:dyDescent="0.25">
      <c r="A127">
        <v>126</v>
      </c>
      <c r="B127">
        <v>1</v>
      </c>
      <c r="C127" t="s">
        <v>718</v>
      </c>
      <c r="D127">
        <v>4</v>
      </c>
      <c r="E127">
        <v>6</v>
      </c>
      <c r="F127">
        <v>1</v>
      </c>
      <c r="G127" t="s">
        <v>589</v>
      </c>
      <c r="H127" t="s">
        <v>719</v>
      </c>
      <c r="I127" t="s">
        <v>1714</v>
      </c>
      <c r="J127" t="s">
        <v>2017</v>
      </c>
      <c r="K127">
        <v>5028</v>
      </c>
      <c r="M127" t="str">
        <f>VLOOKUP(C127,Lcode_mapping!D:D,1,FALSE)</f>
        <v>CAL LIST</v>
      </c>
    </row>
    <row r="128" spans="1:13" x14ac:dyDescent="0.25">
      <c r="A128">
        <v>127</v>
      </c>
      <c r="B128">
        <v>1</v>
      </c>
      <c r="C128" t="s">
        <v>720</v>
      </c>
      <c r="D128">
        <v>4</v>
      </c>
      <c r="E128">
        <v>8</v>
      </c>
      <c r="F128">
        <v>1</v>
      </c>
      <c r="G128" t="s">
        <v>589</v>
      </c>
      <c r="H128" t="s">
        <v>721</v>
      </c>
      <c r="I128" t="s">
        <v>1714</v>
      </c>
      <c r="J128" t="s">
        <v>2017</v>
      </c>
      <c r="K128">
        <v>4659</v>
      </c>
      <c r="M128" t="str">
        <f>VLOOKUP(C128,Lcode_mapping!D:D,1,FALSE)</f>
        <v>FCL LIST</v>
      </c>
    </row>
    <row r="129" spans="1:13" x14ac:dyDescent="0.25">
      <c r="A129">
        <v>128</v>
      </c>
      <c r="B129">
        <v>1</v>
      </c>
      <c r="C129" t="s">
        <v>722</v>
      </c>
      <c r="D129">
        <v>4</v>
      </c>
      <c r="E129">
        <v>15</v>
      </c>
      <c r="F129">
        <v>1</v>
      </c>
      <c r="G129" t="s">
        <v>589</v>
      </c>
      <c r="H129" t="s">
        <v>723</v>
      </c>
      <c r="I129" t="s">
        <v>1714</v>
      </c>
      <c r="J129" t="s">
        <v>2017</v>
      </c>
      <c r="K129">
        <v>2370</v>
      </c>
      <c r="M129" t="str">
        <f>VLOOKUP(C129,Lcode_mapping!D:D,1,FALSE)</f>
        <v>MCALNAMS</v>
      </c>
    </row>
    <row r="130" spans="1:13" x14ac:dyDescent="0.25">
      <c r="A130">
        <v>129</v>
      </c>
      <c r="B130">
        <v>1</v>
      </c>
      <c r="C130" t="s">
        <v>724</v>
      </c>
      <c r="D130">
        <v>4</v>
      </c>
      <c r="E130">
        <v>12</v>
      </c>
      <c r="F130">
        <v>1</v>
      </c>
      <c r="G130" t="s">
        <v>589</v>
      </c>
      <c r="H130" t="s">
        <v>725</v>
      </c>
      <c r="I130" t="s">
        <v>1714</v>
      </c>
      <c r="J130" t="s">
        <v>2017</v>
      </c>
      <c r="K130">
        <v>5027</v>
      </c>
      <c r="M130" t="str">
        <f>VLOOKUP(C130,Lcode_mapping!D:D,1,FALSE)</f>
        <v>OBCLLIST</v>
      </c>
    </row>
    <row r="131" spans="1:13" x14ac:dyDescent="0.25">
      <c r="A131">
        <v>130</v>
      </c>
      <c r="B131">
        <v>1</v>
      </c>
      <c r="C131" t="s">
        <v>730</v>
      </c>
      <c r="D131">
        <v>1</v>
      </c>
      <c r="E131">
        <v>1</v>
      </c>
      <c r="F131">
        <v>1</v>
      </c>
      <c r="G131" t="s">
        <v>731</v>
      </c>
      <c r="H131" t="s">
        <v>732</v>
      </c>
      <c r="I131" t="s">
        <v>1714</v>
      </c>
      <c r="J131" t="s">
        <v>2017</v>
      </c>
      <c r="K131">
        <v>2598</v>
      </c>
      <c r="M131" t="str">
        <f>VLOOKUP(C131,Lcode_mapping!D:D,1,FALSE)</f>
        <v>NUM4 OBS</v>
      </c>
    </row>
    <row r="132" spans="1:13" x14ac:dyDescent="0.25">
      <c r="A132">
        <v>131</v>
      </c>
      <c r="B132">
        <v>1</v>
      </c>
      <c r="C132" t="s">
        <v>521</v>
      </c>
      <c r="D132">
        <v>4</v>
      </c>
      <c r="E132">
        <v>1</v>
      </c>
      <c r="F132">
        <v>1</v>
      </c>
      <c r="G132" t="s">
        <v>447</v>
      </c>
      <c r="H132" t="s">
        <v>522</v>
      </c>
      <c r="I132" t="s">
        <v>1717</v>
      </c>
      <c r="J132" t="s">
        <v>1718</v>
      </c>
      <c r="K132">
        <v>4136</v>
      </c>
      <c r="M132" t="str">
        <f>VLOOKUP(C132,Lcode_mapping!D:D,1,FALSE)</f>
        <v>SIT ELEV</v>
      </c>
    </row>
    <row r="133" spans="1:13" x14ac:dyDescent="0.25">
      <c r="A133">
        <v>132</v>
      </c>
      <c r="B133">
        <v>1</v>
      </c>
      <c r="C133" t="s">
        <v>1212</v>
      </c>
      <c r="D133">
        <v>1</v>
      </c>
      <c r="E133">
        <v>16</v>
      </c>
      <c r="F133">
        <v>1</v>
      </c>
      <c r="G133" t="s">
        <v>544</v>
      </c>
      <c r="H133" t="s">
        <v>223</v>
      </c>
      <c r="I133" t="s">
        <v>1717</v>
      </c>
      <c r="J133" t="s">
        <v>1719</v>
      </c>
      <c r="K133">
        <v>1471</v>
      </c>
      <c r="M133" t="str">
        <f>VLOOKUP(C133,Lcode_mapping!D:D,1,FALSE)</f>
        <v>BASCLCKS</v>
      </c>
    </row>
    <row r="134" spans="1:13" x14ac:dyDescent="0.25">
      <c r="A134">
        <v>133</v>
      </c>
      <c r="B134">
        <v>1</v>
      </c>
      <c r="C134" t="s">
        <v>692</v>
      </c>
      <c r="D134">
        <v>10</v>
      </c>
      <c r="E134">
        <v>1</v>
      </c>
      <c r="F134">
        <v>1</v>
      </c>
      <c r="G134" t="s">
        <v>589</v>
      </c>
      <c r="H134" t="s">
        <v>693</v>
      </c>
      <c r="I134" t="s">
        <v>1717</v>
      </c>
      <c r="J134" t="s">
        <v>2017</v>
      </c>
      <c r="K134">
        <v>5000</v>
      </c>
      <c r="M134" t="str">
        <f>VLOOKUP(C134,Lcode_mapping!D:D,1,FALSE)</f>
        <v>CBL SIGN</v>
      </c>
    </row>
    <row r="135" spans="1:13" x14ac:dyDescent="0.25">
      <c r="A135">
        <v>134</v>
      </c>
      <c r="B135">
        <v>1</v>
      </c>
      <c r="C135" t="s">
        <v>690</v>
      </c>
      <c r="D135">
        <v>4</v>
      </c>
      <c r="E135">
        <v>10</v>
      </c>
      <c r="F135">
        <v>1</v>
      </c>
      <c r="G135" t="s">
        <v>589</v>
      </c>
      <c r="H135" t="s">
        <v>691</v>
      </c>
      <c r="I135" t="s">
        <v>1717</v>
      </c>
      <c r="J135" t="s">
        <v>2017</v>
      </c>
      <c r="K135">
        <v>5000</v>
      </c>
      <c r="M135" t="str">
        <f>VLOOKUP(C135,Lcode_mapping!D:D,1,FALSE)</f>
        <v>CBL STAT</v>
      </c>
    </row>
    <row r="136" spans="1:13" x14ac:dyDescent="0.25">
      <c r="A136">
        <v>135</v>
      </c>
      <c r="B136">
        <v>1</v>
      </c>
      <c r="C136" t="s">
        <v>15</v>
      </c>
      <c r="D136">
        <v>4</v>
      </c>
      <c r="E136">
        <v>2</v>
      </c>
      <c r="F136">
        <v>1</v>
      </c>
      <c r="G136" t="s">
        <v>589</v>
      </c>
      <c r="H136" t="s">
        <v>16</v>
      </c>
      <c r="I136" t="s">
        <v>1717</v>
      </c>
      <c r="J136" t="s">
        <v>1720</v>
      </c>
      <c r="K136">
        <v>432</v>
      </c>
      <c r="M136" t="str">
        <f>VLOOKUP(C136,Lcode_mapping!D:D,1,FALSE)</f>
        <v>BRK_SITE</v>
      </c>
    </row>
    <row r="137" spans="1:13" x14ac:dyDescent="0.25">
      <c r="A137">
        <v>136</v>
      </c>
      <c r="B137">
        <v>1</v>
      </c>
      <c r="C137" t="s">
        <v>211</v>
      </c>
      <c r="D137">
        <v>5</v>
      </c>
      <c r="E137">
        <v>1</v>
      </c>
      <c r="F137">
        <v>1</v>
      </c>
      <c r="G137" t="s">
        <v>589</v>
      </c>
      <c r="H137" t="s">
        <v>212</v>
      </c>
      <c r="I137" t="s">
        <v>2026</v>
      </c>
      <c r="J137" t="s">
        <v>1721</v>
      </c>
      <c r="K137">
        <v>57</v>
      </c>
      <c r="M137" t="str">
        <f>VLOOKUP(C137,Lcode_mapping!D:D,1,FALSE)</f>
        <v>SIT_KILL</v>
      </c>
    </row>
    <row r="138" spans="1:13" x14ac:dyDescent="0.25">
      <c r="A138">
        <v>137</v>
      </c>
      <c r="B138">
        <v>1</v>
      </c>
      <c r="C138" t="s">
        <v>17</v>
      </c>
      <c r="D138">
        <v>4</v>
      </c>
      <c r="E138">
        <v>5</v>
      </c>
      <c r="F138">
        <v>1</v>
      </c>
      <c r="G138" t="s">
        <v>589</v>
      </c>
      <c r="H138" t="s">
        <v>1779</v>
      </c>
      <c r="I138" t="s">
        <v>2027</v>
      </c>
      <c r="J138" t="s">
        <v>1722</v>
      </c>
      <c r="K138">
        <v>316</v>
      </c>
      <c r="M138" t="str">
        <f>VLOOKUP(C138,Lcode_mapping!D:D,1,FALSE)</f>
        <v>WVR STAT</v>
      </c>
    </row>
    <row r="139" spans="1:13" x14ac:dyDescent="0.25">
      <c r="A139">
        <v>138</v>
      </c>
      <c r="B139">
        <v>1</v>
      </c>
      <c r="C139" t="s">
        <v>278</v>
      </c>
      <c r="D139">
        <v>1</v>
      </c>
      <c r="E139">
        <v>1</v>
      </c>
      <c r="F139">
        <v>1</v>
      </c>
      <c r="G139" t="s">
        <v>447</v>
      </c>
      <c r="H139" t="s">
        <v>279</v>
      </c>
      <c r="I139" t="s">
        <v>2028</v>
      </c>
      <c r="J139" t="s">
        <v>2029</v>
      </c>
      <c r="K139">
        <v>12</v>
      </c>
      <c r="M139" t="str">
        <f>VLOOKUP(C139,Lcode_mapping!D:D,1,FALSE)</f>
        <v>WBEPOCH</v>
      </c>
    </row>
    <row r="140" spans="1:13" x14ac:dyDescent="0.25">
      <c r="A140">
        <v>139</v>
      </c>
      <c r="B140">
        <v>1</v>
      </c>
      <c r="C140" t="s">
        <v>1213</v>
      </c>
      <c r="D140">
        <v>6</v>
      </c>
      <c r="E140">
        <v>1</v>
      </c>
      <c r="F140">
        <v>1</v>
      </c>
      <c r="G140" t="s">
        <v>544</v>
      </c>
      <c r="H140" t="s">
        <v>713</v>
      </c>
      <c r="I140" t="s">
        <v>2028</v>
      </c>
      <c r="J140" t="s">
        <v>1720</v>
      </c>
      <c r="K140">
        <v>93</v>
      </c>
      <c r="M140" t="str">
        <f>VLOOKUP(C140,Lcode_mapping!D:D,1,FALSE)</f>
        <v>BRK_STAT</v>
      </c>
    </row>
    <row r="141" spans="1:13" x14ac:dyDescent="0.25">
      <c r="A141">
        <v>140</v>
      </c>
      <c r="B141">
        <v>1</v>
      </c>
      <c r="C141" t="s">
        <v>1217</v>
      </c>
      <c r="D141">
        <v>2</v>
      </c>
      <c r="E141">
        <v>10</v>
      </c>
      <c r="F141">
        <v>1</v>
      </c>
      <c r="G141" t="s">
        <v>447</v>
      </c>
      <c r="H141" t="s">
        <v>213</v>
      </c>
      <c r="I141" t="s">
        <v>2030</v>
      </c>
      <c r="J141" t="s">
        <v>1723</v>
      </c>
      <c r="K141">
        <v>387</v>
      </c>
      <c r="M141" t="str">
        <f>VLOOKUP(C141,Lcode_mapping!D:D,1,FALSE)</f>
        <v>ERPHS K</v>
      </c>
    </row>
    <row r="142" spans="1:13" x14ac:dyDescent="0.25">
      <c r="A142">
        <v>141</v>
      </c>
      <c r="B142">
        <v>1</v>
      </c>
      <c r="C142" t="s">
        <v>225</v>
      </c>
      <c r="D142">
        <v>1</v>
      </c>
      <c r="E142">
        <v>1</v>
      </c>
      <c r="F142">
        <v>1</v>
      </c>
      <c r="G142" t="s">
        <v>447</v>
      </c>
      <c r="H142" t="s">
        <v>145</v>
      </c>
      <c r="I142" t="s">
        <v>2031</v>
      </c>
      <c r="J142" t="s">
        <v>1716</v>
      </c>
      <c r="K142">
        <v>17</v>
      </c>
      <c r="M142" t="str">
        <f>VLOOKUP(C142,Lcode_mapping!D:D,1,FALSE)</f>
        <v>ATMEPO 5</v>
      </c>
    </row>
    <row r="143" spans="1:13" x14ac:dyDescent="0.25">
      <c r="A143">
        <v>142</v>
      </c>
      <c r="B143">
        <v>1</v>
      </c>
      <c r="C143" t="s">
        <v>232</v>
      </c>
      <c r="D143">
        <v>2</v>
      </c>
      <c r="E143">
        <v>1</v>
      </c>
      <c r="F143">
        <v>1</v>
      </c>
      <c r="G143" t="s">
        <v>447</v>
      </c>
      <c r="H143" t="s">
        <v>142</v>
      </c>
      <c r="I143" t="s">
        <v>2031</v>
      </c>
      <c r="J143" t="s">
        <v>2032</v>
      </c>
      <c r="K143">
        <v>17</v>
      </c>
      <c r="M143" t="str">
        <f>VLOOKUP(C143,Lcode_mapping!D:D,1,FALSE)</f>
        <v>CLCKEP 5</v>
      </c>
    </row>
    <row r="144" spans="1:13" x14ac:dyDescent="0.25">
      <c r="A144">
        <v>143</v>
      </c>
      <c r="B144">
        <v>1</v>
      </c>
      <c r="C144" t="s">
        <v>233</v>
      </c>
      <c r="D144">
        <v>1</v>
      </c>
      <c r="E144">
        <v>1</v>
      </c>
      <c r="F144">
        <v>1</v>
      </c>
      <c r="G144" t="s">
        <v>544</v>
      </c>
      <c r="H144" t="s">
        <v>149</v>
      </c>
      <c r="I144" t="s">
        <v>2031</v>
      </c>
      <c r="J144" t="s">
        <v>2032</v>
      </c>
      <c r="K144">
        <v>17</v>
      </c>
      <c r="M144" t="str">
        <f>VLOOKUP(C144,Lcode_mapping!D:D,1,FALSE)</f>
        <v>CLCKFL 5</v>
      </c>
    </row>
    <row r="145" spans="1:13" x14ac:dyDescent="0.25">
      <c r="A145">
        <v>144</v>
      </c>
      <c r="B145">
        <v>1</v>
      </c>
      <c r="C145" t="s">
        <v>227</v>
      </c>
      <c r="D145">
        <v>1</v>
      </c>
      <c r="E145">
        <v>1</v>
      </c>
      <c r="F145">
        <v>1</v>
      </c>
      <c r="G145" t="s">
        <v>544</v>
      </c>
      <c r="H145" t="s">
        <v>152</v>
      </c>
      <c r="I145" t="s">
        <v>2031</v>
      </c>
      <c r="J145" t="s">
        <v>1716</v>
      </c>
      <c r="K145">
        <v>9</v>
      </c>
      <c r="M145" t="str">
        <f>VLOOKUP(C145,Lcode_mapping!D:D,1,FALSE)</f>
        <v>ATM FL 5</v>
      </c>
    </row>
    <row r="146" spans="1:13" x14ac:dyDescent="0.25">
      <c r="A146">
        <v>145</v>
      </c>
      <c r="B146">
        <v>1</v>
      </c>
      <c r="C146" t="s">
        <v>228</v>
      </c>
      <c r="D146">
        <v>2</v>
      </c>
      <c r="E146">
        <v>2</v>
      </c>
      <c r="F146">
        <v>1</v>
      </c>
      <c r="G146" t="s">
        <v>447</v>
      </c>
      <c r="H146" t="s">
        <v>142</v>
      </c>
      <c r="I146" t="s">
        <v>1724</v>
      </c>
      <c r="J146" t="s">
        <v>1725</v>
      </c>
      <c r="K146">
        <v>33</v>
      </c>
      <c r="M146" t="str">
        <f>VLOOKUP(C146,Lcode_mapping!D:D,1,FALSE)</f>
        <v>CLCKEP 4</v>
      </c>
    </row>
    <row r="147" spans="1:13" x14ac:dyDescent="0.25">
      <c r="A147">
        <v>146</v>
      </c>
      <c r="B147">
        <v>1</v>
      </c>
      <c r="C147" t="s">
        <v>224</v>
      </c>
      <c r="D147">
        <v>1</v>
      </c>
      <c r="E147">
        <v>1</v>
      </c>
      <c r="F147">
        <v>1</v>
      </c>
      <c r="G147" t="s">
        <v>447</v>
      </c>
      <c r="H147" t="s">
        <v>145</v>
      </c>
      <c r="I147" t="s">
        <v>1724</v>
      </c>
      <c r="J147" t="s">
        <v>1716</v>
      </c>
      <c r="K147">
        <v>33</v>
      </c>
      <c r="M147" t="str">
        <f>VLOOKUP(C147,Lcode_mapping!D:D,1,FALSE)</f>
        <v>ATMEPO 4</v>
      </c>
    </row>
    <row r="148" spans="1:13" x14ac:dyDescent="0.25">
      <c r="A148">
        <v>147</v>
      </c>
      <c r="B148">
        <v>1</v>
      </c>
      <c r="C148" t="s">
        <v>229</v>
      </c>
      <c r="D148">
        <v>2</v>
      </c>
      <c r="E148">
        <v>1</v>
      </c>
      <c r="F148">
        <v>1</v>
      </c>
      <c r="G148" t="s">
        <v>544</v>
      </c>
      <c r="H148" t="s">
        <v>149</v>
      </c>
      <c r="I148" t="s">
        <v>1724</v>
      </c>
      <c r="J148" t="s">
        <v>1725</v>
      </c>
      <c r="K148">
        <v>33</v>
      </c>
      <c r="M148" t="str">
        <f>VLOOKUP(C148,Lcode_mapping!D:D,1,FALSE)</f>
        <v>CLCKFL 4</v>
      </c>
    </row>
    <row r="149" spans="1:13" x14ac:dyDescent="0.25">
      <c r="A149">
        <v>148</v>
      </c>
      <c r="B149">
        <v>1</v>
      </c>
      <c r="C149" t="s">
        <v>144</v>
      </c>
      <c r="D149">
        <v>1</v>
      </c>
      <c r="E149">
        <v>1</v>
      </c>
      <c r="F149">
        <v>1</v>
      </c>
      <c r="G149" t="s">
        <v>447</v>
      </c>
      <c r="H149" t="s">
        <v>145</v>
      </c>
      <c r="I149" t="s">
        <v>1726</v>
      </c>
      <c r="J149" t="s">
        <v>1716</v>
      </c>
      <c r="K149">
        <v>19</v>
      </c>
      <c r="M149" t="str">
        <f>VLOOKUP(C149,Lcode_mapping!D:D,1,FALSE)</f>
        <v>ATMEPO 1</v>
      </c>
    </row>
    <row r="150" spans="1:13" x14ac:dyDescent="0.25">
      <c r="A150">
        <v>149</v>
      </c>
      <c r="B150">
        <v>1</v>
      </c>
      <c r="C150" t="s">
        <v>146</v>
      </c>
      <c r="D150">
        <v>1</v>
      </c>
      <c r="E150">
        <v>1</v>
      </c>
      <c r="F150">
        <v>1</v>
      </c>
      <c r="G150" t="s">
        <v>447</v>
      </c>
      <c r="H150" t="s">
        <v>145</v>
      </c>
      <c r="I150" t="s">
        <v>1726</v>
      </c>
      <c r="J150" t="s">
        <v>1716</v>
      </c>
      <c r="K150">
        <v>19</v>
      </c>
      <c r="M150" t="str">
        <f>VLOOKUP(C150,Lcode_mapping!D:D,1,FALSE)</f>
        <v>ATMEPO 2</v>
      </c>
    </row>
    <row r="151" spans="1:13" x14ac:dyDescent="0.25">
      <c r="A151">
        <v>150</v>
      </c>
      <c r="B151">
        <v>1</v>
      </c>
      <c r="C151" t="s">
        <v>151</v>
      </c>
      <c r="D151">
        <v>1</v>
      </c>
      <c r="E151">
        <v>1</v>
      </c>
      <c r="F151">
        <v>1</v>
      </c>
      <c r="G151" t="s">
        <v>544</v>
      </c>
      <c r="H151" t="s">
        <v>152</v>
      </c>
      <c r="I151" t="s">
        <v>1726</v>
      </c>
      <c r="J151" t="s">
        <v>1716</v>
      </c>
      <c r="K151">
        <v>19</v>
      </c>
      <c r="M151" t="str">
        <f>VLOOKUP(C151,Lcode_mapping!D:D,1,FALSE)</f>
        <v>ATM FL 1</v>
      </c>
    </row>
    <row r="152" spans="1:13" x14ac:dyDescent="0.25">
      <c r="A152">
        <v>151</v>
      </c>
      <c r="B152">
        <v>1</v>
      </c>
      <c r="C152" t="s">
        <v>153</v>
      </c>
      <c r="D152">
        <v>1</v>
      </c>
      <c r="E152">
        <v>1</v>
      </c>
      <c r="F152">
        <v>1</v>
      </c>
      <c r="G152" t="s">
        <v>544</v>
      </c>
      <c r="H152" t="s">
        <v>152</v>
      </c>
      <c r="I152" t="s">
        <v>1726</v>
      </c>
      <c r="J152" t="s">
        <v>1716</v>
      </c>
      <c r="K152">
        <v>19</v>
      </c>
      <c r="M152" t="str">
        <f>VLOOKUP(C152,Lcode_mapping!D:D,1,FALSE)</f>
        <v>ATM FL 2</v>
      </c>
    </row>
    <row r="153" spans="1:13" x14ac:dyDescent="0.25">
      <c r="A153">
        <v>152</v>
      </c>
      <c r="B153">
        <v>1</v>
      </c>
      <c r="C153" t="s">
        <v>11</v>
      </c>
      <c r="D153">
        <v>2</v>
      </c>
      <c r="E153">
        <v>1</v>
      </c>
      <c r="F153">
        <v>1</v>
      </c>
      <c r="G153" t="s">
        <v>447</v>
      </c>
      <c r="H153" t="s">
        <v>12</v>
      </c>
      <c r="I153" t="s">
        <v>2033</v>
      </c>
      <c r="J153" t="s">
        <v>1727</v>
      </c>
      <c r="K153">
        <v>1650</v>
      </c>
      <c r="M153" t="str">
        <f>VLOOKUP(C153,Lcode_mapping!D:D,1,FALSE)</f>
        <v>BAROCALS</v>
      </c>
    </row>
    <row r="154" spans="1:13" x14ac:dyDescent="0.25">
      <c r="A154">
        <v>153</v>
      </c>
      <c r="B154">
        <v>1</v>
      </c>
      <c r="C154" t="s">
        <v>13</v>
      </c>
      <c r="D154">
        <v>4</v>
      </c>
      <c r="E154">
        <v>1</v>
      </c>
      <c r="F154">
        <v>1</v>
      </c>
      <c r="G154" t="s">
        <v>589</v>
      </c>
      <c r="H154" t="s">
        <v>14</v>
      </c>
      <c r="I154" t="s">
        <v>2033</v>
      </c>
      <c r="J154" t="s">
        <v>1727</v>
      </c>
      <c r="K154">
        <v>1650</v>
      </c>
      <c r="M154" t="str">
        <f>VLOOKUP(C154,Lcode_mapping!D:D,1,FALSE)</f>
        <v>BARONAME</v>
      </c>
    </row>
    <row r="155" spans="1:13" x14ac:dyDescent="0.25">
      <c r="A155">
        <v>154</v>
      </c>
      <c r="B155">
        <v>1</v>
      </c>
      <c r="C155" t="s">
        <v>254</v>
      </c>
      <c r="D155">
        <v>2</v>
      </c>
      <c r="E155">
        <v>1</v>
      </c>
      <c r="F155">
        <v>1</v>
      </c>
      <c r="G155" t="s">
        <v>447</v>
      </c>
      <c r="H155" t="s">
        <v>142</v>
      </c>
      <c r="I155" t="s">
        <v>2034</v>
      </c>
      <c r="J155" t="s">
        <v>2035</v>
      </c>
      <c r="K155">
        <v>13</v>
      </c>
      <c r="M155" t="str">
        <f>VLOOKUP(C155,Lcode_mapping!D:D,1,FALSE)</f>
        <v>CLCKEP 7</v>
      </c>
    </row>
    <row r="156" spans="1:13" x14ac:dyDescent="0.25">
      <c r="A156">
        <v>155</v>
      </c>
      <c r="B156">
        <v>1</v>
      </c>
      <c r="C156" t="s">
        <v>255</v>
      </c>
      <c r="D156">
        <v>1</v>
      </c>
      <c r="E156">
        <v>1</v>
      </c>
      <c r="F156">
        <v>1</v>
      </c>
      <c r="G156" t="s">
        <v>447</v>
      </c>
      <c r="H156" t="s">
        <v>145</v>
      </c>
      <c r="I156" t="s">
        <v>2034</v>
      </c>
      <c r="J156" t="s">
        <v>2035</v>
      </c>
      <c r="K156">
        <v>13</v>
      </c>
      <c r="M156" t="str">
        <f>VLOOKUP(C156,Lcode_mapping!D:D,1,FALSE)</f>
        <v>ATMEPO 7</v>
      </c>
    </row>
    <row r="157" spans="1:13" x14ac:dyDescent="0.25">
      <c r="A157">
        <v>156</v>
      </c>
      <c r="B157">
        <v>1</v>
      </c>
      <c r="C157" t="s">
        <v>256</v>
      </c>
      <c r="D157">
        <v>1</v>
      </c>
      <c r="E157">
        <v>1</v>
      </c>
      <c r="F157">
        <v>1</v>
      </c>
      <c r="G157" t="s">
        <v>544</v>
      </c>
      <c r="H157" t="s">
        <v>149</v>
      </c>
      <c r="I157" t="s">
        <v>2034</v>
      </c>
      <c r="J157" t="s">
        <v>2035</v>
      </c>
      <c r="K157">
        <v>13</v>
      </c>
      <c r="M157" t="str">
        <f>VLOOKUP(C157,Lcode_mapping!D:D,1,FALSE)</f>
        <v>CLCKFL 7</v>
      </c>
    </row>
    <row r="158" spans="1:13" x14ac:dyDescent="0.25">
      <c r="A158">
        <v>157</v>
      </c>
      <c r="B158">
        <v>1</v>
      </c>
      <c r="C158" t="s">
        <v>274</v>
      </c>
      <c r="D158">
        <v>2</v>
      </c>
      <c r="E158">
        <v>1</v>
      </c>
      <c r="F158">
        <v>1</v>
      </c>
      <c r="G158" t="s">
        <v>447</v>
      </c>
      <c r="H158" t="s">
        <v>142</v>
      </c>
      <c r="I158" t="s">
        <v>2036</v>
      </c>
      <c r="J158" t="s">
        <v>2036</v>
      </c>
      <c r="K158">
        <v>1</v>
      </c>
      <c r="M158" t="str">
        <f>VLOOKUP(C158,Lcode_mapping!D:D,1,FALSE)</f>
        <v>CLCKEP 8</v>
      </c>
    </row>
    <row r="159" spans="1:13" x14ac:dyDescent="0.25">
      <c r="A159">
        <v>158</v>
      </c>
      <c r="B159">
        <v>1</v>
      </c>
      <c r="C159" t="s">
        <v>275</v>
      </c>
      <c r="D159">
        <v>1</v>
      </c>
      <c r="E159">
        <v>1</v>
      </c>
      <c r="F159">
        <v>1</v>
      </c>
      <c r="G159" t="s">
        <v>447</v>
      </c>
      <c r="H159" t="s">
        <v>145</v>
      </c>
      <c r="I159" t="s">
        <v>2036</v>
      </c>
      <c r="J159" t="s">
        <v>2036</v>
      </c>
      <c r="K159">
        <v>1</v>
      </c>
      <c r="M159" t="str">
        <f>VLOOKUP(C159,Lcode_mapping!D:D,1,FALSE)</f>
        <v>ATMEPO 8</v>
      </c>
    </row>
    <row r="160" spans="1:13" x14ac:dyDescent="0.25">
      <c r="A160">
        <v>159</v>
      </c>
      <c r="B160">
        <v>1</v>
      </c>
      <c r="C160" t="s">
        <v>276</v>
      </c>
      <c r="D160">
        <v>1</v>
      </c>
      <c r="E160">
        <v>1</v>
      </c>
      <c r="F160">
        <v>1</v>
      </c>
      <c r="G160" t="s">
        <v>544</v>
      </c>
      <c r="H160" t="s">
        <v>149</v>
      </c>
      <c r="I160" t="s">
        <v>2036</v>
      </c>
      <c r="J160" t="s">
        <v>2036</v>
      </c>
      <c r="K160">
        <v>1</v>
      </c>
      <c r="M160" t="str">
        <f>VLOOKUP(C160,Lcode_mapping!D:D,1,FALSE)</f>
        <v>CLCKFL 8</v>
      </c>
    </row>
    <row r="161" spans="1:13" x14ac:dyDescent="0.25">
      <c r="A161">
        <v>160</v>
      </c>
      <c r="B161">
        <v>1</v>
      </c>
      <c r="C161" t="s">
        <v>277</v>
      </c>
      <c r="D161">
        <v>1</v>
      </c>
      <c r="E161">
        <v>1</v>
      </c>
      <c r="F161">
        <v>1</v>
      </c>
      <c r="G161" t="s">
        <v>544</v>
      </c>
      <c r="H161" t="s">
        <v>152</v>
      </c>
      <c r="I161" t="s">
        <v>2036</v>
      </c>
      <c r="J161" t="s">
        <v>2036</v>
      </c>
      <c r="K161">
        <v>1</v>
      </c>
      <c r="M161" t="str">
        <f>VLOOKUP(C161,Lcode_mapping!D:D,1,FALSE)</f>
        <v>ATM FL 8</v>
      </c>
    </row>
    <row r="162" spans="1:13" x14ac:dyDescent="0.25">
      <c r="A162">
        <v>161</v>
      </c>
      <c r="B162">
        <v>1</v>
      </c>
      <c r="C162" t="s">
        <v>238</v>
      </c>
      <c r="D162">
        <v>2</v>
      </c>
      <c r="E162">
        <v>1</v>
      </c>
      <c r="F162">
        <v>1</v>
      </c>
      <c r="G162" t="s">
        <v>447</v>
      </c>
      <c r="H162" t="s">
        <v>142</v>
      </c>
      <c r="I162" t="s">
        <v>2037</v>
      </c>
      <c r="J162" t="s">
        <v>1728</v>
      </c>
      <c r="K162">
        <v>24</v>
      </c>
      <c r="M162" t="str">
        <f>VLOOKUP(C162,Lcode_mapping!D:D,1,FALSE)</f>
        <v>CLCKEP 6</v>
      </c>
    </row>
    <row r="163" spans="1:13" x14ac:dyDescent="0.25">
      <c r="A163">
        <v>162</v>
      </c>
      <c r="B163">
        <v>1</v>
      </c>
      <c r="C163" t="s">
        <v>239</v>
      </c>
      <c r="D163">
        <v>1</v>
      </c>
      <c r="E163">
        <v>1</v>
      </c>
      <c r="F163">
        <v>1</v>
      </c>
      <c r="G163" t="s">
        <v>447</v>
      </c>
      <c r="H163" t="s">
        <v>145</v>
      </c>
      <c r="I163" t="s">
        <v>2037</v>
      </c>
      <c r="J163" t="s">
        <v>1728</v>
      </c>
      <c r="K163">
        <v>24</v>
      </c>
      <c r="M163" t="str">
        <f>VLOOKUP(C163,Lcode_mapping!D:D,1,FALSE)</f>
        <v>ATMEPO 6</v>
      </c>
    </row>
    <row r="164" spans="1:13" x14ac:dyDescent="0.25">
      <c r="A164">
        <v>163</v>
      </c>
      <c r="B164">
        <v>1</v>
      </c>
      <c r="C164" t="s">
        <v>240</v>
      </c>
      <c r="D164">
        <v>1</v>
      </c>
      <c r="E164">
        <v>1</v>
      </c>
      <c r="F164">
        <v>1</v>
      </c>
      <c r="G164" t="s">
        <v>544</v>
      </c>
      <c r="H164" t="s">
        <v>149</v>
      </c>
      <c r="I164" t="s">
        <v>2037</v>
      </c>
      <c r="J164" t="s">
        <v>1728</v>
      </c>
      <c r="K164">
        <v>24</v>
      </c>
      <c r="M164" t="str">
        <f>VLOOKUP(C164,Lcode_mapping!D:D,1,FALSE)</f>
        <v>CLCKFL 6</v>
      </c>
    </row>
    <row r="165" spans="1:13" x14ac:dyDescent="0.25">
      <c r="A165">
        <v>164</v>
      </c>
      <c r="B165">
        <v>1</v>
      </c>
      <c r="C165" t="s">
        <v>163</v>
      </c>
      <c r="D165">
        <v>4</v>
      </c>
      <c r="E165">
        <v>5</v>
      </c>
      <c r="F165">
        <v>1</v>
      </c>
      <c r="G165" t="s">
        <v>589</v>
      </c>
      <c r="H165" t="s">
        <v>164</v>
      </c>
      <c r="I165" t="s">
        <v>1729</v>
      </c>
      <c r="J165" t="s">
        <v>2019</v>
      </c>
      <c r="K165">
        <v>1210</v>
      </c>
      <c r="M165" t="str">
        <f>VLOOKUP(C165,Lcode_mapping!D:D,1,FALSE)</f>
        <v>AC_SITES</v>
      </c>
    </row>
    <row r="166" spans="1:13" x14ac:dyDescent="0.25">
      <c r="A166">
        <v>165</v>
      </c>
      <c r="B166">
        <v>1</v>
      </c>
      <c r="C166" t="s">
        <v>165</v>
      </c>
      <c r="D166">
        <v>4</v>
      </c>
      <c r="E166">
        <v>5</v>
      </c>
      <c r="F166">
        <v>1</v>
      </c>
      <c r="G166" t="s">
        <v>589</v>
      </c>
      <c r="H166" t="s">
        <v>166</v>
      </c>
      <c r="I166" t="s">
        <v>1729</v>
      </c>
      <c r="J166" t="s">
        <v>2019</v>
      </c>
      <c r="K166">
        <v>1210</v>
      </c>
      <c r="M166" t="str">
        <f>VLOOKUP(C166,Lcode_mapping!D:D,1,FALSE)</f>
        <v>CC_SITES</v>
      </c>
    </row>
    <row r="167" spans="1:13" x14ac:dyDescent="0.25">
      <c r="A167">
        <v>166</v>
      </c>
      <c r="B167">
        <v>1</v>
      </c>
      <c r="C167" t="s">
        <v>241</v>
      </c>
      <c r="D167">
        <v>1</v>
      </c>
      <c r="E167">
        <v>1</v>
      </c>
      <c r="F167">
        <v>1</v>
      </c>
      <c r="G167" t="s">
        <v>544</v>
      </c>
      <c r="H167" t="s">
        <v>152</v>
      </c>
      <c r="I167" t="s">
        <v>2038</v>
      </c>
      <c r="J167" t="s">
        <v>1728</v>
      </c>
      <c r="K167">
        <v>16</v>
      </c>
      <c r="M167" t="str">
        <f>VLOOKUP(C167,Lcode_mapping!D:D,1,FALSE)</f>
        <v>ATM FL 6</v>
      </c>
    </row>
    <row r="168" spans="1:13" x14ac:dyDescent="0.25">
      <c r="A168">
        <v>167</v>
      </c>
      <c r="B168">
        <v>1</v>
      </c>
      <c r="C168" t="s">
        <v>226</v>
      </c>
      <c r="D168">
        <v>1</v>
      </c>
      <c r="E168">
        <v>1</v>
      </c>
      <c r="F168">
        <v>1</v>
      </c>
      <c r="G168" t="s">
        <v>544</v>
      </c>
      <c r="H168" t="s">
        <v>152</v>
      </c>
      <c r="I168" t="s">
        <v>2039</v>
      </c>
      <c r="J168" t="s">
        <v>1716</v>
      </c>
      <c r="K168">
        <v>22</v>
      </c>
      <c r="M168" t="str">
        <f>VLOOKUP(C168,Lcode_mapping!D:D,1,FALSE)</f>
        <v>ATM FL 4</v>
      </c>
    </row>
    <row r="169" spans="1:13" x14ac:dyDescent="0.25">
      <c r="A169">
        <v>168</v>
      </c>
      <c r="B169">
        <v>1</v>
      </c>
      <c r="C169" t="s">
        <v>160</v>
      </c>
      <c r="D169">
        <v>4</v>
      </c>
      <c r="E169">
        <v>4</v>
      </c>
      <c r="F169">
        <v>1</v>
      </c>
      <c r="G169" t="s">
        <v>589</v>
      </c>
      <c r="H169" t="s">
        <v>161</v>
      </c>
      <c r="I169" t="s">
        <v>2040</v>
      </c>
      <c r="J169" t="s">
        <v>1730</v>
      </c>
      <c r="K169">
        <v>1238</v>
      </c>
      <c r="M169" t="str">
        <f>VLOOKUP(C169,Lcode_mapping!D:D,1,FALSE)</f>
        <v>MARISTAT</v>
      </c>
    </row>
    <row r="170" spans="1:13" x14ac:dyDescent="0.25">
      <c r="A170">
        <v>169</v>
      </c>
      <c r="B170">
        <v>1</v>
      </c>
      <c r="C170" t="s">
        <v>214</v>
      </c>
      <c r="D170">
        <v>2</v>
      </c>
      <c r="E170">
        <v>1</v>
      </c>
      <c r="F170">
        <v>1</v>
      </c>
      <c r="G170" t="s">
        <v>447</v>
      </c>
      <c r="H170" t="s">
        <v>142</v>
      </c>
      <c r="I170" t="s">
        <v>2041</v>
      </c>
      <c r="J170" t="s">
        <v>1731</v>
      </c>
      <c r="K170">
        <v>11</v>
      </c>
      <c r="M170" t="str">
        <f>VLOOKUP(C170,Lcode_mapping!D:D,1,FALSE)</f>
        <v>CLCKEP 3</v>
      </c>
    </row>
    <row r="171" spans="1:13" x14ac:dyDescent="0.25">
      <c r="A171">
        <v>170</v>
      </c>
      <c r="B171">
        <v>1</v>
      </c>
      <c r="C171" t="s">
        <v>215</v>
      </c>
      <c r="D171">
        <v>1</v>
      </c>
      <c r="E171">
        <v>1</v>
      </c>
      <c r="F171">
        <v>1</v>
      </c>
      <c r="G171" t="s">
        <v>447</v>
      </c>
      <c r="H171" t="s">
        <v>145</v>
      </c>
      <c r="I171" t="s">
        <v>2041</v>
      </c>
      <c r="J171" t="s">
        <v>1716</v>
      </c>
      <c r="K171">
        <v>14</v>
      </c>
      <c r="M171" t="str">
        <f>VLOOKUP(C171,Lcode_mapping!D:D,1,FALSE)</f>
        <v>ATMEPO 3</v>
      </c>
    </row>
    <row r="172" spans="1:13" x14ac:dyDescent="0.25">
      <c r="A172">
        <v>171</v>
      </c>
      <c r="B172">
        <v>1</v>
      </c>
      <c r="C172" t="s">
        <v>216</v>
      </c>
      <c r="D172">
        <v>1</v>
      </c>
      <c r="E172">
        <v>1</v>
      </c>
      <c r="F172">
        <v>1</v>
      </c>
      <c r="G172" t="s">
        <v>544</v>
      </c>
      <c r="H172" t="s">
        <v>149</v>
      </c>
      <c r="I172" t="s">
        <v>2041</v>
      </c>
      <c r="J172" t="s">
        <v>1731</v>
      </c>
      <c r="K172">
        <v>11</v>
      </c>
      <c r="M172" t="str">
        <f>VLOOKUP(C172,Lcode_mapping!D:D,1,FALSE)</f>
        <v>CLCKFL 3</v>
      </c>
    </row>
    <row r="173" spans="1:13" x14ac:dyDescent="0.25">
      <c r="A173">
        <v>172</v>
      </c>
      <c r="B173">
        <v>1</v>
      </c>
      <c r="C173" t="s">
        <v>217</v>
      </c>
      <c r="D173">
        <v>1</v>
      </c>
      <c r="E173">
        <v>1</v>
      </c>
      <c r="F173">
        <v>1</v>
      </c>
      <c r="G173" t="s">
        <v>544</v>
      </c>
      <c r="H173" t="s">
        <v>152</v>
      </c>
      <c r="I173" t="s">
        <v>2042</v>
      </c>
      <c r="J173" t="s">
        <v>1716</v>
      </c>
      <c r="K173">
        <v>12</v>
      </c>
      <c r="M173" t="str">
        <f>VLOOKUP(C173,Lcode_mapping!D:D,1,FALSE)</f>
        <v>ATM FL 3</v>
      </c>
    </row>
    <row r="174" spans="1:13" x14ac:dyDescent="0.25">
      <c r="A174">
        <v>173</v>
      </c>
      <c r="B174">
        <v>1</v>
      </c>
      <c r="C174" t="s">
        <v>242</v>
      </c>
      <c r="D174">
        <v>11</v>
      </c>
      <c r="E174">
        <v>2</v>
      </c>
      <c r="F174">
        <v>1</v>
      </c>
      <c r="G174" t="s">
        <v>447</v>
      </c>
      <c r="H174" t="s">
        <v>1780</v>
      </c>
      <c r="I174" t="s">
        <v>1732</v>
      </c>
      <c r="J174" t="s">
        <v>1722</v>
      </c>
      <c r="K174">
        <v>25</v>
      </c>
      <c r="M174" t="str">
        <f>VLOOKUP(C174,Lcode_mapping!D:D,1,FALSE)</f>
        <v>OCAMP RD</v>
      </c>
    </row>
    <row r="175" spans="1:13" x14ac:dyDescent="0.25">
      <c r="A175">
        <v>174</v>
      </c>
      <c r="B175">
        <v>1</v>
      </c>
      <c r="C175" t="s">
        <v>244</v>
      </c>
      <c r="D175">
        <v>11</v>
      </c>
      <c r="E175">
        <v>2</v>
      </c>
      <c r="F175">
        <v>1</v>
      </c>
      <c r="G175" t="s">
        <v>447</v>
      </c>
      <c r="H175" t="s">
        <v>245</v>
      </c>
      <c r="I175" t="s">
        <v>1732</v>
      </c>
      <c r="J175" t="s">
        <v>1722</v>
      </c>
      <c r="K175">
        <v>25</v>
      </c>
      <c r="M175" t="str">
        <f>VLOOKUP(C175,Lcode_mapping!D:D,1,FALSE)</f>
        <v>OCAMP EW</v>
      </c>
    </row>
    <row r="176" spans="1:13" x14ac:dyDescent="0.25">
      <c r="A176">
        <v>175</v>
      </c>
      <c r="B176">
        <v>1</v>
      </c>
      <c r="C176" t="s">
        <v>246</v>
      </c>
      <c r="D176">
        <v>11</v>
      </c>
      <c r="E176">
        <v>2</v>
      </c>
      <c r="F176">
        <v>1</v>
      </c>
      <c r="G176" t="s">
        <v>447</v>
      </c>
      <c r="H176" t="s">
        <v>247</v>
      </c>
      <c r="I176" t="s">
        <v>1732</v>
      </c>
      <c r="J176" t="s">
        <v>1722</v>
      </c>
      <c r="K176">
        <v>25</v>
      </c>
      <c r="M176" t="str">
        <f>VLOOKUP(C176,Lcode_mapping!D:D,1,FALSE)</f>
        <v>OCAMP NS</v>
      </c>
    </row>
    <row r="177" spans="1:13" x14ac:dyDescent="0.25">
      <c r="A177">
        <v>176</v>
      </c>
      <c r="B177">
        <v>1</v>
      </c>
      <c r="C177" t="s">
        <v>248</v>
      </c>
      <c r="D177">
        <v>11</v>
      </c>
      <c r="E177">
        <v>2</v>
      </c>
      <c r="F177">
        <v>1</v>
      </c>
      <c r="G177" t="s">
        <v>447</v>
      </c>
      <c r="H177" t="s">
        <v>249</v>
      </c>
      <c r="I177" t="s">
        <v>1732</v>
      </c>
      <c r="J177" t="s">
        <v>1722</v>
      </c>
      <c r="K177">
        <v>25</v>
      </c>
      <c r="M177" t="str">
        <f>VLOOKUP(C177,Lcode_mapping!D:D,1,FALSE)</f>
        <v>OCPHS RD</v>
      </c>
    </row>
    <row r="178" spans="1:13" x14ac:dyDescent="0.25">
      <c r="A178">
        <v>177</v>
      </c>
      <c r="B178">
        <v>1</v>
      </c>
      <c r="C178" t="s">
        <v>250</v>
      </c>
      <c r="D178">
        <v>11</v>
      </c>
      <c r="E178">
        <v>2</v>
      </c>
      <c r="F178">
        <v>1</v>
      </c>
      <c r="G178" t="s">
        <v>447</v>
      </c>
      <c r="H178" t="s">
        <v>251</v>
      </c>
      <c r="I178" t="s">
        <v>1732</v>
      </c>
      <c r="J178" t="s">
        <v>1722</v>
      </c>
      <c r="K178">
        <v>25</v>
      </c>
      <c r="M178" t="str">
        <f>VLOOKUP(C178,Lcode_mapping!D:D,1,FALSE)</f>
        <v>OCPHS EW</v>
      </c>
    </row>
    <row r="179" spans="1:13" x14ac:dyDescent="0.25">
      <c r="A179">
        <v>178</v>
      </c>
      <c r="B179">
        <v>1</v>
      </c>
      <c r="C179" t="s">
        <v>252</v>
      </c>
      <c r="D179">
        <v>11</v>
      </c>
      <c r="E179">
        <v>2</v>
      </c>
      <c r="F179">
        <v>1</v>
      </c>
      <c r="G179" t="s">
        <v>447</v>
      </c>
      <c r="H179" t="s">
        <v>253</v>
      </c>
      <c r="I179" t="s">
        <v>1732</v>
      </c>
      <c r="J179" t="s">
        <v>1722</v>
      </c>
      <c r="K179">
        <v>25</v>
      </c>
      <c r="M179" t="str">
        <f>VLOOKUP(C179,Lcode_mapping!D:D,1,FALSE)</f>
        <v>OCPHS NS</v>
      </c>
    </row>
    <row r="180" spans="1:13" x14ac:dyDescent="0.25">
      <c r="A180">
        <v>179</v>
      </c>
      <c r="B180">
        <v>1</v>
      </c>
      <c r="C180" t="s">
        <v>257</v>
      </c>
      <c r="D180">
        <v>1</v>
      </c>
      <c r="E180">
        <v>1</v>
      </c>
      <c r="F180">
        <v>1</v>
      </c>
      <c r="G180" t="s">
        <v>544</v>
      </c>
      <c r="H180" t="s">
        <v>152</v>
      </c>
      <c r="I180" t="s">
        <v>2043</v>
      </c>
      <c r="J180" t="s">
        <v>2035</v>
      </c>
      <c r="K180">
        <v>10</v>
      </c>
      <c r="M180" t="str">
        <f>VLOOKUP(C180,Lcode_mapping!D:D,1,FALSE)</f>
        <v>ATM FL 7</v>
      </c>
    </row>
    <row r="181" spans="1:13" x14ac:dyDescent="0.25">
      <c r="A181">
        <v>180</v>
      </c>
      <c r="B181">
        <v>1</v>
      </c>
      <c r="C181" t="s">
        <v>167</v>
      </c>
      <c r="D181">
        <v>2</v>
      </c>
      <c r="E181">
        <v>1</v>
      </c>
      <c r="F181">
        <v>1</v>
      </c>
      <c r="G181" t="s">
        <v>447</v>
      </c>
      <c r="H181" t="s">
        <v>1781</v>
      </c>
      <c r="I181" t="s">
        <v>1733</v>
      </c>
      <c r="J181" t="s">
        <v>1715</v>
      </c>
      <c r="K181">
        <v>136</v>
      </c>
      <c r="M181" t="str">
        <f>VLOOKUP(C181,Lcode_mapping!D:D,1,FALSE)</f>
        <v>COR DATA</v>
      </c>
    </row>
    <row r="182" spans="1:13" x14ac:dyDescent="0.25">
      <c r="A182">
        <v>181</v>
      </c>
      <c r="B182">
        <v>1</v>
      </c>
      <c r="C182" t="s">
        <v>169</v>
      </c>
      <c r="D182">
        <v>1</v>
      </c>
      <c r="E182">
        <v>1</v>
      </c>
      <c r="F182">
        <v>1</v>
      </c>
      <c r="G182" t="s">
        <v>447</v>
      </c>
      <c r="H182" t="s">
        <v>1782</v>
      </c>
      <c r="I182" t="s">
        <v>1733</v>
      </c>
      <c r="J182" t="s">
        <v>1715</v>
      </c>
      <c r="K182">
        <v>136</v>
      </c>
      <c r="M182" t="str">
        <f>VLOOKUP(C182,Lcode_mapping!D:D,1,FALSE)</f>
        <v>DNP DATA</v>
      </c>
    </row>
    <row r="183" spans="1:13" x14ac:dyDescent="0.25">
      <c r="A183">
        <v>182</v>
      </c>
      <c r="B183">
        <v>1</v>
      </c>
      <c r="C183" t="s">
        <v>171</v>
      </c>
      <c r="D183">
        <v>1</v>
      </c>
      <c r="E183">
        <v>1</v>
      </c>
      <c r="F183">
        <v>1</v>
      </c>
      <c r="G183" t="s">
        <v>447</v>
      </c>
      <c r="H183" t="s">
        <v>1783</v>
      </c>
      <c r="I183" t="s">
        <v>1733</v>
      </c>
      <c r="J183" t="s">
        <v>2018</v>
      </c>
      <c r="K183">
        <v>160</v>
      </c>
      <c r="M183" t="str">
        <f>VLOOKUP(C183,Lcode_mapping!D:D,1,FALSE)</f>
        <v>TWOPI</v>
      </c>
    </row>
    <row r="184" spans="1:13" x14ac:dyDescent="0.25">
      <c r="A184">
        <v>183</v>
      </c>
      <c r="B184">
        <v>1</v>
      </c>
      <c r="C184" t="s">
        <v>173</v>
      </c>
      <c r="D184">
        <v>1</v>
      </c>
      <c r="E184">
        <v>1</v>
      </c>
      <c r="F184">
        <v>1</v>
      </c>
      <c r="G184" t="s">
        <v>447</v>
      </c>
      <c r="H184" t="s">
        <v>1784</v>
      </c>
      <c r="I184" t="s">
        <v>1733</v>
      </c>
      <c r="J184" t="s">
        <v>1734</v>
      </c>
      <c r="K184">
        <v>134</v>
      </c>
      <c r="M184" t="str">
        <f>VLOOKUP(C184,Lcode_mapping!D:D,1,FALSE)</f>
        <v>RAD/ASEC</v>
      </c>
    </row>
    <row r="185" spans="1:13" x14ac:dyDescent="0.25">
      <c r="A185">
        <v>184</v>
      </c>
      <c r="B185">
        <v>1</v>
      </c>
      <c r="C185" t="s">
        <v>175</v>
      </c>
      <c r="D185">
        <v>1</v>
      </c>
      <c r="E185">
        <v>1</v>
      </c>
      <c r="F185">
        <v>1</v>
      </c>
      <c r="G185" t="s">
        <v>447</v>
      </c>
      <c r="H185" t="s">
        <v>1785</v>
      </c>
      <c r="I185" t="s">
        <v>1733</v>
      </c>
      <c r="J185" t="s">
        <v>1734</v>
      </c>
      <c r="K185">
        <v>134</v>
      </c>
      <c r="M185" t="str">
        <f>VLOOKUP(C185,Lcode_mapping!D:D,1,FALSE)</f>
        <v>RAD/TSEC</v>
      </c>
    </row>
    <row r="186" spans="1:13" x14ac:dyDescent="0.25">
      <c r="A186">
        <v>185</v>
      </c>
      <c r="B186">
        <v>1</v>
      </c>
      <c r="C186" t="s">
        <v>177</v>
      </c>
      <c r="D186">
        <v>1</v>
      </c>
      <c r="E186">
        <v>1</v>
      </c>
      <c r="F186">
        <v>1</v>
      </c>
      <c r="G186" t="s">
        <v>447</v>
      </c>
      <c r="H186" t="s">
        <v>1786</v>
      </c>
      <c r="I186" t="s">
        <v>1733</v>
      </c>
      <c r="J186" t="s">
        <v>2018</v>
      </c>
      <c r="K186">
        <v>160</v>
      </c>
      <c r="M186" t="str">
        <f>VLOOKUP(C186,Lcode_mapping!D:D,1,FALSE)</f>
        <v>TSEC/DAY</v>
      </c>
    </row>
    <row r="187" spans="1:13" x14ac:dyDescent="0.25">
      <c r="A187">
        <v>186</v>
      </c>
      <c r="B187">
        <v>1</v>
      </c>
      <c r="C187" t="s">
        <v>218</v>
      </c>
      <c r="D187">
        <v>2</v>
      </c>
      <c r="E187">
        <v>3</v>
      </c>
      <c r="F187">
        <v>1</v>
      </c>
      <c r="G187" t="s">
        <v>447</v>
      </c>
      <c r="H187" t="s">
        <v>219</v>
      </c>
      <c r="I187" t="s">
        <v>1733</v>
      </c>
      <c r="J187" t="s">
        <v>1735</v>
      </c>
      <c r="K187">
        <v>7</v>
      </c>
      <c r="M187" t="str">
        <f>VLOOKUP(C187,Lcode_mapping!D:D,1,FALSE)</f>
        <v>SLEWRATS</v>
      </c>
    </row>
    <row r="188" spans="1:13" x14ac:dyDescent="0.25">
      <c r="A188">
        <v>187</v>
      </c>
      <c r="B188">
        <v>1</v>
      </c>
      <c r="C188" t="s">
        <v>220</v>
      </c>
      <c r="D188">
        <v>2</v>
      </c>
      <c r="E188">
        <v>2</v>
      </c>
      <c r="F188">
        <v>3</v>
      </c>
      <c r="G188" t="s">
        <v>447</v>
      </c>
      <c r="H188" t="s">
        <v>222</v>
      </c>
      <c r="I188" t="s">
        <v>1733</v>
      </c>
      <c r="J188" t="s">
        <v>1735</v>
      </c>
      <c r="K188">
        <v>7</v>
      </c>
      <c r="M188" t="str">
        <f>VLOOKUP(C188,Lcode_mapping!D:D,1,FALSE)</f>
        <v>LIMSTOPS</v>
      </c>
    </row>
    <row r="189" spans="1:13" x14ac:dyDescent="0.25">
      <c r="A189">
        <v>188</v>
      </c>
      <c r="B189">
        <v>1</v>
      </c>
      <c r="C189" t="s">
        <v>554</v>
      </c>
      <c r="D189">
        <v>5</v>
      </c>
      <c r="E189">
        <v>2</v>
      </c>
      <c r="F189">
        <v>1</v>
      </c>
      <c r="G189" t="s">
        <v>544</v>
      </c>
      <c r="H189" t="s">
        <v>555</v>
      </c>
      <c r="I189" t="s">
        <v>1733</v>
      </c>
      <c r="J189" t="s">
        <v>2017</v>
      </c>
      <c r="K189">
        <v>1915</v>
      </c>
      <c r="M189" t="str">
        <f>VLOOKUP(C189,Lcode_mapping!D:D,1,FALSE)</f>
        <v>INTRVAL4</v>
      </c>
    </row>
    <row r="190" spans="1:13" x14ac:dyDescent="0.25">
      <c r="A190">
        <v>189</v>
      </c>
      <c r="B190">
        <v>1</v>
      </c>
      <c r="C190" t="s">
        <v>523</v>
      </c>
      <c r="D190">
        <v>3</v>
      </c>
      <c r="E190">
        <v>1</v>
      </c>
      <c r="F190">
        <v>1</v>
      </c>
      <c r="G190" t="s">
        <v>447</v>
      </c>
      <c r="H190" t="s">
        <v>524</v>
      </c>
      <c r="I190" t="s">
        <v>1736</v>
      </c>
      <c r="J190" t="s">
        <v>2017</v>
      </c>
      <c r="K190">
        <v>2700</v>
      </c>
      <c r="M190" t="str">
        <f>VLOOKUP(C190,Lcode_mapping!D:D,1,FALSE)</f>
        <v>MEANCABL</v>
      </c>
    </row>
    <row r="191" spans="1:13" x14ac:dyDescent="0.25">
      <c r="A191">
        <v>190</v>
      </c>
      <c r="B191">
        <v>1</v>
      </c>
      <c r="C191" t="s">
        <v>230</v>
      </c>
      <c r="D191">
        <v>1</v>
      </c>
      <c r="E191">
        <v>1</v>
      </c>
      <c r="F191">
        <v>1</v>
      </c>
      <c r="G191" t="s">
        <v>447</v>
      </c>
      <c r="H191" t="s">
        <v>231</v>
      </c>
      <c r="I191" t="s">
        <v>2044</v>
      </c>
      <c r="J191" t="s">
        <v>2045</v>
      </c>
      <c r="K191">
        <v>4</v>
      </c>
      <c r="M191" t="str">
        <f>VLOOKUP(C191,Lcode_mapping!D:D,1,FALSE)</f>
        <v>SOLVE_VR</v>
      </c>
    </row>
    <row r="192" spans="1:13" x14ac:dyDescent="0.25">
      <c r="A192">
        <v>191</v>
      </c>
      <c r="B192">
        <v>1</v>
      </c>
      <c r="C192" t="s">
        <v>543</v>
      </c>
      <c r="D192">
        <v>1</v>
      </c>
      <c r="E192">
        <v>1</v>
      </c>
      <c r="F192">
        <v>1</v>
      </c>
      <c r="G192" t="s">
        <v>544</v>
      </c>
      <c r="H192" t="s">
        <v>545</v>
      </c>
      <c r="I192" t="s">
        <v>1737</v>
      </c>
      <c r="J192" t="s">
        <v>2017</v>
      </c>
      <c r="K192">
        <v>1734</v>
      </c>
      <c r="M192" t="str">
        <f>VLOOKUP(C192,Lcode_mapping!D:D,1,FALSE)</f>
        <v>EXPSERNO</v>
      </c>
    </row>
    <row r="193" spans="1:13" x14ac:dyDescent="0.25">
      <c r="A193">
        <v>192</v>
      </c>
      <c r="B193">
        <v>1</v>
      </c>
      <c r="C193" t="s">
        <v>591</v>
      </c>
      <c r="D193">
        <v>4</v>
      </c>
      <c r="E193">
        <v>1</v>
      </c>
      <c r="F193">
        <v>1</v>
      </c>
      <c r="G193" t="s">
        <v>589</v>
      </c>
      <c r="H193" t="s">
        <v>592</v>
      </c>
      <c r="I193" t="s">
        <v>1737</v>
      </c>
      <c r="J193" t="s">
        <v>2017</v>
      </c>
      <c r="K193">
        <v>1784</v>
      </c>
      <c r="M193" t="str">
        <f>VLOOKUP(C193,Lcode_mapping!D:D,1,FALSE)</f>
        <v>CORRTYPE</v>
      </c>
    </row>
    <row r="194" spans="1:13" x14ac:dyDescent="0.25">
      <c r="A194">
        <v>193</v>
      </c>
      <c r="B194">
        <v>1</v>
      </c>
      <c r="C194" t="s">
        <v>603</v>
      </c>
      <c r="D194">
        <v>40</v>
      </c>
      <c r="E194">
        <v>1</v>
      </c>
      <c r="F194">
        <v>1</v>
      </c>
      <c r="G194" t="s">
        <v>589</v>
      </c>
      <c r="H194" t="s">
        <v>604</v>
      </c>
      <c r="I194" t="s">
        <v>1737</v>
      </c>
      <c r="J194" t="s">
        <v>2017</v>
      </c>
      <c r="K194">
        <v>1734</v>
      </c>
      <c r="M194" t="str">
        <f>VLOOKUP(C194,Lcode_mapping!D:D,1,FALSE)</f>
        <v>RECMODE</v>
      </c>
    </row>
    <row r="195" spans="1:13" x14ac:dyDescent="0.25">
      <c r="A195">
        <v>194</v>
      </c>
      <c r="B195">
        <v>1</v>
      </c>
      <c r="C195" t="s">
        <v>446</v>
      </c>
      <c r="D195">
        <v>1</v>
      </c>
      <c r="E195">
        <v>1</v>
      </c>
      <c r="F195">
        <v>1</v>
      </c>
      <c r="G195" t="s">
        <v>447</v>
      </c>
      <c r="H195" t="s">
        <v>448</v>
      </c>
      <c r="I195" t="s">
        <v>1738</v>
      </c>
      <c r="J195" t="s">
        <v>2017</v>
      </c>
      <c r="K195">
        <v>1701</v>
      </c>
      <c r="M195" t="str">
        <f>VLOOKUP(C195,Lcode_mapping!D:D,1,FALSE)</f>
        <v>APLENGTH</v>
      </c>
    </row>
    <row r="196" spans="1:13" x14ac:dyDescent="0.25">
      <c r="A196">
        <v>195</v>
      </c>
      <c r="B196">
        <v>1</v>
      </c>
      <c r="C196" t="s">
        <v>546</v>
      </c>
      <c r="D196">
        <v>1</v>
      </c>
      <c r="E196">
        <v>1</v>
      </c>
      <c r="F196">
        <v>1</v>
      </c>
      <c r="G196" t="s">
        <v>544</v>
      </c>
      <c r="H196" t="s">
        <v>547</v>
      </c>
      <c r="I196" t="s">
        <v>1738</v>
      </c>
      <c r="J196" t="s">
        <v>2017</v>
      </c>
      <c r="K196">
        <v>1651</v>
      </c>
      <c r="M196" t="str">
        <f>VLOOKUP(C196,Lcode_mapping!D:D,1,FALSE)</f>
        <v>NLAGS</v>
      </c>
    </row>
    <row r="197" spans="1:13" x14ac:dyDescent="0.25">
      <c r="A197">
        <v>196</v>
      </c>
      <c r="B197">
        <v>1</v>
      </c>
      <c r="C197" t="s">
        <v>588</v>
      </c>
      <c r="D197">
        <v>16</v>
      </c>
      <c r="E197">
        <v>1</v>
      </c>
      <c r="F197">
        <v>1</v>
      </c>
      <c r="G197" t="s">
        <v>589</v>
      </c>
      <c r="H197" t="s">
        <v>590</v>
      </c>
      <c r="I197" t="s">
        <v>1738</v>
      </c>
      <c r="J197" t="s">
        <v>2017</v>
      </c>
      <c r="K197">
        <v>1701</v>
      </c>
      <c r="M197" t="str">
        <f>VLOOKUP(C197,Lcode_mapping!D:D,1,FALSE)</f>
        <v>CORPLACE</v>
      </c>
    </row>
    <row r="198" spans="1:13" x14ac:dyDescent="0.25">
      <c r="A198">
        <v>197</v>
      </c>
      <c r="B198">
        <v>1</v>
      </c>
      <c r="C198" t="s">
        <v>593</v>
      </c>
      <c r="D198">
        <v>16</v>
      </c>
      <c r="E198">
        <v>1</v>
      </c>
      <c r="F198">
        <v>1</v>
      </c>
      <c r="G198" t="s">
        <v>589</v>
      </c>
      <c r="H198" t="s">
        <v>594</v>
      </c>
      <c r="I198" t="s">
        <v>1738</v>
      </c>
      <c r="J198" t="s">
        <v>2017</v>
      </c>
      <c r="K198">
        <v>1651</v>
      </c>
      <c r="M198" t="str">
        <f>VLOOKUP(C198,Lcode_mapping!D:D,1,FALSE)</f>
        <v>EXPCODE</v>
      </c>
    </row>
    <row r="199" spans="1:13" x14ac:dyDescent="0.25">
      <c r="A199">
        <v>198</v>
      </c>
      <c r="B199">
        <v>1</v>
      </c>
      <c r="C199" t="s">
        <v>595</v>
      </c>
      <c r="D199">
        <v>40</v>
      </c>
      <c r="E199">
        <v>1</v>
      </c>
      <c r="F199">
        <v>1</v>
      </c>
      <c r="G199" t="s">
        <v>589</v>
      </c>
      <c r="H199" t="s">
        <v>596</v>
      </c>
      <c r="I199" t="s">
        <v>1738</v>
      </c>
      <c r="J199" t="s">
        <v>2017</v>
      </c>
      <c r="K199">
        <v>1651</v>
      </c>
      <c r="M199" t="str">
        <f>VLOOKUP(C199,Lcode_mapping!D:D,1,FALSE)</f>
        <v>EXPDESC</v>
      </c>
    </row>
    <row r="200" spans="1:13" x14ac:dyDescent="0.25">
      <c r="A200">
        <v>199</v>
      </c>
      <c r="B200">
        <v>1</v>
      </c>
      <c r="C200" t="s">
        <v>597</v>
      </c>
      <c r="D200">
        <v>48</v>
      </c>
      <c r="E200">
        <v>1</v>
      </c>
      <c r="F200">
        <v>1</v>
      </c>
      <c r="G200" t="s">
        <v>589</v>
      </c>
      <c r="H200" t="s">
        <v>598</v>
      </c>
      <c r="I200" t="s">
        <v>1738</v>
      </c>
      <c r="J200" t="s">
        <v>2017</v>
      </c>
      <c r="K200">
        <v>1651</v>
      </c>
      <c r="M200" t="str">
        <f>VLOOKUP(C200,Lcode_mapping!D:D,1,FALSE)</f>
        <v>FOURF CF</v>
      </c>
    </row>
    <row r="201" spans="1:13" x14ac:dyDescent="0.25">
      <c r="A201">
        <v>200</v>
      </c>
      <c r="B201">
        <v>1</v>
      </c>
      <c r="C201" t="s">
        <v>599</v>
      </c>
      <c r="D201">
        <v>64</v>
      </c>
      <c r="E201">
        <v>1</v>
      </c>
      <c r="F201">
        <v>1</v>
      </c>
      <c r="G201" t="s">
        <v>589</v>
      </c>
      <c r="H201" t="s">
        <v>600</v>
      </c>
      <c r="I201" t="s">
        <v>1738</v>
      </c>
      <c r="J201" t="s">
        <v>2017</v>
      </c>
      <c r="K201">
        <v>1651</v>
      </c>
      <c r="M201" t="str">
        <f>VLOOKUP(C201,Lcode_mapping!D:D,1,FALSE)</f>
        <v>FOURF CS</v>
      </c>
    </row>
    <row r="202" spans="1:13" x14ac:dyDescent="0.25">
      <c r="A202">
        <v>201</v>
      </c>
      <c r="B202">
        <v>1</v>
      </c>
      <c r="C202" t="s">
        <v>601</v>
      </c>
      <c r="D202">
        <v>40</v>
      </c>
      <c r="E202">
        <v>1</v>
      </c>
      <c r="F202">
        <v>1</v>
      </c>
      <c r="G202" t="s">
        <v>589</v>
      </c>
      <c r="H202" t="s">
        <v>602</v>
      </c>
      <c r="I202" t="s">
        <v>1738</v>
      </c>
      <c r="J202" t="s">
        <v>2017</v>
      </c>
      <c r="K202">
        <v>1651</v>
      </c>
      <c r="M202" t="str">
        <f>VLOOKUP(C202,Lcode_mapping!D:D,1,FALSE)</f>
        <v>PI NAME</v>
      </c>
    </row>
    <row r="203" spans="1:13" x14ac:dyDescent="0.25">
      <c r="A203">
        <v>202</v>
      </c>
      <c r="B203">
        <v>1</v>
      </c>
      <c r="C203" t="s">
        <v>1739</v>
      </c>
      <c r="D203">
        <v>16</v>
      </c>
      <c r="E203">
        <v>1</v>
      </c>
      <c r="F203">
        <v>1</v>
      </c>
      <c r="G203" t="s">
        <v>589</v>
      </c>
      <c r="H203" t="s">
        <v>1787</v>
      </c>
      <c r="I203" t="s">
        <v>1740</v>
      </c>
      <c r="J203" t="s">
        <v>1741</v>
      </c>
      <c r="K203">
        <v>51</v>
      </c>
      <c r="M203" t="str">
        <f>VLOOKUP(C203,Lcode_mapping!D:D,1,FALSE)</f>
        <v>EXPNAME</v>
      </c>
    </row>
    <row r="204" spans="1:13" x14ac:dyDescent="0.25">
      <c r="A204">
        <v>203</v>
      </c>
      <c r="B204">
        <v>1</v>
      </c>
      <c r="C204" t="s">
        <v>1742</v>
      </c>
      <c r="D204">
        <v>2</v>
      </c>
      <c r="E204">
        <v>1</v>
      </c>
      <c r="F204">
        <v>1</v>
      </c>
      <c r="G204" t="s">
        <v>589</v>
      </c>
      <c r="H204" t="s">
        <v>1743</v>
      </c>
      <c r="I204" t="s">
        <v>1744</v>
      </c>
      <c r="J204" t="s">
        <v>1745</v>
      </c>
      <c r="K204">
        <v>50</v>
      </c>
      <c r="M204" t="str">
        <f>VLOOKUP(C204,Lcode_mapping!D:D,1,FALSE)</f>
        <v>S2FLAG</v>
      </c>
    </row>
    <row r="205" spans="1:13" x14ac:dyDescent="0.25">
      <c r="A205">
        <v>204</v>
      </c>
      <c r="B205">
        <v>1</v>
      </c>
      <c r="C205" t="s">
        <v>1746</v>
      </c>
      <c r="D205">
        <v>1</v>
      </c>
      <c r="E205">
        <v>1</v>
      </c>
      <c r="F205">
        <v>1</v>
      </c>
      <c r="G205" t="s">
        <v>447</v>
      </c>
      <c r="H205" t="s">
        <v>1788</v>
      </c>
      <c r="I205" t="s">
        <v>1747</v>
      </c>
      <c r="J205" t="s">
        <v>2018</v>
      </c>
      <c r="K205">
        <v>26</v>
      </c>
      <c r="M205" t="str">
        <f>VLOOKUP(C205,Lcode_mapping!D:D,1,FALSE)</f>
        <v>RAD DEG</v>
      </c>
    </row>
    <row r="206" spans="1:13" x14ac:dyDescent="0.25">
      <c r="A206">
        <v>205</v>
      </c>
      <c r="B206">
        <v>1</v>
      </c>
      <c r="C206" t="s">
        <v>1748</v>
      </c>
      <c r="D206">
        <v>1</v>
      </c>
      <c r="E206">
        <v>1</v>
      </c>
      <c r="F206">
        <v>1</v>
      </c>
      <c r="G206" t="s">
        <v>447</v>
      </c>
      <c r="H206" t="s">
        <v>1784</v>
      </c>
      <c r="I206" t="s">
        <v>1747</v>
      </c>
      <c r="J206" t="s">
        <v>2018</v>
      </c>
      <c r="K206">
        <v>26</v>
      </c>
      <c r="M206" t="str">
        <f>VLOOKUP(C206,Lcode_mapping!D:D,1,FALSE)</f>
        <v>RAD ASEC</v>
      </c>
    </row>
    <row r="207" spans="1:13" x14ac:dyDescent="0.25">
      <c r="A207">
        <v>206</v>
      </c>
      <c r="B207">
        <v>1</v>
      </c>
      <c r="C207" t="s">
        <v>1749</v>
      </c>
      <c r="D207">
        <v>1</v>
      </c>
      <c r="E207">
        <v>1</v>
      </c>
      <c r="F207">
        <v>1</v>
      </c>
      <c r="G207" t="s">
        <v>447</v>
      </c>
      <c r="H207" t="s">
        <v>1785</v>
      </c>
      <c r="I207" t="s">
        <v>1747</v>
      </c>
      <c r="J207" t="s">
        <v>2018</v>
      </c>
      <c r="K207">
        <v>26</v>
      </c>
      <c r="M207" t="str">
        <f>VLOOKUP(C207,Lcode_mapping!D:D,1,FALSE)</f>
        <v>RAD TSEC</v>
      </c>
    </row>
    <row r="208" spans="1:13" x14ac:dyDescent="0.25">
      <c r="A208" t="s">
        <v>2020</v>
      </c>
      <c r="C208" t="s">
        <v>2021</v>
      </c>
      <c r="G208" t="s">
        <v>2022</v>
      </c>
      <c r="M208" t="e">
        <f>VLOOKUP(C208,Lcode_mapping!D:D,1,FALSE)</f>
        <v>#N/A</v>
      </c>
    </row>
    <row r="209" spans="1:13" x14ac:dyDescent="0.25">
      <c r="A209">
        <v>1</v>
      </c>
      <c r="B209">
        <v>2</v>
      </c>
      <c r="C209" t="s">
        <v>767</v>
      </c>
      <c r="D209">
        <v>5</v>
      </c>
      <c r="E209">
        <v>1</v>
      </c>
      <c r="F209">
        <v>1</v>
      </c>
      <c r="G209" t="s">
        <v>447</v>
      </c>
      <c r="H209" t="s">
        <v>768</v>
      </c>
      <c r="I209" t="s">
        <v>1714</v>
      </c>
      <c r="J209" t="s">
        <v>2017</v>
      </c>
      <c r="K209">
        <v>5029</v>
      </c>
      <c r="M209" t="str">
        <f>VLOOKUP(C209,Lcode_mapping!D:D,1,FALSE)</f>
        <v>RFREQ</v>
      </c>
    </row>
    <row r="210" spans="1:13" x14ac:dyDescent="0.25">
      <c r="A210">
        <v>2</v>
      </c>
      <c r="B210">
        <v>2</v>
      </c>
      <c r="C210" t="s">
        <v>765</v>
      </c>
      <c r="D210">
        <v>1</v>
      </c>
      <c r="E210">
        <v>1</v>
      </c>
      <c r="F210">
        <v>1</v>
      </c>
      <c r="G210" t="s">
        <v>447</v>
      </c>
      <c r="H210" t="s">
        <v>766</v>
      </c>
      <c r="I210" t="s">
        <v>1714</v>
      </c>
      <c r="J210" t="s">
        <v>2017</v>
      </c>
      <c r="K210">
        <v>5029</v>
      </c>
      <c r="M210" t="str">
        <f>VLOOKUP(C210,Lcode_mapping!D:D,1,FALSE)</f>
        <v>REF FREQ</v>
      </c>
    </row>
    <row r="211" spans="1:13" x14ac:dyDescent="0.25">
      <c r="A211">
        <v>3</v>
      </c>
      <c r="B211">
        <v>2</v>
      </c>
      <c r="C211" t="s">
        <v>759</v>
      </c>
      <c r="D211">
        <v>1</v>
      </c>
      <c r="E211">
        <v>1</v>
      </c>
      <c r="F211">
        <v>1</v>
      </c>
      <c r="G211" t="s">
        <v>447</v>
      </c>
      <c r="H211" t="s">
        <v>760</v>
      </c>
      <c r="I211" t="s">
        <v>1714</v>
      </c>
      <c r="J211" t="s">
        <v>2017</v>
      </c>
      <c r="K211">
        <v>5029</v>
      </c>
      <c r="M211" t="str">
        <f>VLOOKUP(C211,Lcode_mapping!D:D,1,FALSE)</f>
        <v>RAT OBSV</v>
      </c>
    </row>
    <row r="212" spans="1:13" x14ac:dyDescent="0.25">
      <c r="A212">
        <v>4</v>
      </c>
      <c r="B212">
        <v>2</v>
      </c>
      <c r="C212" t="s">
        <v>1225</v>
      </c>
      <c r="D212">
        <v>1</v>
      </c>
      <c r="E212">
        <v>1</v>
      </c>
      <c r="F212">
        <v>1</v>
      </c>
      <c r="G212" t="s">
        <v>447</v>
      </c>
      <c r="H212" t="s">
        <v>772</v>
      </c>
      <c r="I212" t="s">
        <v>1714</v>
      </c>
      <c r="J212" t="s">
        <v>2046</v>
      </c>
      <c r="K212">
        <v>3</v>
      </c>
      <c r="M212" t="str">
        <f>VLOOKUP(C212,Lcode_mapping!D:D,1,FALSE)</f>
        <v>NB DELAY</v>
      </c>
    </row>
    <row r="213" spans="1:13" x14ac:dyDescent="0.25">
      <c r="A213">
        <v>5</v>
      </c>
      <c r="B213">
        <v>2</v>
      </c>
      <c r="C213" t="s">
        <v>737</v>
      </c>
      <c r="D213">
        <v>2</v>
      </c>
      <c r="E213">
        <v>5</v>
      </c>
      <c r="F213">
        <v>1</v>
      </c>
      <c r="G213" t="s">
        <v>447</v>
      </c>
      <c r="H213" t="s">
        <v>738</v>
      </c>
      <c r="I213" t="s">
        <v>1714</v>
      </c>
      <c r="J213" t="s">
        <v>2017</v>
      </c>
      <c r="K213">
        <v>4979</v>
      </c>
      <c r="M213" t="str">
        <f>VLOOKUP(C213,Lcode_mapping!D:D,1,FALSE)</f>
        <v>AMPBYFRQ</v>
      </c>
    </row>
    <row r="214" spans="1:13" x14ac:dyDescent="0.25">
      <c r="A214">
        <v>6</v>
      </c>
      <c r="B214">
        <v>2</v>
      </c>
      <c r="C214" t="s">
        <v>757</v>
      </c>
      <c r="D214">
        <v>2</v>
      </c>
      <c r="E214">
        <v>1</v>
      </c>
      <c r="F214">
        <v>1</v>
      </c>
      <c r="G214" t="s">
        <v>447</v>
      </c>
      <c r="H214" t="s">
        <v>758</v>
      </c>
      <c r="I214" t="s">
        <v>1714</v>
      </c>
      <c r="J214" t="s">
        <v>2017</v>
      </c>
      <c r="K214">
        <v>5028</v>
      </c>
      <c r="M214" t="str">
        <f>VLOOKUP(C214,Lcode_mapping!D:D,1,FALSE)</f>
        <v>PHASECAL</v>
      </c>
    </row>
    <row r="215" spans="1:13" x14ac:dyDescent="0.25">
      <c r="A215">
        <v>7</v>
      </c>
      <c r="B215">
        <v>2</v>
      </c>
      <c r="C215" t="s">
        <v>743</v>
      </c>
      <c r="D215">
        <v>1</v>
      </c>
      <c r="E215">
        <v>1</v>
      </c>
      <c r="F215">
        <v>1</v>
      </c>
      <c r="G215" t="s">
        <v>447</v>
      </c>
      <c r="H215" t="s">
        <v>744</v>
      </c>
      <c r="I215" t="s">
        <v>1714</v>
      </c>
      <c r="J215" t="s">
        <v>2017</v>
      </c>
      <c r="K215">
        <v>5029</v>
      </c>
      <c r="M215" t="str">
        <f>VLOOKUP(C215,Lcode_mapping!D:D,1,FALSE)</f>
        <v>DELRESID</v>
      </c>
    </row>
    <row r="216" spans="1:13" x14ac:dyDescent="0.25">
      <c r="A216">
        <v>8</v>
      </c>
      <c r="B216">
        <v>2</v>
      </c>
      <c r="C216" t="s">
        <v>745</v>
      </c>
      <c r="D216">
        <v>1</v>
      </c>
      <c r="E216">
        <v>1</v>
      </c>
      <c r="F216">
        <v>1</v>
      </c>
      <c r="G216" t="s">
        <v>447</v>
      </c>
      <c r="H216" t="s">
        <v>746</v>
      </c>
      <c r="I216" t="s">
        <v>1714</v>
      </c>
      <c r="J216" t="s">
        <v>2017</v>
      </c>
      <c r="K216">
        <v>5029</v>
      </c>
      <c r="M216" t="str">
        <f>VLOOKUP(C216,Lcode_mapping!D:D,1,FALSE)</f>
        <v>DELSIGMA</v>
      </c>
    </row>
    <row r="217" spans="1:13" x14ac:dyDescent="0.25">
      <c r="A217">
        <v>9</v>
      </c>
      <c r="B217">
        <v>2</v>
      </c>
      <c r="C217" t="s">
        <v>761</v>
      </c>
      <c r="D217">
        <v>1</v>
      </c>
      <c r="E217">
        <v>1</v>
      </c>
      <c r="F217">
        <v>1</v>
      </c>
      <c r="G217" t="s">
        <v>447</v>
      </c>
      <c r="H217" t="s">
        <v>762</v>
      </c>
      <c r="I217" t="s">
        <v>1714</v>
      </c>
      <c r="J217" t="s">
        <v>2017</v>
      </c>
      <c r="K217">
        <v>4987</v>
      </c>
      <c r="M217" t="str">
        <f>VLOOKUP(C217,Lcode_mapping!D:D,1,FALSE)</f>
        <v>RATRESID</v>
      </c>
    </row>
    <row r="218" spans="1:13" x14ac:dyDescent="0.25">
      <c r="A218">
        <v>10</v>
      </c>
      <c r="B218">
        <v>2</v>
      </c>
      <c r="C218" t="s">
        <v>763</v>
      </c>
      <c r="D218">
        <v>1</v>
      </c>
      <c r="E218">
        <v>1</v>
      </c>
      <c r="F218">
        <v>1</v>
      </c>
      <c r="G218" t="s">
        <v>447</v>
      </c>
      <c r="H218" t="s">
        <v>764</v>
      </c>
      <c r="I218" t="s">
        <v>1714</v>
      </c>
      <c r="J218" t="s">
        <v>2017</v>
      </c>
      <c r="K218">
        <v>5029</v>
      </c>
      <c r="M218" t="str">
        <f>VLOOKUP(C218,Lcode_mapping!D:D,1,FALSE)</f>
        <v>RATSIGMA</v>
      </c>
    </row>
    <row r="219" spans="1:13" x14ac:dyDescent="0.25">
      <c r="A219">
        <v>11</v>
      </c>
      <c r="B219">
        <v>2</v>
      </c>
      <c r="C219" t="s">
        <v>739</v>
      </c>
      <c r="D219">
        <v>1</v>
      </c>
      <c r="E219">
        <v>1</v>
      </c>
      <c r="F219">
        <v>1</v>
      </c>
      <c r="G219" t="s">
        <v>447</v>
      </c>
      <c r="H219" t="s">
        <v>740</v>
      </c>
      <c r="I219" t="s">
        <v>1714</v>
      </c>
      <c r="J219" t="s">
        <v>2017</v>
      </c>
      <c r="K219">
        <v>5029</v>
      </c>
      <c r="M219" t="str">
        <f>VLOOKUP(C219,Lcode_mapping!D:D,1,FALSE)</f>
        <v>COHERCOR</v>
      </c>
    </row>
    <row r="220" spans="1:13" x14ac:dyDescent="0.25">
      <c r="A220">
        <v>12</v>
      </c>
      <c r="B220">
        <v>2</v>
      </c>
      <c r="C220" t="s">
        <v>787</v>
      </c>
      <c r="D220">
        <v>1</v>
      </c>
      <c r="E220">
        <v>1</v>
      </c>
      <c r="F220">
        <v>1</v>
      </c>
      <c r="G220" t="s">
        <v>447</v>
      </c>
      <c r="H220" t="s">
        <v>788</v>
      </c>
      <c r="I220" t="s">
        <v>1714</v>
      </c>
      <c r="J220" t="s">
        <v>2017</v>
      </c>
      <c r="K220">
        <v>5029</v>
      </c>
      <c r="M220" t="str">
        <f>VLOOKUP(C220,Lcode_mapping!D:D,1,FALSE)</f>
        <v>TOTPHASE</v>
      </c>
    </row>
    <row r="221" spans="1:13" x14ac:dyDescent="0.25">
      <c r="A221">
        <v>13</v>
      </c>
      <c r="B221">
        <v>2</v>
      </c>
      <c r="C221" t="s">
        <v>791</v>
      </c>
      <c r="D221">
        <v>2</v>
      </c>
      <c r="E221">
        <v>1</v>
      </c>
      <c r="F221">
        <v>1</v>
      </c>
      <c r="G221" t="s">
        <v>447</v>
      </c>
      <c r="H221" t="s">
        <v>792</v>
      </c>
      <c r="I221" t="s">
        <v>1714</v>
      </c>
      <c r="J221" t="s">
        <v>2017</v>
      </c>
      <c r="K221">
        <v>5029</v>
      </c>
      <c r="M221" t="str">
        <f>VLOOKUP(C221,Lcode_mapping!D:D,1,FALSE)</f>
        <v>UVF/ASEC</v>
      </c>
    </row>
    <row r="222" spans="1:13" x14ac:dyDescent="0.25">
      <c r="A222">
        <v>14</v>
      </c>
      <c r="B222">
        <v>2</v>
      </c>
      <c r="C222" t="s">
        <v>1022</v>
      </c>
      <c r="D222">
        <v>2</v>
      </c>
      <c r="E222">
        <v>1</v>
      </c>
      <c r="F222">
        <v>1</v>
      </c>
      <c r="G222" t="s">
        <v>447</v>
      </c>
      <c r="H222" t="s">
        <v>1023</v>
      </c>
      <c r="I222" t="s">
        <v>1714</v>
      </c>
      <c r="J222" t="s">
        <v>2023</v>
      </c>
      <c r="K222">
        <v>3154</v>
      </c>
      <c r="M222" t="str">
        <f>VLOOKUP(C222,Lcode_mapping!D:D,1,FALSE)</f>
        <v>STARELEV</v>
      </c>
    </row>
    <row r="223" spans="1:13" x14ac:dyDescent="0.25">
      <c r="A223">
        <v>15</v>
      </c>
      <c r="B223">
        <v>2</v>
      </c>
      <c r="C223" t="s">
        <v>751</v>
      </c>
      <c r="D223">
        <v>1</v>
      </c>
      <c r="E223">
        <v>1</v>
      </c>
      <c r="F223">
        <v>1</v>
      </c>
      <c r="G223" t="s">
        <v>447</v>
      </c>
      <c r="H223" t="s">
        <v>752</v>
      </c>
      <c r="I223" t="s">
        <v>1714</v>
      </c>
      <c r="J223" t="s">
        <v>2017</v>
      </c>
      <c r="K223">
        <v>5029</v>
      </c>
      <c r="M223" t="str">
        <f>VLOOKUP(C223,Lcode_mapping!D:D,1,FALSE)</f>
        <v>GPDLAMBG</v>
      </c>
    </row>
    <row r="224" spans="1:13" x14ac:dyDescent="0.25">
      <c r="A224">
        <v>16</v>
      </c>
      <c r="B224">
        <v>2</v>
      </c>
      <c r="C224" t="s">
        <v>789</v>
      </c>
      <c r="D224">
        <v>2</v>
      </c>
      <c r="E224">
        <v>1</v>
      </c>
      <c r="F224">
        <v>1</v>
      </c>
      <c r="G224" t="s">
        <v>447</v>
      </c>
      <c r="H224" t="s">
        <v>790</v>
      </c>
      <c r="I224" t="s">
        <v>1714</v>
      </c>
      <c r="J224" t="s">
        <v>2017</v>
      </c>
      <c r="K224">
        <v>4979</v>
      </c>
      <c r="M224" t="str">
        <f>VLOOKUP(C224,Lcode_mapping!D:D,1,FALSE)</f>
        <v>URVR</v>
      </c>
    </row>
    <row r="225" spans="1:13" x14ac:dyDescent="0.25">
      <c r="A225">
        <v>17</v>
      </c>
      <c r="B225">
        <v>2</v>
      </c>
      <c r="C225" t="s">
        <v>775</v>
      </c>
      <c r="D225">
        <v>1</v>
      </c>
      <c r="E225">
        <v>1</v>
      </c>
      <c r="F225">
        <v>1</v>
      </c>
      <c r="G225" t="s">
        <v>447</v>
      </c>
      <c r="H225" t="s">
        <v>776</v>
      </c>
      <c r="I225" t="s">
        <v>1714</v>
      </c>
      <c r="J225" t="s">
        <v>2017</v>
      </c>
      <c r="K225">
        <v>5029</v>
      </c>
      <c r="M225" t="str">
        <f>VLOOKUP(C225,Lcode_mapping!D:D,1,FALSE)</f>
        <v>SBRESID</v>
      </c>
    </row>
    <row r="226" spans="1:13" x14ac:dyDescent="0.25">
      <c r="A226">
        <v>18</v>
      </c>
      <c r="B226">
        <v>2</v>
      </c>
      <c r="C226" t="s">
        <v>777</v>
      </c>
      <c r="D226">
        <v>1</v>
      </c>
      <c r="E226">
        <v>1</v>
      </c>
      <c r="F226">
        <v>1</v>
      </c>
      <c r="G226" t="s">
        <v>447</v>
      </c>
      <c r="H226" t="s">
        <v>778</v>
      </c>
      <c r="I226" t="s">
        <v>1714</v>
      </c>
      <c r="J226" t="s">
        <v>2017</v>
      </c>
      <c r="K226">
        <v>5029</v>
      </c>
      <c r="M226" t="str">
        <f>VLOOKUP(C226,Lcode_mapping!D:D,1,FALSE)</f>
        <v>SEC TAG</v>
      </c>
    </row>
    <row r="227" spans="1:13" x14ac:dyDescent="0.25">
      <c r="A227">
        <v>19</v>
      </c>
      <c r="B227">
        <v>2</v>
      </c>
      <c r="C227" t="s">
        <v>1373</v>
      </c>
      <c r="D227">
        <v>1</v>
      </c>
      <c r="E227">
        <v>1</v>
      </c>
      <c r="F227">
        <v>1</v>
      </c>
      <c r="G227" t="s">
        <v>447</v>
      </c>
      <c r="H227" t="s">
        <v>1374</v>
      </c>
      <c r="I227" t="s">
        <v>1714</v>
      </c>
      <c r="J227" t="s">
        <v>2018</v>
      </c>
      <c r="K227">
        <v>872</v>
      </c>
      <c r="M227" t="str">
        <f>VLOOKUP(C227,Lcode_mapping!D:D,1,FALSE)</f>
        <v>DEL FRQS</v>
      </c>
    </row>
    <row r="228" spans="1:13" x14ac:dyDescent="0.25">
      <c r="A228">
        <v>20</v>
      </c>
      <c r="B228">
        <v>2</v>
      </c>
      <c r="C228" t="s">
        <v>1375</v>
      </c>
      <c r="D228">
        <v>1</v>
      </c>
      <c r="E228">
        <v>1</v>
      </c>
      <c r="F228">
        <v>1</v>
      </c>
      <c r="G228" t="s">
        <v>447</v>
      </c>
      <c r="H228" t="s">
        <v>1374</v>
      </c>
      <c r="I228" t="s">
        <v>1714</v>
      </c>
      <c r="J228" t="s">
        <v>2018</v>
      </c>
      <c r="K228">
        <v>872</v>
      </c>
      <c r="M228" t="str">
        <f>VLOOKUP(C228,Lcode_mapping!D:D,1,FALSE)</f>
        <v>RAT FRQS</v>
      </c>
    </row>
    <row r="229" spans="1:13" x14ac:dyDescent="0.25">
      <c r="A229">
        <v>21</v>
      </c>
      <c r="B229">
        <v>2</v>
      </c>
      <c r="C229" t="s">
        <v>1371</v>
      </c>
      <c r="D229">
        <v>1</v>
      </c>
      <c r="E229">
        <v>1</v>
      </c>
      <c r="F229">
        <v>1</v>
      </c>
      <c r="G229" t="s">
        <v>447</v>
      </c>
      <c r="H229" t="s">
        <v>1372</v>
      </c>
      <c r="I229" t="s">
        <v>1714</v>
      </c>
      <c r="J229" t="s">
        <v>2018</v>
      </c>
      <c r="K229">
        <v>3305</v>
      </c>
      <c r="M229" t="str">
        <f>VLOOKUP(C229,Lcode_mapping!D:D,1,FALSE)</f>
        <v>JUL DATE</v>
      </c>
    </row>
    <row r="230" spans="1:13" x14ac:dyDescent="0.25">
      <c r="A230">
        <v>22</v>
      </c>
      <c r="B230">
        <v>2</v>
      </c>
      <c r="C230" t="s">
        <v>741</v>
      </c>
      <c r="D230">
        <v>2</v>
      </c>
      <c r="E230">
        <v>1</v>
      </c>
      <c r="F230">
        <v>1</v>
      </c>
      <c r="G230" t="s">
        <v>447</v>
      </c>
      <c r="H230" t="s">
        <v>742</v>
      </c>
      <c r="I230" t="s">
        <v>1714</v>
      </c>
      <c r="J230" t="s">
        <v>2017</v>
      </c>
      <c r="K230">
        <v>5029</v>
      </c>
      <c r="M230" t="str">
        <f>VLOOKUP(C230,Lcode_mapping!D:D,1,FALSE)</f>
        <v>DEL OBSV</v>
      </c>
    </row>
    <row r="231" spans="1:13" x14ac:dyDescent="0.25">
      <c r="A231">
        <v>23</v>
      </c>
      <c r="B231">
        <v>2</v>
      </c>
      <c r="C231" t="s">
        <v>884</v>
      </c>
      <c r="D231">
        <v>2</v>
      </c>
      <c r="E231">
        <v>2</v>
      </c>
      <c r="F231">
        <v>1</v>
      </c>
      <c r="G231" t="s">
        <v>447</v>
      </c>
      <c r="H231" t="s">
        <v>885</v>
      </c>
      <c r="I231" t="s">
        <v>1714</v>
      </c>
      <c r="J231" t="s">
        <v>2017</v>
      </c>
      <c r="K231">
        <v>5002</v>
      </c>
      <c r="M231" t="str">
        <f>VLOOKUP(C231,Lcode_mapping!D:D,1,FALSE)</f>
        <v>CABL DEL</v>
      </c>
    </row>
    <row r="232" spans="1:13" x14ac:dyDescent="0.25">
      <c r="A232">
        <v>24</v>
      </c>
      <c r="B232">
        <v>2</v>
      </c>
      <c r="C232" t="s">
        <v>892</v>
      </c>
      <c r="D232">
        <v>2</v>
      </c>
      <c r="E232">
        <v>1</v>
      </c>
      <c r="F232">
        <v>1</v>
      </c>
      <c r="G232" t="s">
        <v>447</v>
      </c>
      <c r="H232" t="s">
        <v>893</v>
      </c>
      <c r="I232" t="s">
        <v>1714</v>
      </c>
      <c r="J232" t="s">
        <v>2017</v>
      </c>
      <c r="K232">
        <v>5028</v>
      </c>
      <c r="M232" t="str">
        <f>VLOOKUP(C232,Lcode_mapping!D:D,1,FALSE)</f>
        <v>ION CORR</v>
      </c>
    </row>
    <row r="233" spans="1:13" x14ac:dyDescent="0.25">
      <c r="A233">
        <v>25</v>
      </c>
      <c r="B233">
        <v>2</v>
      </c>
      <c r="C233" t="s">
        <v>878</v>
      </c>
      <c r="D233">
        <v>2</v>
      </c>
      <c r="E233">
        <v>2</v>
      </c>
      <c r="F233">
        <v>1</v>
      </c>
      <c r="G233" t="s">
        <v>447</v>
      </c>
      <c r="H233" t="s">
        <v>879</v>
      </c>
      <c r="I233" t="s">
        <v>1714</v>
      </c>
      <c r="J233" t="s">
        <v>2017</v>
      </c>
      <c r="K233">
        <v>5022</v>
      </c>
      <c r="M233" t="str">
        <f>VLOOKUP(C233,Lcode_mapping!D:D,1,FALSE)</f>
        <v>TEMP C</v>
      </c>
    </row>
    <row r="234" spans="1:13" x14ac:dyDescent="0.25">
      <c r="A234">
        <v>26</v>
      </c>
      <c r="B234">
        <v>2</v>
      </c>
      <c r="C234" t="s">
        <v>880</v>
      </c>
      <c r="D234">
        <v>2</v>
      </c>
      <c r="E234">
        <v>2</v>
      </c>
      <c r="F234">
        <v>1</v>
      </c>
      <c r="G234" t="s">
        <v>447</v>
      </c>
      <c r="H234" t="s">
        <v>881</v>
      </c>
      <c r="I234" t="s">
        <v>1714</v>
      </c>
      <c r="J234" t="s">
        <v>2017</v>
      </c>
      <c r="K234">
        <v>5022</v>
      </c>
      <c r="M234" t="str">
        <f>VLOOKUP(C234,Lcode_mapping!D:D,1,FALSE)</f>
        <v>ATM PRES</v>
      </c>
    </row>
    <row r="235" spans="1:13" x14ac:dyDescent="0.25">
      <c r="A235">
        <v>27</v>
      </c>
      <c r="B235">
        <v>2</v>
      </c>
      <c r="C235" t="s">
        <v>882</v>
      </c>
      <c r="D235">
        <v>2</v>
      </c>
      <c r="E235">
        <v>2</v>
      </c>
      <c r="F235">
        <v>1</v>
      </c>
      <c r="G235" t="s">
        <v>447</v>
      </c>
      <c r="H235" t="s">
        <v>883</v>
      </c>
      <c r="I235" t="s">
        <v>1714</v>
      </c>
      <c r="J235" t="s">
        <v>2017</v>
      </c>
      <c r="K235">
        <v>5022</v>
      </c>
      <c r="M235" t="str">
        <f>VLOOKUP(C235,Lcode_mapping!D:D,1,FALSE)</f>
        <v>REL.HUM.</v>
      </c>
    </row>
    <row r="236" spans="1:13" x14ac:dyDescent="0.25">
      <c r="A236">
        <v>28</v>
      </c>
      <c r="B236">
        <v>2</v>
      </c>
      <c r="C236" t="s">
        <v>855</v>
      </c>
      <c r="D236">
        <v>3</v>
      </c>
      <c r="E236">
        <v>3</v>
      </c>
      <c r="F236">
        <v>1</v>
      </c>
      <c r="G236" t="s">
        <v>447</v>
      </c>
      <c r="H236" t="s">
        <v>856</v>
      </c>
      <c r="I236" t="s">
        <v>1714</v>
      </c>
      <c r="J236" t="s">
        <v>2017</v>
      </c>
      <c r="K236">
        <v>5029</v>
      </c>
      <c r="M236" t="str">
        <f>VLOOKUP(C236,Lcode_mapping!D:D,1,FALSE)</f>
        <v>EARTH CE</v>
      </c>
    </row>
    <row r="237" spans="1:13" x14ac:dyDescent="0.25">
      <c r="A237">
        <v>29</v>
      </c>
      <c r="B237">
        <v>2</v>
      </c>
      <c r="C237" t="s">
        <v>857</v>
      </c>
      <c r="D237">
        <v>3</v>
      </c>
      <c r="E237">
        <v>2</v>
      </c>
      <c r="F237">
        <v>1</v>
      </c>
      <c r="G237" t="s">
        <v>447</v>
      </c>
      <c r="H237" t="s">
        <v>858</v>
      </c>
      <c r="I237" t="s">
        <v>1714</v>
      </c>
      <c r="J237" t="s">
        <v>2017</v>
      </c>
      <c r="K237">
        <v>5029</v>
      </c>
      <c r="M237" t="str">
        <f>VLOOKUP(C237,Lcode_mapping!D:D,1,FALSE)</f>
        <v>SUN DATA</v>
      </c>
    </row>
    <row r="238" spans="1:13" x14ac:dyDescent="0.25">
      <c r="A238">
        <v>30</v>
      </c>
      <c r="B238">
        <v>2</v>
      </c>
      <c r="C238" t="s">
        <v>859</v>
      </c>
      <c r="D238">
        <v>3</v>
      </c>
      <c r="E238">
        <v>2</v>
      </c>
      <c r="F238">
        <v>1</v>
      </c>
      <c r="G238" t="s">
        <v>447</v>
      </c>
      <c r="H238" t="s">
        <v>860</v>
      </c>
      <c r="I238" t="s">
        <v>1714</v>
      </c>
      <c r="J238" t="s">
        <v>2017</v>
      </c>
      <c r="K238">
        <v>5029</v>
      </c>
      <c r="M238" t="str">
        <f>VLOOKUP(C238,Lcode_mapping!D:D,1,FALSE)</f>
        <v>MOONDATA</v>
      </c>
    </row>
    <row r="239" spans="1:13" x14ac:dyDescent="0.25">
      <c r="A239">
        <v>31</v>
      </c>
      <c r="B239">
        <v>2</v>
      </c>
      <c r="C239" t="s">
        <v>894</v>
      </c>
      <c r="D239">
        <v>2</v>
      </c>
      <c r="E239">
        <v>1</v>
      </c>
      <c r="F239">
        <v>1</v>
      </c>
      <c r="G239" t="s">
        <v>447</v>
      </c>
      <c r="H239" t="s">
        <v>895</v>
      </c>
      <c r="I239" t="s">
        <v>1714</v>
      </c>
      <c r="J239" t="s">
        <v>2017</v>
      </c>
      <c r="K239">
        <v>5028</v>
      </c>
      <c r="M239" t="str">
        <f>VLOOKUP(C239,Lcode_mapping!D:D,1,FALSE)</f>
        <v>IONRMS</v>
      </c>
    </row>
    <row r="240" spans="1:13" x14ac:dyDescent="0.25">
      <c r="A240">
        <v>32</v>
      </c>
      <c r="B240">
        <v>2</v>
      </c>
      <c r="C240" t="s">
        <v>865</v>
      </c>
      <c r="D240">
        <v>2</v>
      </c>
      <c r="E240">
        <v>1</v>
      </c>
      <c r="F240">
        <v>1</v>
      </c>
      <c r="G240" t="s">
        <v>447</v>
      </c>
      <c r="H240" t="s">
        <v>866</v>
      </c>
      <c r="I240" t="s">
        <v>1714</v>
      </c>
      <c r="J240" t="s">
        <v>2017</v>
      </c>
      <c r="K240">
        <v>5029</v>
      </c>
      <c r="M240" t="str">
        <f>VLOOKUP(C240,Lcode_mapping!D:D,1,FALSE)</f>
        <v>CONSPART</v>
      </c>
    </row>
    <row r="241" spans="1:13" x14ac:dyDescent="0.25">
      <c r="A241">
        <v>33</v>
      </c>
      <c r="B241">
        <v>2</v>
      </c>
      <c r="C241" t="s">
        <v>869</v>
      </c>
      <c r="D241">
        <v>2</v>
      </c>
      <c r="E241">
        <v>1</v>
      </c>
      <c r="F241">
        <v>1</v>
      </c>
      <c r="G241" t="s">
        <v>447</v>
      </c>
      <c r="H241" t="s">
        <v>868</v>
      </c>
      <c r="I241" t="s">
        <v>1714</v>
      </c>
      <c r="J241" t="s">
        <v>2017</v>
      </c>
      <c r="K241">
        <v>5029</v>
      </c>
      <c r="M241" t="str">
        <f>VLOOKUP(C241,Lcode_mapping!D:D,1,FALSE)</f>
        <v>SUN CONT</v>
      </c>
    </row>
    <row r="242" spans="1:13" x14ac:dyDescent="0.25">
      <c r="A242">
        <v>34</v>
      </c>
      <c r="B242">
        <v>2</v>
      </c>
      <c r="C242" t="s">
        <v>793</v>
      </c>
      <c r="D242">
        <v>2</v>
      </c>
      <c r="E242">
        <v>2</v>
      </c>
      <c r="F242">
        <v>1</v>
      </c>
      <c r="G242" t="s">
        <v>447</v>
      </c>
      <c r="H242" t="s">
        <v>794</v>
      </c>
      <c r="I242" t="s">
        <v>1714</v>
      </c>
      <c r="J242" t="s">
        <v>2017</v>
      </c>
      <c r="K242">
        <v>5029</v>
      </c>
      <c r="M242" t="str">
        <f>VLOOKUP(C242,Lcode_mapping!D:D,1,FALSE)</f>
        <v>NDRYPART</v>
      </c>
    </row>
    <row r="243" spans="1:13" x14ac:dyDescent="0.25">
      <c r="A243">
        <v>35</v>
      </c>
      <c r="B243">
        <v>2</v>
      </c>
      <c r="C243" t="s">
        <v>795</v>
      </c>
      <c r="D243">
        <v>2</v>
      </c>
      <c r="E243">
        <v>2</v>
      </c>
      <c r="F243">
        <v>1</v>
      </c>
      <c r="G243" t="s">
        <v>447</v>
      </c>
      <c r="H243" t="s">
        <v>796</v>
      </c>
      <c r="I243" t="s">
        <v>1714</v>
      </c>
      <c r="J243" t="s">
        <v>2017</v>
      </c>
      <c r="K243">
        <v>5029</v>
      </c>
      <c r="M243" t="str">
        <f>VLOOKUP(C243,Lcode_mapping!D:D,1,FALSE)</f>
        <v>NWETPART</v>
      </c>
    </row>
    <row r="244" spans="1:13" x14ac:dyDescent="0.25">
      <c r="A244">
        <v>36</v>
      </c>
      <c r="B244">
        <v>2</v>
      </c>
      <c r="C244" t="s">
        <v>797</v>
      </c>
      <c r="D244">
        <v>2</v>
      </c>
      <c r="E244">
        <v>2</v>
      </c>
      <c r="F244">
        <v>1</v>
      </c>
      <c r="G244" t="s">
        <v>447</v>
      </c>
      <c r="H244" t="s">
        <v>798</v>
      </c>
      <c r="I244" t="s">
        <v>1714</v>
      </c>
      <c r="J244" t="s">
        <v>2017</v>
      </c>
      <c r="K244">
        <v>5029</v>
      </c>
      <c r="M244" t="str">
        <f>VLOOKUP(C244,Lcode_mapping!D:D,1,FALSE)</f>
        <v>NDRYCONT</v>
      </c>
    </row>
    <row r="245" spans="1:13" x14ac:dyDescent="0.25">
      <c r="A245">
        <v>37</v>
      </c>
      <c r="B245">
        <v>2</v>
      </c>
      <c r="C245" t="s">
        <v>799</v>
      </c>
      <c r="D245">
        <v>2</v>
      </c>
      <c r="E245">
        <v>2</v>
      </c>
      <c r="F245">
        <v>1</v>
      </c>
      <c r="G245" t="s">
        <v>447</v>
      </c>
      <c r="H245" t="s">
        <v>800</v>
      </c>
      <c r="I245" t="s">
        <v>1714</v>
      </c>
      <c r="J245" t="s">
        <v>2017</v>
      </c>
      <c r="K245">
        <v>5029</v>
      </c>
      <c r="M245" t="str">
        <f>VLOOKUP(C245,Lcode_mapping!D:D,1,FALSE)</f>
        <v>NWETCONT</v>
      </c>
    </row>
    <row r="246" spans="1:13" x14ac:dyDescent="0.25">
      <c r="A246">
        <v>38</v>
      </c>
      <c r="B246">
        <v>2</v>
      </c>
      <c r="C246" t="s">
        <v>803</v>
      </c>
      <c r="D246">
        <v>2</v>
      </c>
      <c r="E246">
        <v>2</v>
      </c>
      <c r="F246">
        <v>1</v>
      </c>
      <c r="G246" t="s">
        <v>447</v>
      </c>
      <c r="H246" t="s">
        <v>804</v>
      </c>
      <c r="I246" t="s">
        <v>1714</v>
      </c>
      <c r="J246" t="s">
        <v>2017</v>
      </c>
      <c r="K246">
        <v>5029</v>
      </c>
      <c r="M246" t="str">
        <f>VLOOKUP(C246,Lcode_mapping!D:D,1,FALSE)</f>
        <v>EL-THEO</v>
      </c>
    </row>
    <row r="247" spans="1:13" x14ac:dyDescent="0.25">
      <c r="A247">
        <v>39</v>
      </c>
      <c r="B247">
        <v>2</v>
      </c>
      <c r="C247" t="s">
        <v>805</v>
      </c>
      <c r="D247">
        <v>2</v>
      </c>
      <c r="E247">
        <v>2</v>
      </c>
      <c r="F247">
        <v>1</v>
      </c>
      <c r="G247" t="s">
        <v>447</v>
      </c>
      <c r="H247" t="s">
        <v>806</v>
      </c>
      <c r="I247" t="s">
        <v>1714</v>
      </c>
      <c r="J247" t="s">
        <v>2017</v>
      </c>
      <c r="K247">
        <v>5029</v>
      </c>
      <c r="M247" t="str">
        <f>VLOOKUP(C247,Lcode_mapping!D:D,1,FALSE)</f>
        <v>AZ-THEO</v>
      </c>
    </row>
    <row r="248" spans="1:13" x14ac:dyDescent="0.25">
      <c r="A248">
        <v>40</v>
      </c>
      <c r="B248">
        <v>2</v>
      </c>
      <c r="C248" t="s">
        <v>807</v>
      </c>
      <c r="D248">
        <v>2</v>
      </c>
      <c r="E248">
        <v>2</v>
      </c>
      <c r="F248">
        <v>1</v>
      </c>
      <c r="G248" t="s">
        <v>447</v>
      </c>
      <c r="H248" t="s">
        <v>808</v>
      </c>
      <c r="I248" t="s">
        <v>1714</v>
      </c>
      <c r="J248" t="s">
        <v>2017</v>
      </c>
      <c r="K248">
        <v>5029</v>
      </c>
      <c r="M248" t="str">
        <f>VLOOKUP(C248,Lcode_mapping!D:D,1,FALSE)</f>
        <v>AXO PART</v>
      </c>
    </row>
    <row r="249" spans="1:13" x14ac:dyDescent="0.25">
      <c r="A249">
        <v>41</v>
      </c>
      <c r="B249">
        <v>2</v>
      </c>
      <c r="C249" t="s">
        <v>809</v>
      </c>
      <c r="D249">
        <v>2</v>
      </c>
      <c r="E249">
        <v>2</v>
      </c>
      <c r="F249">
        <v>1</v>
      </c>
      <c r="G249" t="s">
        <v>447</v>
      </c>
      <c r="H249" t="s">
        <v>810</v>
      </c>
      <c r="I249" t="s">
        <v>1714</v>
      </c>
      <c r="J249" t="s">
        <v>2017</v>
      </c>
      <c r="K249">
        <v>5029</v>
      </c>
      <c r="M249" t="str">
        <f>VLOOKUP(C249,Lcode_mapping!D:D,1,FALSE)</f>
        <v>AXO CONT</v>
      </c>
    </row>
    <row r="250" spans="1:13" x14ac:dyDescent="0.25">
      <c r="A250">
        <v>42</v>
      </c>
      <c r="B250">
        <v>2</v>
      </c>
      <c r="C250" t="s">
        <v>815</v>
      </c>
      <c r="D250">
        <v>2</v>
      </c>
      <c r="E250">
        <v>1</v>
      </c>
      <c r="F250">
        <v>1</v>
      </c>
      <c r="G250" t="s">
        <v>447</v>
      </c>
      <c r="H250" t="s">
        <v>816</v>
      </c>
      <c r="I250" t="s">
        <v>1714</v>
      </c>
      <c r="J250" t="s">
        <v>2017</v>
      </c>
      <c r="K250">
        <v>5029</v>
      </c>
      <c r="M250" t="str">
        <f>VLOOKUP(C250,Lcode_mapping!D:D,1,FALSE)</f>
        <v>ETD CONT</v>
      </c>
    </row>
    <row r="251" spans="1:13" x14ac:dyDescent="0.25">
      <c r="A251">
        <v>43</v>
      </c>
      <c r="B251">
        <v>2</v>
      </c>
      <c r="C251" t="s">
        <v>817</v>
      </c>
      <c r="D251">
        <v>2</v>
      </c>
      <c r="E251">
        <v>1</v>
      </c>
      <c r="F251">
        <v>1</v>
      </c>
      <c r="G251" t="s">
        <v>447</v>
      </c>
      <c r="H251" t="s">
        <v>818</v>
      </c>
      <c r="I251" t="s">
        <v>1714</v>
      </c>
      <c r="J251" t="s">
        <v>2017</v>
      </c>
      <c r="K251">
        <v>5029</v>
      </c>
      <c r="M251" t="str">
        <f>VLOOKUP(C251,Lcode_mapping!D:D,1,FALSE)</f>
        <v>PTD CONT</v>
      </c>
    </row>
    <row r="252" spans="1:13" x14ac:dyDescent="0.25">
      <c r="A252">
        <v>44</v>
      </c>
      <c r="B252">
        <v>2</v>
      </c>
      <c r="C252" t="s">
        <v>823</v>
      </c>
      <c r="D252">
        <v>2</v>
      </c>
      <c r="E252">
        <v>2</v>
      </c>
      <c r="F252">
        <v>1</v>
      </c>
      <c r="G252" t="s">
        <v>447</v>
      </c>
      <c r="H252" t="s">
        <v>824</v>
      </c>
      <c r="I252" t="s">
        <v>1714</v>
      </c>
      <c r="J252" t="s">
        <v>2017</v>
      </c>
      <c r="K252">
        <v>5029</v>
      </c>
      <c r="M252" t="str">
        <f>VLOOKUP(C252,Lcode_mapping!D:D,1,FALSE)</f>
        <v>NUT WAHR</v>
      </c>
    </row>
    <row r="253" spans="1:13" x14ac:dyDescent="0.25">
      <c r="A253">
        <v>45</v>
      </c>
      <c r="B253">
        <v>2</v>
      </c>
      <c r="C253" t="s">
        <v>827</v>
      </c>
      <c r="D253">
        <v>2</v>
      </c>
      <c r="E253">
        <v>1</v>
      </c>
      <c r="F253">
        <v>1</v>
      </c>
      <c r="G253" t="s">
        <v>447</v>
      </c>
      <c r="H253" t="s">
        <v>828</v>
      </c>
      <c r="I253" t="s">
        <v>1714</v>
      </c>
      <c r="J253" t="s">
        <v>2017</v>
      </c>
      <c r="K253">
        <v>5029</v>
      </c>
      <c r="M253" t="str">
        <f>VLOOKUP(C253,Lcode_mapping!D:D,1,FALSE)</f>
        <v>OCE CONT</v>
      </c>
    </row>
    <row r="254" spans="1:13" x14ac:dyDescent="0.25">
      <c r="A254">
        <v>46</v>
      </c>
      <c r="B254">
        <v>2</v>
      </c>
      <c r="C254" t="s">
        <v>829</v>
      </c>
      <c r="D254">
        <v>3</v>
      </c>
      <c r="E254">
        <v>2</v>
      </c>
      <c r="F254">
        <v>2</v>
      </c>
      <c r="G254" t="s">
        <v>447</v>
      </c>
      <c r="H254" t="s">
        <v>830</v>
      </c>
      <c r="I254" t="s">
        <v>1714</v>
      </c>
      <c r="J254" t="s">
        <v>2017</v>
      </c>
      <c r="K254">
        <v>5029</v>
      </c>
      <c r="M254" t="str">
        <f>VLOOKUP(C254,Lcode_mapping!D:D,1,FALSE)</f>
        <v>OCE DELD</v>
      </c>
    </row>
    <row r="255" spans="1:13" x14ac:dyDescent="0.25">
      <c r="A255">
        <v>47</v>
      </c>
      <c r="B255">
        <v>2</v>
      </c>
      <c r="C255" t="s">
        <v>831</v>
      </c>
      <c r="D255">
        <v>2</v>
      </c>
      <c r="E255">
        <v>2</v>
      </c>
      <c r="F255">
        <v>1</v>
      </c>
      <c r="G255" t="s">
        <v>447</v>
      </c>
      <c r="H255" t="s">
        <v>832</v>
      </c>
      <c r="I255" t="s">
        <v>1714</v>
      </c>
      <c r="J255" t="s">
        <v>2017</v>
      </c>
      <c r="K255">
        <v>5029</v>
      </c>
      <c r="M255" t="str">
        <f>VLOOKUP(C255,Lcode_mapping!D:D,1,FALSE)</f>
        <v>OCE HORZ</v>
      </c>
    </row>
    <row r="256" spans="1:13" x14ac:dyDescent="0.25">
      <c r="A256">
        <v>48</v>
      </c>
      <c r="B256">
        <v>2</v>
      </c>
      <c r="C256" t="s">
        <v>833</v>
      </c>
      <c r="D256">
        <v>2</v>
      </c>
      <c r="E256">
        <v>2</v>
      </c>
      <c r="F256">
        <v>1</v>
      </c>
      <c r="G256" t="s">
        <v>447</v>
      </c>
      <c r="H256" t="s">
        <v>834</v>
      </c>
      <c r="I256" t="s">
        <v>1714</v>
      </c>
      <c r="J256" t="s">
        <v>2017</v>
      </c>
      <c r="K256">
        <v>5029</v>
      </c>
      <c r="M256" t="str">
        <f>VLOOKUP(C256,Lcode_mapping!D:D,1,FALSE)</f>
        <v>OCE VERT</v>
      </c>
    </row>
    <row r="257" spans="1:13" x14ac:dyDescent="0.25">
      <c r="A257">
        <v>49</v>
      </c>
      <c r="B257">
        <v>2</v>
      </c>
      <c r="C257" t="s">
        <v>835</v>
      </c>
      <c r="D257">
        <v>2</v>
      </c>
      <c r="E257">
        <v>1</v>
      </c>
      <c r="F257">
        <v>1</v>
      </c>
      <c r="G257" t="s">
        <v>447</v>
      </c>
      <c r="H257" t="s">
        <v>836</v>
      </c>
      <c r="I257" t="s">
        <v>1714</v>
      </c>
      <c r="J257" t="s">
        <v>2017</v>
      </c>
      <c r="K257">
        <v>5029</v>
      </c>
      <c r="M257" t="str">
        <f>VLOOKUP(C257,Lcode_mapping!D:D,1,FALSE)</f>
        <v>PRE PART</v>
      </c>
    </row>
    <row r="258" spans="1:13" x14ac:dyDescent="0.25">
      <c r="A258">
        <v>50</v>
      </c>
      <c r="B258">
        <v>2</v>
      </c>
      <c r="C258" t="s">
        <v>837</v>
      </c>
      <c r="D258">
        <v>3</v>
      </c>
      <c r="E258">
        <v>2</v>
      </c>
      <c r="F258">
        <v>2</v>
      </c>
      <c r="G258" t="s">
        <v>447</v>
      </c>
      <c r="H258" t="s">
        <v>838</v>
      </c>
      <c r="I258" t="s">
        <v>1714</v>
      </c>
      <c r="J258" t="s">
        <v>2017</v>
      </c>
      <c r="K258">
        <v>5029</v>
      </c>
      <c r="M258" t="str">
        <f>VLOOKUP(C258,Lcode_mapping!D:D,1,FALSE)</f>
        <v>SIT PART</v>
      </c>
    </row>
    <row r="259" spans="1:13" x14ac:dyDescent="0.25">
      <c r="A259">
        <v>51</v>
      </c>
      <c r="B259">
        <v>2</v>
      </c>
      <c r="C259" t="s">
        <v>839</v>
      </c>
      <c r="D259">
        <v>2</v>
      </c>
      <c r="E259">
        <v>2</v>
      </c>
      <c r="F259">
        <v>1</v>
      </c>
      <c r="G259" t="s">
        <v>447</v>
      </c>
      <c r="H259" t="s">
        <v>840</v>
      </c>
      <c r="I259" t="s">
        <v>1714</v>
      </c>
      <c r="J259" t="s">
        <v>2017</v>
      </c>
      <c r="K259">
        <v>5029</v>
      </c>
      <c r="M259" t="str">
        <f>VLOOKUP(C259,Lcode_mapping!D:D,1,FALSE)</f>
        <v>STR PART</v>
      </c>
    </row>
    <row r="260" spans="1:13" x14ac:dyDescent="0.25">
      <c r="A260">
        <v>52</v>
      </c>
      <c r="B260">
        <v>2</v>
      </c>
      <c r="C260" t="s">
        <v>841</v>
      </c>
      <c r="D260">
        <v>2</v>
      </c>
      <c r="E260">
        <v>2</v>
      </c>
      <c r="F260">
        <v>1</v>
      </c>
      <c r="G260" t="s">
        <v>447</v>
      </c>
      <c r="H260" t="s">
        <v>842</v>
      </c>
      <c r="I260" t="s">
        <v>1714</v>
      </c>
      <c r="J260" t="s">
        <v>2017</v>
      </c>
      <c r="K260">
        <v>5029</v>
      </c>
      <c r="M260" t="str">
        <f>VLOOKUP(C260,Lcode_mapping!D:D,1,FALSE)</f>
        <v>UT1 PART</v>
      </c>
    </row>
    <row r="261" spans="1:13" x14ac:dyDescent="0.25">
      <c r="A261">
        <v>53</v>
      </c>
      <c r="B261">
        <v>2</v>
      </c>
      <c r="C261" t="s">
        <v>843</v>
      </c>
      <c r="D261">
        <v>1</v>
      </c>
      <c r="E261">
        <v>1</v>
      </c>
      <c r="F261">
        <v>1</v>
      </c>
      <c r="G261" t="s">
        <v>447</v>
      </c>
      <c r="H261" t="s">
        <v>844</v>
      </c>
      <c r="I261" t="s">
        <v>1714</v>
      </c>
      <c r="J261" t="s">
        <v>2017</v>
      </c>
      <c r="K261">
        <v>5029</v>
      </c>
      <c r="M261" t="str">
        <f>VLOOKUP(C261,Lcode_mapping!D:D,1,FALSE)</f>
        <v>UT1 -TAI</v>
      </c>
    </row>
    <row r="262" spans="1:13" x14ac:dyDescent="0.25">
      <c r="A262">
        <v>54</v>
      </c>
      <c r="B262">
        <v>2</v>
      </c>
      <c r="C262" t="s">
        <v>845</v>
      </c>
      <c r="D262">
        <v>2</v>
      </c>
      <c r="E262">
        <v>2</v>
      </c>
      <c r="F262">
        <v>1</v>
      </c>
      <c r="G262" t="s">
        <v>447</v>
      </c>
      <c r="H262" t="s">
        <v>846</v>
      </c>
      <c r="I262" t="s">
        <v>1714</v>
      </c>
      <c r="J262" t="s">
        <v>2017</v>
      </c>
      <c r="K262">
        <v>5029</v>
      </c>
      <c r="M262" t="str">
        <f>VLOOKUP(C262,Lcode_mapping!D:D,1,FALSE)</f>
        <v>WOB PART</v>
      </c>
    </row>
    <row r="263" spans="1:13" x14ac:dyDescent="0.25">
      <c r="A263">
        <v>55</v>
      </c>
      <c r="B263">
        <v>2</v>
      </c>
      <c r="C263" t="s">
        <v>847</v>
      </c>
      <c r="D263">
        <v>2</v>
      </c>
      <c r="E263">
        <v>1</v>
      </c>
      <c r="F263">
        <v>1</v>
      </c>
      <c r="G263" t="s">
        <v>447</v>
      </c>
      <c r="H263" t="s">
        <v>848</v>
      </c>
      <c r="I263" t="s">
        <v>1714</v>
      </c>
      <c r="J263" t="s">
        <v>2017</v>
      </c>
      <c r="K263">
        <v>5029</v>
      </c>
      <c r="M263" t="str">
        <f>VLOOKUP(C263,Lcode_mapping!D:D,1,FALSE)</f>
        <v>WOBXCONT</v>
      </c>
    </row>
    <row r="264" spans="1:13" x14ac:dyDescent="0.25">
      <c r="A264">
        <v>56</v>
      </c>
      <c r="B264">
        <v>2</v>
      </c>
      <c r="C264" t="s">
        <v>849</v>
      </c>
      <c r="D264">
        <v>2</v>
      </c>
      <c r="E264">
        <v>1</v>
      </c>
      <c r="F264">
        <v>1</v>
      </c>
      <c r="G264" t="s">
        <v>447</v>
      </c>
      <c r="H264" t="s">
        <v>850</v>
      </c>
      <c r="I264" t="s">
        <v>1714</v>
      </c>
      <c r="J264" t="s">
        <v>2017</v>
      </c>
      <c r="K264">
        <v>5029</v>
      </c>
      <c r="M264" t="str">
        <f>VLOOKUP(C264,Lcode_mapping!D:D,1,FALSE)</f>
        <v>WOBYCONT</v>
      </c>
    </row>
    <row r="265" spans="1:13" x14ac:dyDescent="0.25">
      <c r="A265">
        <v>57</v>
      </c>
      <c r="B265">
        <v>2</v>
      </c>
      <c r="C265" t="s">
        <v>851</v>
      </c>
      <c r="D265">
        <v>2</v>
      </c>
      <c r="E265">
        <v>1</v>
      </c>
      <c r="F265">
        <v>1</v>
      </c>
      <c r="G265" t="s">
        <v>447</v>
      </c>
      <c r="H265" t="s">
        <v>852</v>
      </c>
      <c r="I265" t="s">
        <v>1714</v>
      </c>
      <c r="J265" t="s">
        <v>2017</v>
      </c>
      <c r="K265">
        <v>5029</v>
      </c>
      <c r="M265" t="str">
        <f>VLOOKUP(C265,Lcode_mapping!D:D,1,FALSE)</f>
        <v>POLAR XY</v>
      </c>
    </row>
    <row r="266" spans="1:13" x14ac:dyDescent="0.25">
      <c r="A266">
        <v>58</v>
      </c>
      <c r="B266">
        <v>2</v>
      </c>
      <c r="C266" t="s">
        <v>853</v>
      </c>
      <c r="D266">
        <v>1</v>
      </c>
      <c r="E266">
        <v>1</v>
      </c>
      <c r="F266">
        <v>1</v>
      </c>
      <c r="G266" t="s">
        <v>447</v>
      </c>
      <c r="H266" t="s">
        <v>854</v>
      </c>
      <c r="I266" t="s">
        <v>1714</v>
      </c>
      <c r="J266" t="s">
        <v>2017</v>
      </c>
      <c r="K266">
        <v>5029</v>
      </c>
      <c r="M266" t="str">
        <f>VLOOKUP(C266,Lcode_mapping!D:D,1,FALSE)</f>
        <v>CT SITE1</v>
      </c>
    </row>
    <row r="267" spans="1:13" x14ac:dyDescent="0.25">
      <c r="A267">
        <v>59</v>
      </c>
      <c r="B267">
        <v>2</v>
      </c>
      <c r="C267" t="s">
        <v>861</v>
      </c>
      <c r="D267">
        <v>2</v>
      </c>
      <c r="E267">
        <v>1</v>
      </c>
      <c r="F267">
        <v>1</v>
      </c>
      <c r="G267" t="s">
        <v>447</v>
      </c>
      <c r="H267" t="s">
        <v>862</v>
      </c>
      <c r="I267" t="s">
        <v>1714</v>
      </c>
      <c r="J267" t="s">
        <v>2017</v>
      </c>
      <c r="K267">
        <v>5029</v>
      </c>
      <c r="M267" t="str">
        <f>VLOOKUP(C267,Lcode_mapping!D:D,1,FALSE)</f>
        <v>CONSNDEL</v>
      </c>
    </row>
    <row r="268" spans="1:13" x14ac:dyDescent="0.25">
      <c r="A268">
        <v>60</v>
      </c>
      <c r="B268">
        <v>2</v>
      </c>
      <c r="C268" t="s">
        <v>863</v>
      </c>
      <c r="D268">
        <v>1</v>
      </c>
      <c r="E268">
        <v>1</v>
      </c>
      <c r="F268">
        <v>1</v>
      </c>
      <c r="G268" t="s">
        <v>447</v>
      </c>
      <c r="H268" t="s">
        <v>864</v>
      </c>
      <c r="I268" t="s">
        <v>1714</v>
      </c>
      <c r="J268" t="s">
        <v>2017</v>
      </c>
      <c r="K268">
        <v>5029</v>
      </c>
      <c r="M268" t="str">
        <f>VLOOKUP(C268,Lcode_mapping!D:D,1,FALSE)</f>
        <v>CONSNRAT</v>
      </c>
    </row>
    <row r="269" spans="1:13" x14ac:dyDescent="0.25">
      <c r="A269">
        <v>61</v>
      </c>
      <c r="B269">
        <v>2</v>
      </c>
      <c r="C269" t="s">
        <v>867</v>
      </c>
      <c r="D269">
        <v>2</v>
      </c>
      <c r="E269">
        <v>1</v>
      </c>
      <c r="F269">
        <v>1</v>
      </c>
      <c r="G269" t="s">
        <v>447</v>
      </c>
      <c r="H269" t="s">
        <v>868</v>
      </c>
      <c r="I269" t="s">
        <v>1714</v>
      </c>
      <c r="J269" t="s">
        <v>2017</v>
      </c>
      <c r="K269">
        <v>5029</v>
      </c>
      <c r="M269" t="str">
        <f>VLOOKUP(C269,Lcode_mapping!D:D,1,FALSE)</f>
        <v>CON CONT</v>
      </c>
    </row>
    <row r="270" spans="1:13" x14ac:dyDescent="0.25">
      <c r="A270">
        <v>62</v>
      </c>
      <c r="B270">
        <v>2</v>
      </c>
      <c r="C270" t="s">
        <v>874</v>
      </c>
      <c r="D270">
        <v>2</v>
      </c>
      <c r="E270">
        <v>1</v>
      </c>
      <c r="F270">
        <v>1</v>
      </c>
      <c r="G270" t="s">
        <v>447</v>
      </c>
      <c r="H270" t="s">
        <v>875</v>
      </c>
      <c r="I270" t="s">
        <v>1714</v>
      </c>
      <c r="J270" t="s">
        <v>2017</v>
      </c>
      <c r="K270">
        <v>5029</v>
      </c>
      <c r="M270" t="str">
        <f>VLOOKUP(C270,Lcode_mapping!D:D,1,FALSE)</f>
        <v>PLX PART</v>
      </c>
    </row>
    <row r="271" spans="1:13" x14ac:dyDescent="0.25">
      <c r="A271">
        <v>63</v>
      </c>
      <c r="B271">
        <v>2</v>
      </c>
      <c r="C271" t="s">
        <v>811</v>
      </c>
      <c r="D271">
        <v>2</v>
      </c>
      <c r="E271">
        <v>1</v>
      </c>
      <c r="F271">
        <v>1</v>
      </c>
      <c r="G271" t="s">
        <v>447</v>
      </c>
      <c r="H271" t="s">
        <v>812</v>
      </c>
      <c r="I271" t="s">
        <v>1714</v>
      </c>
      <c r="J271" t="s">
        <v>2017</v>
      </c>
      <c r="K271">
        <v>5029</v>
      </c>
      <c r="M271" t="str">
        <f>VLOOKUP(C271,Lcode_mapping!D:D,1,FALSE)</f>
        <v>PARANGLE</v>
      </c>
    </row>
    <row r="272" spans="1:13" x14ac:dyDescent="0.25">
      <c r="A272">
        <v>64</v>
      </c>
      <c r="B272">
        <v>2</v>
      </c>
      <c r="C272" t="s">
        <v>801</v>
      </c>
      <c r="D272">
        <v>2</v>
      </c>
      <c r="E272">
        <v>2</v>
      </c>
      <c r="F272">
        <v>2</v>
      </c>
      <c r="G272" t="s">
        <v>447</v>
      </c>
      <c r="H272" t="s">
        <v>802</v>
      </c>
      <c r="I272" t="s">
        <v>1714</v>
      </c>
      <c r="J272" t="s">
        <v>2017</v>
      </c>
      <c r="K272">
        <v>5029</v>
      </c>
      <c r="M272" t="str">
        <f>VLOOKUP(C272,Lcode_mapping!D:D,1,FALSE)</f>
        <v>NGRADPAR</v>
      </c>
    </row>
    <row r="273" spans="1:13" x14ac:dyDescent="0.25">
      <c r="A273">
        <v>65</v>
      </c>
      <c r="B273">
        <v>2</v>
      </c>
      <c r="C273" t="s">
        <v>813</v>
      </c>
      <c r="D273">
        <v>2</v>
      </c>
      <c r="E273">
        <v>1</v>
      </c>
      <c r="F273">
        <v>1</v>
      </c>
      <c r="G273" t="s">
        <v>447</v>
      </c>
      <c r="H273" t="s">
        <v>814</v>
      </c>
      <c r="I273" t="s">
        <v>1714</v>
      </c>
      <c r="J273" t="s">
        <v>2017</v>
      </c>
      <c r="K273">
        <v>5029</v>
      </c>
      <c r="M273" t="str">
        <f>VLOOKUP(C273,Lcode_mapping!D:D,1,FALSE)</f>
        <v>FEED.COR</v>
      </c>
    </row>
    <row r="274" spans="1:13" x14ac:dyDescent="0.25">
      <c r="A274">
        <v>66</v>
      </c>
      <c r="B274">
        <v>2</v>
      </c>
      <c r="C274" t="s">
        <v>819</v>
      </c>
      <c r="D274">
        <v>2</v>
      </c>
      <c r="E274">
        <v>2</v>
      </c>
      <c r="F274">
        <v>1</v>
      </c>
      <c r="G274" t="s">
        <v>447</v>
      </c>
      <c r="H274" t="s">
        <v>820</v>
      </c>
      <c r="I274" t="s">
        <v>1714</v>
      </c>
      <c r="J274" t="s">
        <v>2017</v>
      </c>
      <c r="K274">
        <v>5029</v>
      </c>
      <c r="M274" t="str">
        <f>VLOOKUP(C274,Lcode_mapping!D:D,1,FALSE)</f>
        <v>PTDXYPAR</v>
      </c>
    </row>
    <row r="275" spans="1:13" x14ac:dyDescent="0.25">
      <c r="A275">
        <v>67</v>
      </c>
      <c r="B275">
        <v>2</v>
      </c>
      <c r="C275" t="s">
        <v>821</v>
      </c>
      <c r="D275">
        <v>2</v>
      </c>
      <c r="E275">
        <v>1</v>
      </c>
      <c r="F275">
        <v>1</v>
      </c>
      <c r="G275" t="s">
        <v>447</v>
      </c>
      <c r="H275" t="s">
        <v>822</v>
      </c>
      <c r="I275" t="s">
        <v>1714</v>
      </c>
      <c r="J275" t="s">
        <v>2017</v>
      </c>
      <c r="K275">
        <v>5029</v>
      </c>
      <c r="M275" t="str">
        <f>VLOOKUP(C275,Lcode_mapping!D:D,1,FALSE)</f>
        <v>PTOLDCON</v>
      </c>
    </row>
    <row r="276" spans="1:13" x14ac:dyDescent="0.25">
      <c r="A276">
        <v>68</v>
      </c>
      <c r="B276">
        <v>2</v>
      </c>
      <c r="C276" t="s">
        <v>825</v>
      </c>
      <c r="D276">
        <v>2</v>
      </c>
      <c r="E276">
        <v>1</v>
      </c>
      <c r="F276">
        <v>1</v>
      </c>
      <c r="G276" t="s">
        <v>447</v>
      </c>
      <c r="H276" t="s">
        <v>826</v>
      </c>
      <c r="I276" t="s">
        <v>1714</v>
      </c>
      <c r="J276" t="s">
        <v>2017</v>
      </c>
      <c r="K276">
        <v>5029</v>
      </c>
      <c r="M276" t="str">
        <f>VLOOKUP(C276,Lcode_mapping!D:D,1,FALSE)</f>
        <v>WAHRCONT</v>
      </c>
    </row>
    <row r="277" spans="1:13" x14ac:dyDescent="0.25">
      <c r="A277">
        <v>69</v>
      </c>
      <c r="B277">
        <v>2</v>
      </c>
      <c r="C277" t="s">
        <v>870</v>
      </c>
      <c r="D277">
        <v>2</v>
      </c>
      <c r="E277">
        <v>1</v>
      </c>
      <c r="F277">
        <v>1</v>
      </c>
      <c r="G277" t="s">
        <v>447</v>
      </c>
      <c r="H277" t="s">
        <v>871</v>
      </c>
      <c r="I277" t="s">
        <v>1714</v>
      </c>
      <c r="J277" t="s">
        <v>2017</v>
      </c>
      <c r="K277">
        <v>5029</v>
      </c>
      <c r="M277" t="str">
        <f>VLOOKUP(C277,Lcode_mapping!D:D,1,FALSE)</f>
        <v>SUN2CONT</v>
      </c>
    </row>
    <row r="278" spans="1:13" x14ac:dyDescent="0.25">
      <c r="A278">
        <v>70</v>
      </c>
      <c r="B278">
        <v>2</v>
      </c>
      <c r="C278" t="s">
        <v>872</v>
      </c>
      <c r="D278">
        <v>2</v>
      </c>
      <c r="E278">
        <v>1</v>
      </c>
      <c r="F278">
        <v>1</v>
      </c>
      <c r="G278" t="s">
        <v>447</v>
      </c>
      <c r="H278" t="s">
        <v>873</v>
      </c>
      <c r="I278" t="s">
        <v>1714</v>
      </c>
      <c r="J278" t="s">
        <v>2017</v>
      </c>
      <c r="K278">
        <v>5029</v>
      </c>
      <c r="M278" t="str">
        <f>VLOOKUP(C278,Lcode_mapping!D:D,1,FALSE)</f>
        <v>BENDPART</v>
      </c>
    </row>
    <row r="279" spans="1:13" x14ac:dyDescent="0.25">
      <c r="A279">
        <v>71</v>
      </c>
      <c r="B279">
        <v>2</v>
      </c>
      <c r="C279" t="s">
        <v>876</v>
      </c>
      <c r="D279">
        <v>2</v>
      </c>
      <c r="E279">
        <v>1</v>
      </c>
      <c r="F279">
        <v>1</v>
      </c>
      <c r="G279" t="s">
        <v>447</v>
      </c>
      <c r="H279" t="s">
        <v>877</v>
      </c>
      <c r="I279" t="s">
        <v>1714</v>
      </c>
      <c r="J279" t="s">
        <v>2017</v>
      </c>
      <c r="K279">
        <v>5029</v>
      </c>
      <c r="M279" t="str">
        <f>VLOOKUP(C279,Lcode_mapping!D:D,1,FALSE)</f>
        <v>PLX1PSEC</v>
      </c>
    </row>
    <row r="280" spans="1:13" x14ac:dyDescent="0.25">
      <c r="A280">
        <v>72</v>
      </c>
      <c r="B280">
        <v>2</v>
      </c>
      <c r="C280" t="s">
        <v>924</v>
      </c>
      <c r="D280">
        <v>2</v>
      </c>
      <c r="E280">
        <v>1</v>
      </c>
      <c r="F280">
        <v>1</v>
      </c>
      <c r="G280" t="s">
        <v>447</v>
      </c>
      <c r="H280" t="s">
        <v>925</v>
      </c>
      <c r="I280" t="s">
        <v>1714</v>
      </c>
      <c r="J280" t="s">
        <v>2017</v>
      </c>
      <c r="K280">
        <v>5029</v>
      </c>
      <c r="M280" t="str">
        <f>VLOOKUP(C280,Lcode_mapping!D:D,1,FALSE)</f>
        <v>TILTRMVR</v>
      </c>
    </row>
    <row r="281" spans="1:13" x14ac:dyDescent="0.25">
      <c r="A281">
        <v>73</v>
      </c>
      <c r="B281">
        <v>2</v>
      </c>
      <c r="C281" t="s">
        <v>926</v>
      </c>
      <c r="D281">
        <v>2</v>
      </c>
      <c r="E281">
        <v>2</v>
      </c>
      <c r="F281">
        <v>1</v>
      </c>
      <c r="G281" t="s">
        <v>447</v>
      </c>
      <c r="H281" t="s">
        <v>927</v>
      </c>
      <c r="I281" t="s">
        <v>1714</v>
      </c>
      <c r="J281" t="s">
        <v>2017</v>
      </c>
      <c r="K281">
        <v>5029</v>
      </c>
      <c r="M281" t="str">
        <f>VLOOKUP(C281,Lcode_mapping!D:D,1,FALSE)</f>
        <v>NUT2000A</v>
      </c>
    </row>
    <row r="282" spans="1:13" x14ac:dyDescent="0.25">
      <c r="A282">
        <v>74</v>
      </c>
      <c r="B282">
        <v>2</v>
      </c>
      <c r="C282" t="s">
        <v>928</v>
      </c>
      <c r="D282">
        <v>3</v>
      </c>
      <c r="E282">
        <v>2</v>
      </c>
      <c r="F282">
        <v>1</v>
      </c>
      <c r="G282" t="s">
        <v>447</v>
      </c>
      <c r="H282" t="s">
        <v>929</v>
      </c>
      <c r="I282" t="s">
        <v>1714</v>
      </c>
      <c r="J282" t="s">
        <v>2017</v>
      </c>
      <c r="K282">
        <v>5029</v>
      </c>
      <c r="M282" t="str">
        <f>VLOOKUP(C282,Lcode_mapping!D:D,1,FALSE)</f>
        <v>NUT2KXYS</v>
      </c>
    </row>
    <row r="283" spans="1:13" x14ac:dyDescent="0.25">
      <c r="A283">
        <v>75</v>
      </c>
      <c r="B283">
        <v>2</v>
      </c>
      <c r="C283" t="s">
        <v>930</v>
      </c>
      <c r="D283">
        <v>2</v>
      </c>
      <c r="E283">
        <v>2</v>
      </c>
      <c r="F283">
        <v>1</v>
      </c>
      <c r="G283" t="s">
        <v>447</v>
      </c>
      <c r="H283" t="s">
        <v>931</v>
      </c>
      <c r="I283" t="s">
        <v>1714</v>
      </c>
      <c r="J283" t="s">
        <v>2017</v>
      </c>
      <c r="K283">
        <v>5029</v>
      </c>
      <c r="M283" t="str">
        <f>VLOOKUP(C283,Lcode_mapping!D:D,1,FALSE)</f>
        <v>NUT2KXYP</v>
      </c>
    </row>
    <row r="284" spans="1:13" x14ac:dyDescent="0.25">
      <c r="A284">
        <v>76</v>
      </c>
      <c r="B284">
        <v>2</v>
      </c>
      <c r="C284" t="s">
        <v>932</v>
      </c>
      <c r="D284">
        <v>2</v>
      </c>
      <c r="E284">
        <v>2</v>
      </c>
      <c r="F284">
        <v>1</v>
      </c>
      <c r="G284" t="s">
        <v>447</v>
      </c>
      <c r="H284" t="s">
        <v>933</v>
      </c>
      <c r="I284" t="s">
        <v>1714</v>
      </c>
      <c r="J284" t="s">
        <v>2017</v>
      </c>
      <c r="K284">
        <v>5029</v>
      </c>
      <c r="M284" t="str">
        <f>VLOOKUP(C284,Lcode_mapping!D:D,1,FALSE)</f>
        <v>NUT2000P</v>
      </c>
    </row>
    <row r="285" spans="1:13" x14ac:dyDescent="0.25">
      <c r="A285">
        <v>77</v>
      </c>
      <c r="B285">
        <v>2</v>
      </c>
      <c r="C285" t="s">
        <v>934</v>
      </c>
      <c r="D285">
        <v>2</v>
      </c>
      <c r="E285">
        <v>1</v>
      </c>
      <c r="F285">
        <v>1</v>
      </c>
      <c r="G285" t="s">
        <v>447</v>
      </c>
      <c r="H285" t="s">
        <v>935</v>
      </c>
      <c r="I285" t="s">
        <v>1714</v>
      </c>
      <c r="J285" t="s">
        <v>2017</v>
      </c>
      <c r="K285">
        <v>5029</v>
      </c>
      <c r="M285" t="str">
        <f>VLOOKUP(C285,Lcode_mapping!D:D,1,FALSE)</f>
        <v>UT1ORTHO</v>
      </c>
    </row>
    <row r="286" spans="1:13" x14ac:dyDescent="0.25">
      <c r="A286">
        <v>78</v>
      </c>
      <c r="B286">
        <v>2</v>
      </c>
      <c r="C286" t="s">
        <v>936</v>
      </c>
      <c r="D286">
        <v>2</v>
      </c>
      <c r="E286">
        <v>1</v>
      </c>
      <c r="F286">
        <v>1</v>
      </c>
      <c r="G286" t="s">
        <v>447</v>
      </c>
      <c r="H286" t="s">
        <v>937</v>
      </c>
      <c r="I286" t="s">
        <v>1714</v>
      </c>
      <c r="J286" t="s">
        <v>2017</v>
      </c>
      <c r="K286">
        <v>5029</v>
      </c>
      <c r="M286" t="str">
        <f>VLOOKUP(C286,Lcode_mapping!D:D,1,FALSE)</f>
        <v>WOBNUTAT</v>
      </c>
    </row>
    <row r="287" spans="1:13" x14ac:dyDescent="0.25">
      <c r="A287">
        <v>79</v>
      </c>
      <c r="B287">
        <v>2</v>
      </c>
      <c r="C287" t="s">
        <v>938</v>
      </c>
      <c r="D287">
        <v>2</v>
      </c>
      <c r="E287">
        <v>1</v>
      </c>
      <c r="F287">
        <v>1</v>
      </c>
      <c r="G287" t="s">
        <v>447</v>
      </c>
      <c r="H287" t="s">
        <v>939</v>
      </c>
      <c r="I287" t="s">
        <v>1714</v>
      </c>
      <c r="J287" t="s">
        <v>2017</v>
      </c>
      <c r="K287">
        <v>5029</v>
      </c>
      <c r="M287" t="str">
        <f>VLOOKUP(C287,Lcode_mapping!D:D,1,FALSE)</f>
        <v>WOBORTHO</v>
      </c>
    </row>
    <row r="288" spans="1:13" x14ac:dyDescent="0.25">
      <c r="A288">
        <v>80</v>
      </c>
      <c r="B288">
        <v>2</v>
      </c>
      <c r="C288" t="s">
        <v>940</v>
      </c>
      <c r="D288">
        <v>3</v>
      </c>
      <c r="E288">
        <v>3</v>
      </c>
      <c r="F288">
        <v>3</v>
      </c>
      <c r="G288" t="s">
        <v>447</v>
      </c>
      <c r="H288" t="s">
        <v>941</v>
      </c>
      <c r="I288" t="s">
        <v>1714</v>
      </c>
      <c r="J288" t="s">
        <v>2017</v>
      </c>
      <c r="K288">
        <v>5029</v>
      </c>
      <c r="M288" t="str">
        <f>VLOOKUP(C288,Lcode_mapping!D:D,1,FALSE)</f>
        <v>CF2J2K</v>
      </c>
    </row>
    <row r="289" spans="1:13" x14ac:dyDescent="0.25">
      <c r="A289">
        <v>81</v>
      </c>
      <c r="B289">
        <v>2</v>
      </c>
      <c r="C289" t="s">
        <v>888</v>
      </c>
      <c r="D289">
        <v>1</v>
      </c>
      <c r="E289">
        <v>1</v>
      </c>
      <c r="F289">
        <v>1</v>
      </c>
      <c r="G289" t="s">
        <v>447</v>
      </c>
      <c r="H289" t="s">
        <v>889</v>
      </c>
      <c r="I289" t="s">
        <v>1714</v>
      </c>
      <c r="J289" t="s">
        <v>2017</v>
      </c>
      <c r="K289">
        <v>2205</v>
      </c>
      <c r="M289" t="str">
        <f>VLOOKUP(C289,Lcode_mapping!D:D,1,FALSE)</f>
        <v>GRIONFRQ</v>
      </c>
    </row>
    <row r="290" spans="1:13" x14ac:dyDescent="0.25">
      <c r="A290">
        <v>82</v>
      </c>
      <c r="B290">
        <v>2</v>
      </c>
      <c r="C290" t="s">
        <v>890</v>
      </c>
      <c r="D290">
        <v>1</v>
      </c>
      <c r="E290">
        <v>1</v>
      </c>
      <c r="F290">
        <v>1</v>
      </c>
      <c r="G290" t="s">
        <v>447</v>
      </c>
      <c r="H290" t="s">
        <v>891</v>
      </c>
      <c r="I290" t="s">
        <v>1714</v>
      </c>
      <c r="J290" t="s">
        <v>2017</v>
      </c>
      <c r="K290">
        <v>2205</v>
      </c>
      <c r="M290" t="str">
        <f>VLOOKUP(C290,Lcode_mapping!D:D,1,FALSE)</f>
        <v>PHIONFRQ</v>
      </c>
    </row>
    <row r="291" spans="1:13" x14ac:dyDescent="0.25">
      <c r="A291">
        <v>83</v>
      </c>
      <c r="B291">
        <v>2</v>
      </c>
      <c r="C291" t="s">
        <v>896</v>
      </c>
      <c r="D291">
        <v>3</v>
      </c>
      <c r="E291">
        <v>1</v>
      </c>
      <c r="F291">
        <v>1</v>
      </c>
      <c r="G291" t="s">
        <v>447</v>
      </c>
      <c r="H291" t="s">
        <v>897</v>
      </c>
      <c r="I291" t="s">
        <v>1714</v>
      </c>
      <c r="J291" t="s">
        <v>2017</v>
      </c>
      <c r="K291">
        <v>3180</v>
      </c>
      <c r="M291" t="str">
        <f>VLOOKUP(C291,Lcode_mapping!D:D,1,FALSE)</f>
        <v>EFF FREQ</v>
      </c>
    </row>
    <row r="292" spans="1:13" x14ac:dyDescent="0.25">
      <c r="A292">
        <v>84</v>
      </c>
      <c r="B292">
        <v>2</v>
      </c>
      <c r="C292" t="s">
        <v>898</v>
      </c>
      <c r="D292">
        <v>1</v>
      </c>
      <c r="E292">
        <v>1</v>
      </c>
      <c r="F292">
        <v>1</v>
      </c>
      <c r="G292" t="s">
        <v>447</v>
      </c>
      <c r="H292" t="s">
        <v>899</v>
      </c>
      <c r="I292" t="s">
        <v>1714</v>
      </c>
      <c r="J292" t="s">
        <v>2017</v>
      </c>
      <c r="K292">
        <v>3095</v>
      </c>
      <c r="M292" t="str">
        <f>VLOOKUP(C292,Lcode_mapping!D:D,1,FALSE)</f>
        <v>RTOBS XS</v>
      </c>
    </row>
    <row r="293" spans="1:13" x14ac:dyDescent="0.25">
      <c r="A293">
        <v>85</v>
      </c>
      <c r="B293">
        <v>2</v>
      </c>
      <c r="C293" t="s">
        <v>900</v>
      </c>
      <c r="D293">
        <v>1</v>
      </c>
      <c r="E293">
        <v>1</v>
      </c>
      <c r="F293">
        <v>1</v>
      </c>
      <c r="G293" t="s">
        <v>447</v>
      </c>
      <c r="H293" t="s">
        <v>901</v>
      </c>
      <c r="I293" t="s">
        <v>1714</v>
      </c>
      <c r="J293" t="s">
        <v>2017</v>
      </c>
      <c r="K293">
        <v>3095</v>
      </c>
      <c r="M293" t="str">
        <f>VLOOKUP(C293,Lcode_mapping!D:D,1,FALSE)</f>
        <v>RTERR XS</v>
      </c>
    </row>
    <row r="294" spans="1:13" x14ac:dyDescent="0.25">
      <c r="A294">
        <v>86</v>
      </c>
      <c r="B294">
        <v>2</v>
      </c>
      <c r="C294" t="s">
        <v>902</v>
      </c>
      <c r="D294">
        <v>1</v>
      </c>
      <c r="E294">
        <v>1</v>
      </c>
      <c r="F294">
        <v>1</v>
      </c>
      <c r="G294" t="s">
        <v>447</v>
      </c>
      <c r="H294" t="s">
        <v>903</v>
      </c>
      <c r="I294" t="s">
        <v>1714</v>
      </c>
      <c r="J294" t="s">
        <v>2017</v>
      </c>
      <c r="K294">
        <v>3095</v>
      </c>
      <c r="M294" t="str">
        <f>VLOOKUP(C294,Lcode_mapping!D:D,1,FALSE)</f>
        <v>DLOBS XS</v>
      </c>
    </row>
    <row r="295" spans="1:13" x14ac:dyDescent="0.25">
      <c r="A295">
        <v>87</v>
      </c>
      <c r="B295">
        <v>2</v>
      </c>
      <c r="C295" t="s">
        <v>904</v>
      </c>
      <c r="D295">
        <v>1</v>
      </c>
      <c r="E295">
        <v>1</v>
      </c>
      <c r="F295">
        <v>1</v>
      </c>
      <c r="G295" t="s">
        <v>447</v>
      </c>
      <c r="H295" t="s">
        <v>905</v>
      </c>
      <c r="I295" t="s">
        <v>1714</v>
      </c>
      <c r="J295" t="s">
        <v>2017</v>
      </c>
      <c r="K295">
        <v>3095</v>
      </c>
      <c r="M295" t="str">
        <f>VLOOKUP(C295,Lcode_mapping!D:D,1,FALSE)</f>
        <v>DLERR XS</v>
      </c>
    </row>
    <row r="296" spans="1:13" x14ac:dyDescent="0.25">
      <c r="A296">
        <v>88</v>
      </c>
      <c r="B296">
        <v>2</v>
      </c>
      <c r="C296" t="s">
        <v>906</v>
      </c>
      <c r="D296">
        <v>1</v>
      </c>
      <c r="E296">
        <v>1</v>
      </c>
      <c r="F296">
        <v>1</v>
      </c>
      <c r="G296" t="s">
        <v>447</v>
      </c>
      <c r="H296" t="s">
        <v>907</v>
      </c>
      <c r="I296" t="s">
        <v>1714</v>
      </c>
      <c r="J296" t="s">
        <v>2017</v>
      </c>
      <c r="K296">
        <v>3095</v>
      </c>
      <c r="M296" t="str">
        <f>VLOOKUP(C296,Lcode_mapping!D:D,1,FALSE)</f>
        <v>DPHAS XS</v>
      </c>
    </row>
    <row r="297" spans="1:13" x14ac:dyDescent="0.25">
      <c r="A297">
        <v>89</v>
      </c>
      <c r="B297">
        <v>2</v>
      </c>
      <c r="C297" t="s">
        <v>908</v>
      </c>
      <c r="D297">
        <v>1</v>
      </c>
      <c r="E297">
        <v>1</v>
      </c>
      <c r="F297">
        <v>1</v>
      </c>
      <c r="G297" t="s">
        <v>447</v>
      </c>
      <c r="H297" t="s">
        <v>909</v>
      </c>
      <c r="I297" t="s">
        <v>1714</v>
      </c>
      <c r="J297" t="s">
        <v>2017</v>
      </c>
      <c r="K297">
        <v>3095</v>
      </c>
      <c r="M297" t="str">
        <f>VLOOKUP(C297,Lcode_mapping!D:D,1,FALSE)</f>
        <v>DPHER XS</v>
      </c>
    </row>
    <row r="298" spans="1:13" x14ac:dyDescent="0.25">
      <c r="A298">
        <v>90</v>
      </c>
      <c r="B298">
        <v>2</v>
      </c>
      <c r="C298" t="s">
        <v>958</v>
      </c>
      <c r="D298">
        <v>5</v>
      </c>
      <c r="E298">
        <v>1</v>
      </c>
      <c r="F298">
        <v>1</v>
      </c>
      <c r="G298" t="s">
        <v>544</v>
      </c>
      <c r="H298" t="s">
        <v>959</v>
      </c>
      <c r="I298" t="s">
        <v>1714</v>
      </c>
      <c r="J298" t="s">
        <v>2017</v>
      </c>
      <c r="K298">
        <v>5029</v>
      </c>
      <c r="M298" t="str">
        <f>VLOOKUP(C298,Lcode_mapping!D:D,1,FALSE)</f>
        <v>UTC TAG</v>
      </c>
    </row>
    <row r="299" spans="1:13" x14ac:dyDescent="0.25">
      <c r="A299">
        <v>91</v>
      </c>
      <c r="B299">
        <v>2</v>
      </c>
      <c r="C299" t="s">
        <v>394</v>
      </c>
      <c r="D299">
        <v>4</v>
      </c>
      <c r="E299">
        <v>1</v>
      </c>
      <c r="F299">
        <v>1</v>
      </c>
      <c r="G299" t="s">
        <v>544</v>
      </c>
      <c r="H299" t="s">
        <v>1789</v>
      </c>
      <c r="I299" t="s">
        <v>1714</v>
      </c>
      <c r="J299" t="s">
        <v>1750</v>
      </c>
      <c r="K299">
        <v>1858</v>
      </c>
      <c r="M299" t="str">
        <f>VLOOKUP(C299,Lcode_mapping!D:D,1,FALSE)</f>
        <v>ARCHIVE</v>
      </c>
    </row>
    <row r="300" spans="1:13" x14ac:dyDescent="0.25">
      <c r="A300">
        <v>92</v>
      </c>
      <c r="B300">
        <v>2</v>
      </c>
      <c r="C300" t="s">
        <v>1234</v>
      </c>
      <c r="D300">
        <v>3</v>
      </c>
      <c r="E300">
        <v>1</v>
      </c>
      <c r="F300">
        <v>1</v>
      </c>
      <c r="G300" t="s">
        <v>544</v>
      </c>
      <c r="H300" t="s">
        <v>1422</v>
      </c>
      <c r="I300" t="s">
        <v>1714</v>
      </c>
      <c r="J300" t="s">
        <v>2018</v>
      </c>
      <c r="K300">
        <v>3378</v>
      </c>
      <c r="M300" t="str">
        <f>VLOOKUP(C300,Lcode_mapping!D:D,1,FALSE)</f>
        <v>RECSETUP</v>
      </c>
    </row>
    <row r="301" spans="1:13" x14ac:dyDescent="0.25">
      <c r="A301">
        <v>93</v>
      </c>
      <c r="B301">
        <v>2</v>
      </c>
      <c r="C301" t="s">
        <v>942</v>
      </c>
      <c r="D301">
        <v>1</v>
      </c>
      <c r="E301">
        <v>1</v>
      </c>
      <c r="F301">
        <v>1</v>
      </c>
      <c r="G301" t="s">
        <v>544</v>
      </c>
      <c r="H301" t="s">
        <v>943</v>
      </c>
      <c r="I301" t="s">
        <v>1714</v>
      </c>
      <c r="J301" t="s">
        <v>2017</v>
      </c>
      <c r="K301">
        <v>5029</v>
      </c>
      <c r="M301" t="str">
        <f>VLOOKUP(C301,Lcode_mapping!D:D,1,FALSE)</f>
        <v>#CHANELS</v>
      </c>
    </row>
    <row r="302" spans="1:13" x14ac:dyDescent="0.25">
      <c r="A302">
        <v>94</v>
      </c>
      <c r="B302">
        <v>2</v>
      </c>
      <c r="C302" t="s">
        <v>950</v>
      </c>
      <c r="D302">
        <v>2</v>
      </c>
      <c r="E302">
        <v>5</v>
      </c>
      <c r="F302">
        <v>1</v>
      </c>
      <c r="G302" t="s">
        <v>544</v>
      </c>
      <c r="H302" t="s">
        <v>951</v>
      </c>
      <c r="I302" t="s">
        <v>1714</v>
      </c>
      <c r="J302" t="s">
        <v>2017</v>
      </c>
      <c r="K302">
        <v>5027</v>
      </c>
      <c r="M302" t="str">
        <f>VLOOKUP(C302,Lcode_mapping!D:D,1,FALSE)</f>
        <v>NO.OF AP</v>
      </c>
    </row>
    <row r="303" spans="1:13" x14ac:dyDescent="0.25">
      <c r="A303">
        <v>95</v>
      </c>
      <c r="B303">
        <v>2</v>
      </c>
      <c r="C303" t="s">
        <v>948</v>
      </c>
      <c r="D303">
        <v>1</v>
      </c>
      <c r="E303">
        <v>1</v>
      </c>
      <c r="F303">
        <v>1</v>
      </c>
      <c r="G303" t="s">
        <v>544</v>
      </c>
      <c r="H303" t="s">
        <v>949</v>
      </c>
      <c r="I303" t="s">
        <v>1714</v>
      </c>
      <c r="J303" t="s">
        <v>2017</v>
      </c>
      <c r="K303">
        <v>5029</v>
      </c>
      <c r="M303" t="str">
        <f>VLOOKUP(C303,Lcode_mapping!D:D,1,FALSE)</f>
        <v>DELUFLAG</v>
      </c>
    </row>
    <row r="304" spans="1:13" x14ac:dyDescent="0.25">
      <c r="A304">
        <v>96</v>
      </c>
      <c r="B304">
        <v>2</v>
      </c>
      <c r="C304" t="s">
        <v>956</v>
      </c>
      <c r="D304">
        <v>1</v>
      </c>
      <c r="E304">
        <v>1</v>
      </c>
      <c r="F304">
        <v>1</v>
      </c>
      <c r="G304" t="s">
        <v>544</v>
      </c>
      <c r="H304" t="s">
        <v>957</v>
      </c>
      <c r="I304" t="s">
        <v>1714</v>
      </c>
      <c r="J304" t="s">
        <v>2017</v>
      </c>
      <c r="K304">
        <v>4995</v>
      </c>
      <c r="M304" t="str">
        <f>VLOOKUP(C304,Lcode_mapping!D:D,1,FALSE)</f>
        <v>RATUFLAG</v>
      </c>
    </row>
    <row r="305" spans="1:13" x14ac:dyDescent="0.25">
      <c r="A305">
        <v>97</v>
      </c>
      <c r="B305">
        <v>2</v>
      </c>
      <c r="C305" t="s">
        <v>1363</v>
      </c>
      <c r="D305">
        <v>1</v>
      </c>
      <c r="E305">
        <v>1</v>
      </c>
      <c r="F305">
        <v>1</v>
      </c>
      <c r="G305" t="s">
        <v>544</v>
      </c>
      <c r="H305" t="s">
        <v>1790</v>
      </c>
      <c r="I305" t="s">
        <v>1714</v>
      </c>
      <c r="J305" t="s">
        <v>1715</v>
      </c>
      <c r="K305">
        <v>3269</v>
      </c>
      <c r="M305" t="str">
        <f>VLOOKUP(C305,Lcode_mapping!D:D,1,FALSE)</f>
        <v>DELTFLAG</v>
      </c>
    </row>
    <row r="306" spans="1:13" x14ac:dyDescent="0.25">
      <c r="A306">
        <v>98</v>
      </c>
      <c r="B306">
        <v>2</v>
      </c>
      <c r="C306" t="s">
        <v>1415</v>
      </c>
      <c r="D306">
        <v>1</v>
      </c>
      <c r="E306">
        <v>1</v>
      </c>
      <c r="F306">
        <v>1</v>
      </c>
      <c r="G306" t="s">
        <v>544</v>
      </c>
      <c r="H306" t="s">
        <v>1416</v>
      </c>
      <c r="I306" t="s">
        <v>1714</v>
      </c>
      <c r="J306" t="s">
        <v>2018</v>
      </c>
      <c r="K306">
        <v>822</v>
      </c>
      <c r="M306" t="str">
        <f>VLOOKUP(C306,Lcode_mapping!D:D,1,FALSE)</f>
        <v># DELAYS</v>
      </c>
    </row>
    <row r="307" spans="1:13" x14ac:dyDescent="0.25">
      <c r="A307">
        <v>99</v>
      </c>
      <c r="B307">
        <v>2</v>
      </c>
      <c r="C307" t="s">
        <v>1417</v>
      </c>
      <c r="D307">
        <v>1</v>
      </c>
      <c r="E307">
        <v>1</v>
      </c>
      <c r="F307">
        <v>1</v>
      </c>
      <c r="G307" t="s">
        <v>544</v>
      </c>
      <c r="H307" t="s">
        <v>1418</v>
      </c>
      <c r="I307" t="s">
        <v>1714</v>
      </c>
      <c r="J307" t="s">
        <v>2018</v>
      </c>
      <c r="K307">
        <v>822</v>
      </c>
      <c r="M307" t="str">
        <f>VLOOKUP(C307,Lcode_mapping!D:D,1,FALSE)</f>
        <v># RATES</v>
      </c>
    </row>
    <row r="308" spans="1:13" x14ac:dyDescent="0.25">
      <c r="A308">
        <v>100</v>
      </c>
      <c r="B308">
        <v>2</v>
      </c>
      <c r="C308" t="s">
        <v>964</v>
      </c>
      <c r="D308">
        <v>1</v>
      </c>
      <c r="E308">
        <v>1</v>
      </c>
      <c r="F308">
        <v>1</v>
      </c>
      <c r="G308" t="s">
        <v>544</v>
      </c>
      <c r="H308" t="s">
        <v>965</v>
      </c>
      <c r="I308" t="s">
        <v>1714</v>
      </c>
      <c r="J308" t="s">
        <v>2017</v>
      </c>
      <c r="K308">
        <v>5029</v>
      </c>
      <c r="M308" t="str">
        <f>VLOOKUP(C308,Lcode_mapping!D:D,1,FALSE)</f>
        <v># AMBIG</v>
      </c>
    </row>
    <row r="309" spans="1:13" x14ac:dyDescent="0.25">
      <c r="A309">
        <v>101</v>
      </c>
      <c r="B309">
        <v>2</v>
      </c>
      <c r="C309" t="s">
        <v>946</v>
      </c>
      <c r="D309">
        <v>3</v>
      </c>
      <c r="E309">
        <v>2</v>
      </c>
      <c r="F309">
        <v>5</v>
      </c>
      <c r="G309" t="s">
        <v>544</v>
      </c>
      <c r="H309" t="s">
        <v>947</v>
      </c>
      <c r="I309" t="s">
        <v>1714</v>
      </c>
      <c r="J309" t="s">
        <v>2017</v>
      </c>
      <c r="K309">
        <v>4979</v>
      </c>
      <c r="M309" t="str">
        <f>VLOOKUP(C309,Lcode_mapping!D:D,1,FALSE)</f>
        <v>CALBYFRQ</v>
      </c>
    </row>
    <row r="310" spans="1:13" x14ac:dyDescent="0.25">
      <c r="A310">
        <v>102</v>
      </c>
      <c r="B310">
        <v>2</v>
      </c>
      <c r="C310" t="s">
        <v>966</v>
      </c>
      <c r="D310">
        <v>1</v>
      </c>
      <c r="E310">
        <v>1</v>
      </c>
      <c r="F310">
        <v>1</v>
      </c>
      <c r="G310" t="s">
        <v>544</v>
      </c>
      <c r="H310" t="s">
        <v>967</v>
      </c>
      <c r="I310" t="s">
        <v>1714</v>
      </c>
      <c r="J310" t="s">
        <v>2017</v>
      </c>
      <c r="K310">
        <v>5028</v>
      </c>
      <c r="M310" t="str">
        <f>VLOOKUP(C310,Lcode_mapping!D:D,1,FALSE)</f>
        <v>ION CODE</v>
      </c>
    </row>
    <row r="311" spans="1:13" x14ac:dyDescent="0.25">
      <c r="A311">
        <v>103</v>
      </c>
      <c r="B311">
        <v>2</v>
      </c>
      <c r="C311" t="s">
        <v>968</v>
      </c>
      <c r="D311">
        <v>1</v>
      </c>
      <c r="E311">
        <v>1</v>
      </c>
      <c r="F311">
        <v>1</v>
      </c>
      <c r="G311" t="s">
        <v>544</v>
      </c>
      <c r="H311" t="s">
        <v>969</v>
      </c>
      <c r="I311" t="s">
        <v>1714</v>
      </c>
      <c r="J311" t="s">
        <v>2017</v>
      </c>
      <c r="K311">
        <v>5029</v>
      </c>
      <c r="M311" t="str">
        <f>VLOOKUP(C311,Lcode_mapping!D:D,1,FALSE)</f>
        <v>ION_BITS</v>
      </c>
    </row>
    <row r="312" spans="1:13" x14ac:dyDescent="0.25">
      <c r="A312">
        <v>104</v>
      </c>
      <c r="B312">
        <v>2</v>
      </c>
      <c r="C312" t="s">
        <v>972</v>
      </c>
      <c r="D312">
        <v>1</v>
      </c>
      <c r="E312">
        <v>1</v>
      </c>
      <c r="F312">
        <v>1</v>
      </c>
      <c r="G312" t="s">
        <v>544</v>
      </c>
      <c r="H312" t="s">
        <v>973</v>
      </c>
      <c r="I312" t="s">
        <v>1714</v>
      </c>
      <c r="J312" t="s">
        <v>2017</v>
      </c>
      <c r="K312">
        <v>2393</v>
      </c>
      <c r="M312" t="str">
        <f>VLOOKUP(C312,Lcode_mapping!D:D,1,FALSE)</f>
        <v>UACSUP</v>
      </c>
    </row>
    <row r="313" spans="1:13" x14ac:dyDescent="0.25">
      <c r="A313">
        <v>105</v>
      </c>
      <c r="B313">
        <v>2</v>
      </c>
      <c r="C313" t="s">
        <v>984</v>
      </c>
      <c r="D313">
        <v>4</v>
      </c>
      <c r="E313">
        <v>1</v>
      </c>
      <c r="F313">
        <v>1</v>
      </c>
      <c r="G313" t="s">
        <v>589</v>
      </c>
      <c r="H313" t="s">
        <v>985</v>
      </c>
      <c r="I313" t="s">
        <v>1714</v>
      </c>
      <c r="J313" t="s">
        <v>2017</v>
      </c>
      <c r="K313">
        <v>5029</v>
      </c>
      <c r="M313" t="str">
        <f>VLOOKUP(C313,Lcode_mapping!D:D,1,FALSE)</f>
        <v>STAR ID</v>
      </c>
    </row>
    <row r="314" spans="1:13" x14ac:dyDescent="0.25">
      <c r="A314">
        <v>106</v>
      </c>
      <c r="B314">
        <v>2</v>
      </c>
      <c r="C314" t="s">
        <v>974</v>
      </c>
      <c r="D314">
        <v>4</v>
      </c>
      <c r="E314">
        <v>2</v>
      </c>
      <c r="F314">
        <v>1</v>
      </c>
      <c r="G314" t="s">
        <v>589</v>
      </c>
      <c r="H314" t="s">
        <v>975</v>
      </c>
      <c r="I314" t="s">
        <v>1714</v>
      </c>
      <c r="J314" t="s">
        <v>2017</v>
      </c>
      <c r="K314">
        <v>5029</v>
      </c>
      <c r="M314" t="str">
        <f>VLOOKUP(C314,Lcode_mapping!D:D,1,FALSE)</f>
        <v>BASELINE</v>
      </c>
    </row>
    <row r="315" spans="1:13" x14ac:dyDescent="0.25">
      <c r="A315">
        <v>107</v>
      </c>
      <c r="B315">
        <v>2</v>
      </c>
      <c r="C315" t="s">
        <v>1425</v>
      </c>
      <c r="D315">
        <v>3</v>
      </c>
      <c r="E315">
        <v>1</v>
      </c>
      <c r="F315">
        <v>1</v>
      </c>
      <c r="G315" t="s">
        <v>589</v>
      </c>
      <c r="H315" t="s">
        <v>1426</v>
      </c>
      <c r="I315" t="s">
        <v>1714</v>
      </c>
      <c r="J315" t="s">
        <v>2018</v>
      </c>
      <c r="K315">
        <v>3378</v>
      </c>
      <c r="M315" t="str">
        <f>VLOOKUP(C315,Lcode_mapping!D:D,1,FALSE)</f>
        <v>VLB1FILE</v>
      </c>
    </row>
    <row r="316" spans="1:13" x14ac:dyDescent="0.25">
      <c r="A316">
        <v>108</v>
      </c>
      <c r="B316">
        <v>2</v>
      </c>
      <c r="C316" t="s">
        <v>421</v>
      </c>
      <c r="D316">
        <v>79</v>
      </c>
      <c r="E316">
        <v>1</v>
      </c>
      <c r="F316">
        <v>1</v>
      </c>
      <c r="G316" t="s">
        <v>589</v>
      </c>
      <c r="H316" t="s">
        <v>1791</v>
      </c>
      <c r="I316" t="s">
        <v>1714</v>
      </c>
      <c r="J316" t="s">
        <v>2046</v>
      </c>
      <c r="K316">
        <v>3</v>
      </c>
      <c r="M316" t="str">
        <f>VLOOKUP(C316,Lcode_mapping!D:D,1,FALSE)</f>
        <v>COMMENT2</v>
      </c>
    </row>
    <row r="317" spans="1:13" x14ac:dyDescent="0.25">
      <c r="A317">
        <v>109</v>
      </c>
      <c r="B317">
        <v>2</v>
      </c>
      <c r="C317" t="s">
        <v>986</v>
      </c>
      <c r="D317">
        <v>1</v>
      </c>
      <c r="E317">
        <v>1</v>
      </c>
      <c r="F317">
        <v>1</v>
      </c>
      <c r="G317" t="s">
        <v>589</v>
      </c>
      <c r="H317" t="s">
        <v>987</v>
      </c>
      <c r="I317" t="s">
        <v>1714</v>
      </c>
      <c r="J317" t="s">
        <v>2017</v>
      </c>
      <c r="K317">
        <v>3095</v>
      </c>
      <c r="M317" t="str">
        <f>VLOOKUP(C317,Lcode_mapping!D:D,1,FALSE)</f>
        <v>QCODE XS</v>
      </c>
    </row>
    <row r="318" spans="1:13" x14ac:dyDescent="0.25">
      <c r="A318">
        <v>110</v>
      </c>
      <c r="B318">
        <v>2</v>
      </c>
      <c r="C318" t="s">
        <v>1072</v>
      </c>
      <c r="D318">
        <v>1</v>
      </c>
      <c r="E318">
        <v>1</v>
      </c>
      <c r="F318">
        <v>1</v>
      </c>
      <c r="G318" t="s">
        <v>731</v>
      </c>
      <c r="H318" t="s">
        <v>1792</v>
      </c>
      <c r="I318" t="s">
        <v>1714</v>
      </c>
      <c r="J318" t="s">
        <v>2017</v>
      </c>
      <c r="K318">
        <v>747</v>
      </c>
      <c r="M318" t="str">
        <f>VLOOKUP(C318,Lcode_mapping!D:D,1,FALSE)</f>
        <v>AUTO_SUP</v>
      </c>
    </row>
    <row r="319" spans="1:13" x14ac:dyDescent="0.25">
      <c r="A319">
        <v>111</v>
      </c>
      <c r="B319">
        <v>2</v>
      </c>
      <c r="C319" t="s">
        <v>1073</v>
      </c>
      <c r="D319">
        <v>1</v>
      </c>
      <c r="E319">
        <v>1</v>
      </c>
      <c r="F319">
        <v>1</v>
      </c>
      <c r="G319" t="s">
        <v>731</v>
      </c>
      <c r="H319" t="s">
        <v>1793</v>
      </c>
      <c r="I319" t="s">
        <v>1714</v>
      </c>
      <c r="J319" t="s">
        <v>2017</v>
      </c>
      <c r="K319">
        <v>747</v>
      </c>
      <c r="M319" t="str">
        <f>VLOOKUP(C319,Lcode_mapping!D:D,1,FALSE)</f>
        <v>USER_SUP</v>
      </c>
    </row>
    <row r="320" spans="1:13" x14ac:dyDescent="0.25">
      <c r="A320">
        <v>112</v>
      </c>
      <c r="B320">
        <v>2</v>
      </c>
      <c r="C320" t="s">
        <v>1074</v>
      </c>
      <c r="D320">
        <v>1</v>
      </c>
      <c r="E320">
        <v>1</v>
      </c>
      <c r="F320">
        <v>1</v>
      </c>
      <c r="G320" t="s">
        <v>731</v>
      </c>
      <c r="H320" t="s">
        <v>1794</v>
      </c>
      <c r="I320" t="s">
        <v>1714</v>
      </c>
      <c r="J320" t="s">
        <v>2017</v>
      </c>
      <c r="K320">
        <v>747</v>
      </c>
      <c r="M320" t="str">
        <f>VLOOKUP(C320,Lcode_mapping!D:D,1,FALSE)</f>
        <v>USER_REC</v>
      </c>
    </row>
    <row r="321" spans="1:13" x14ac:dyDescent="0.25">
      <c r="A321">
        <v>113</v>
      </c>
      <c r="B321">
        <v>2</v>
      </c>
      <c r="C321" t="s">
        <v>781</v>
      </c>
      <c r="D321">
        <v>6</v>
      </c>
      <c r="E321">
        <v>1</v>
      </c>
      <c r="F321">
        <v>1</v>
      </c>
      <c r="G321" t="s">
        <v>447</v>
      </c>
      <c r="H321" t="s">
        <v>782</v>
      </c>
      <c r="I321" t="s">
        <v>1717</v>
      </c>
      <c r="J321" t="s">
        <v>2017</v>
      </c>
      <c r="K321">
        <v>1780</v>
      </c>
      <c r="M321" t="str">
        <f>VLOOKUP(C321,Lcode_mapping!D:D,1,FALSE)</f>
        <v>SRCHPAR</v>
      </c>
    </row>
    <row r="322" spans="1:13" x14ac:dyDescent="0.25">
      <c r="A322">
        <v>114</v>
      </c>
      <c r="B322">
        <v>2</v>
      </c>
      <c r="C322" t="s">
        <v>1241</v>
      </c>
      <c r="D322">
        <v>6</v>
      </c>
      <c r="E322">
        <v>1</v>
      </c>
      <c r="F322">
        <v>1</v>
      </c>
      <c r="G322" t="s">
        <v>544</v>
      </c>
      <c r="H322" t="s">
        <v>1795</v>
      </c>
      <c r="I322" t="s">
        <v>1717</v>
      </c>
      <c r="J322" t="s">
        <v>2047</v>
      </c>
      <c r="K322">
        <v>44</v>
      </c>
      <c r="M322" t="str">
        <f>VLOOKUP(C322,Lcode_mapping!D:D,1,FALSE)</f>
        <v>VLB2 UTC</v>
      </c>
    </row>
    <row r="323" spans="1:13" x14ac:dyDescent="0.25">
      <c r="A323">
        <v>115</v>
      </c>
      <c r="B323">
        <v>2</v>
      </c>
      <c r="C323" t="s">
        <v>60</v>
      </c>
      <c r="D323">
        <v>2</v>
      </c>
      <c r="E323">
        <v>2</v>
      </c>
      <c r="F323">
        <v>10</v>
      </c>
      <c r="G323" t="s">
        <v>544</v>
      </c>
      <c r="H323" t="s">
        <v>1796</v>
      </c>
      <c r="I323" t="s">
        <v>1717</v>
      </c>
      <c r="J323" t="s">
        <v>2047</v>
      </c>
      <c r="K323">
        <v>44</v>
      </c>
      <c r="M323" t="str">
        <f>VLOOKUP(C323,Lcode_mapping!D:D,1,FALSE)</f>
        <v>RECTRACK</v>
      </c>
    </row>
    <row r="324" spans="1:13" x14ac:dyDescent="0.25">
      <c r="A324">
        <v>116</v>
      </c>
      <c r="B324">
        <v>2</v>
      </c>
      <c r="C324" t="s">
        <v>32</v>
      </c>
      <c r="D324">
        <v>2</v>
      </c>
      <c r="E324">
        <v>10</v>
      </c>
      <c r="F324">
        <v>1</v>
      </c>
      <c r="G324" t="s">
        <v>544</v>
      </c>
      <c r="H324" t="s">
        <v>1797</v>
      </c>
      <c r="I324" t="s">
        <v>1717</v>
      </c>
      <c r="J324" t="s">
        <v>2023</v>
      </c>
      <c r="K324">
        <v>129</v>
      </c>
      <c r="M324" t="str">
        <f>VLOOKUP(C324,Lcode_mapping!D:D,1,FALSE)</f>
        <v>VLB1XTNT</v>
      </c>
    </row>
    <row r="325" spans="1:13" x14ac:dyDescent="0.25">
      <c r="A325">
        <v>117</v>
      </c>
      <c r="B325">
        <v>2</v>
      </c>
      <c r="C325" t="s">
        <v>62</v>
      </c>
      <c r="D325">
        <v>2</v>
      </c>
      <c r="E325">
        <v>10</v>
      </c>
      <c r="F325">
        <v>1</v>
      </c>
      <c r="G325" t="s">
        <v>544</v>
      </c>
      <c r="H325" t="s">
        <v>1798</v>
      </c>
      <c r="I325" t="s">
        <v>1717</v>
      </c>
      <c r="J325" t="s">
        <v>2047</v>
      </c>
      <c r="K325">
        <v>44</v>
      </c>
      <c r="M325" t="str">
        <f>VLOOKUP(C325,Lcode_mapping!D:D,1,FALSE)</f>
        <v>PROC UTC</v>
      </c>
    </row>
    <row r="326" spans="1:13" x14ac:dyDescent="0.25">
      <c r="A326">
        <v>118</v>
      </c>
      <c r="B326">
        <v>2</v>
      </c>
      <c r="C326" t="s">
        <v>1032</v>
      </c>
      <c r="D326">
        <v>2</v>
      </c>
      <c r="E326">
        <v>2</v>
      </c>
      <c r="F326">
        <v>10</v>
      </c>
      <c r="G326" t="s">
        <v>544</v>
      </c>
      <c r="H326" t="s">
        <v>1033</v>
      </c>
      <c r="I326" t="s">
        <v>1717</v>
      </c>
      <c r="J326" t="s">
        <v>2047</v>
      </c>
      <c r="K326">
        <v>44</v>
      </c>
      <c r="M326" t="str">
        <f>VLOOKUP(C326,Lcode_mapping!D:D,1,FALSE)</f>
        <v>ERRORATE</v>
      </c>
    </row>
    <row r="327" spans="1:13" x14ac:dyDescent="0.25">
      <c r="A327">
        <v>119</v>
      </c>
      <c r="B327">
        <v>2</v>
      </c>
      <c r="C327" t="s">
        <v>34</v>
      </c>
      <c r="D327">
        <v>1</v>
      </c>
      <c r="E327">
        <v>1</v>
      </c>
      <c r="F327">
        <v>1</v>
      </c>
      <c r="G327" t="s">
        <v>544</v>
      </c>
      <c r="H327" t="s">
        <v>1799</v>
      </c>
      <c r="I327" t="s">
        <v>1717</v>
      </c>
      <c r="J327" t="s">
        <v>2023</v>
      </c>
      <c r="K327">
        <v>3112</v>
      </c>
      <c r="M327" t="str">
        <f>VLOOKUP(C327,Lcode_mapping!D:D,1,FALSE)</f>
        <v>VLB2XTNT</v>
      </c>
    </row>
    <row r="328" spans="1:13" x14ac:dyDescent="0.25">
      <c r="A328">
        <v>120</v>
      </c>
      <c r="B328">
        <v>2</v>
      </c>
      <c r="C328" t="s">
        <v>54</v>
      </c>
      <c r="D328">
        <v>1</v>
      </c>
      <c r="E328">
        <v>1</v>
      </c>
      <c r="F328">
        <v>1</v>
      </c>
      <c r="G328" t="s">
        <v>544</v>
      </c>
      <c r="H328" t="s">
        <v>1800</v>
      </c>
      <c r="I328" t="s">
        <v>1717</v>
      </c>
      <c r="J328" t="s">
        <v>2048</v>
      </c>
      <c r="K328">
        <v>12</v>
      </c>
      <c r="M328" t="str">
        <f>VLOOKUP(C328,Lcode_mapping!D:D,1,FALSE)</f>
        <v>UNCALFLG</v>
      </c>
    </row>
    <row r="329" spans="1:13" x14ac:dyDescent="0.25">
      <c r="A329">
        <v>121</v>
      </c>
      <c r="B329">
        <v>2</v>
      </c>
      <c r="C329" t="s">
        <v>1060</v>
      </c>
      <c r="D329">
        <v>4</v>
      </c>
      <c r="E329">
        <v>2</v>
      </c>
      <c r="F329">
        <v>1</v>
      </c>
      <c r="G329" t="s">
        <v>589</v>
      </c>
      <c r="H329" t="s">
        <v>1061</v>
      </c>
      <c r="I329" t="s">
        <v>1717</v>
      </c>
      <c r="J329" t="s">
        <v>2047</v>
      </c>
      <c r="K329">
        <v>44</v>
      </c>
      <c r="M329" t="str">
        <f>VLOOKUP(C329,Lcode_mapping!D:D,1,FALSE)</f>
        <v>TAPEID</v>
      </c>
    </row>
    <row r="330" spans="1:13" x14ac:dyDescent="0.25">
      <c r="A330">
        <v>122</v>
      </c>
      <c r="B330">
        <v>2</v>
      </c>
      <c r="C330" t="s">
        <v>64</v>
      </c>
      <c r="D330">
        <v>3</v>
      </c>
      <c r="E330">
        <v>1</v>
      </c>
      <c r="F330">
        <v>1</v>
      </c>
      <c r="G330" t="s">
        <v>589</v>
      </c>
      <c r="H330" t="s">
        <v>1801</v>
      </c>
      <c r="I330" t="s">
        <v>1717</v>
      </c>
      <c r="J330" t="s">
        <v>2047</v>
      </c>
      <c r="K330">
        <v>44</v>
      </c>
      <c r="M330" t="str">
        <f>VLOOKUP(C330,Lcode_mapping!D:D,1,FALSE)</f>
        <v>VLB2PRG</v>
      </c>
    </row>
    <row r="331" spans="1:13" x14ac:dyDescent="0.25">
      <c r="A331">
        <v>123</v>
      </c>
      <c r="B331">
        <v>2</v>
      </c>
      <c r="C331" t="s">
        <v>1235</v>
      </c>
      <c r="D331">
        <v>4</v>
      </c>
      <c r="E331">
        <v>1</v>
      </c>
      <c r="F331">
        <v>1</v>
      </c>
      <c r="G331" t="s">
        <v>589</v>
      </c>
      <c r="H331" t="s">
        <v>1802</v>
      </c>
      <c r="I331" t="s">
        <v>1717</v>
      </c>
      <c r="J331" t="s">
        <v>2047</v>
      </c>
      <c r="K331">
        <v>44</v>
      </c>
      <c r="M331" t="str">
        <f>VLOOKUP(C331,Lcode_mapping!D:D,1,FALSE)</f>
        <v>RUN CODE</v>
      </c>
    </row>
    <row r="332" spans="1:13" x14ac:dyDescent="0.25">
      <c r="A332">
        <v>124</v>
      </c>
      <c r="B332">
        <v>2</v>
      </c>
      <c r="C332" t="s">
        <v>1020</v>
      </c>
      <c r="D332">
        <v>1</v>
      </c>
      <c r="E332">
        <v>1</v>
      </c>
      <c r="F332">
        <v>1</v>
      </c>
      <c r="G332" t="s">
        <v>447</v>
      </c>
      <c r="H332" t="s">
        <v>1803</v>
      </c>
      <c r="I332" t="s">
        <v>2049</v>
      </c>
      <c r="J332" t="s">
        <v>2050</v>
      </c>
      <c r="K332">
        <v>605</v>
      </c>
      <c r="M332" t="str">
        <f>VLOOKUP(C332,Lcode_mapping!D:D,1,FALSE)</f>
        <v>REFCLKER</v>
      </c>
    </row>
    <row r="333" spans="1:13" x14ac:dyDescent="0.25">
      <c r="A333">
        <v>125</v>
      </c>
      <c r="B333">
        <v>2</v>
      </c>
      <c r="C333" t="s">
        <v>1405</v>
      </c>
      <c r="D333">
        <v>1</v>
      </c>
      <c r="E333">
        <v>1</v>
      </c>
      <c r="F333">
        <v>1</v>
      </c>
      <c r="G333" t="s">
        <v>447</v>
      </c>
      <c r="H333" t="s">
        <v>1406</v>
      </c>
      <c r="I333" t="s">
        <v>2049</v>
      </c>
      <c r="J333" t="s">
        <v>2018</v>
      </c>
      <c r="K333">
        <v>820</v>
      </c>
      <c r="M333" t="str">
        <f>VLOOKUP(C333,Lcode_mapping!D:D,1,FALSE)</f>
        <v>APCLOFST</v>
      </c>
    </row>
    <row r="334" spans="1:13" x14ac:dyDescent="0.25">
      <c r="A334">
        <v>126</v>
      </c>
      <c r="B334">
        <v>2</v>
      </c>
      <c r="C334" t="s">
        <v>771</v>
      </c>
      <c r="D334">
        <v>1</v>
      </c>
      <c r="E334">
        <v>1</v>
      </c>
      <c r="F334">
        <v>1</v>
      </c>
      <c r="G334" t="s">
        <v>447</v>
      </c>
      <c r="H334" t="s">
        <v>772</v>
      </c>
      <c r="I334" t="s">
        <v>2049</v>
      </c>
      <c r="J334" t="s">
        <v>2017</v>
      </c>
      <c r="K334">
        <v>5026</v>
      </c>
      <c r="M334" t="str">
        <f>VLOOKUP(C334,Lcode_mapping!D:D,1,FALSE)</f>
        <v>SB DELAY</v>
      </c>
    </row>
    <row r="335" spans="1:13" x14ac:dyDescent="0.25">
      <c r="A335">
        <v>127</v>
      </c>
      <c r="B335">
        <v>2</v>
      </c>
      <c r="C335" t="s">
        <v>779</v>
      </c>
      <c r="D335">
        <v>1</v>
      </c>
      <c r="E335">
        <v>1</v>
      </c>
      <c r="F335">
        <v>1</v>
      </c>
      <c r="G335" t="s">
        <v>447</v>
      </c>
      <c r="H335" t="s">
        <v>780</v>
      </c>
      <c r="I335" t="s">
        <v>2049</v>
      </c>
      <c r="J335" t="s">
        <v>2017</v>
      </c>
      <c r="K335">
        <v>5026</v>
      </c>
      <c r="M335" t="str">
        <f>VLOOKUP(C335,Lcode_mapping!D:D,1,FALSE)</f>
        <v>SNRATIO</v>
      </c>
    </row>
    <row r="336" spans="1:13" x14ac:dyDescent="0.25">
      <c r="A336">
        <v>128</v>
      </c>
      <c r="B336">
        <v>2</v>
      </c>
      <c r="C336" t="s">
        <v>749</v>
      </c>
      <c r="D336">
        <v>1</v>
      </c>
      <c r="E336">
        <v>1</v>
      </c>
      <c r="F336">
        <v>1</v>
      </c>
      <c r="G336" t="s">
        <v>447</v>
      </c>
      <c r="H336" t="s">
        <v>750</v>
      </c>
      <c r="I336" t="s">
        <v>2049</v>
      </c>
      <c r="J336" t="s">
        <v>2017</v>
      </c>
      <c r="K336">
        <v>5026</v>
      </c>
      <c r="M336" t="str">
        <f>VLOOKUP(C336,Lcode_mapping!D:D,1,FALSE)</f>
        <v>GC PHASE</v>
      </c>
    </row>
    <row r="337" spans="1:13" x14ac:dyDescent="0.25">
      <c r="A337">
        <v>129</v>
      </c>
      <c r="B337">
        <v>2</v>
      </c>
      <c r="C337" t="s">
        <v>69</v>
      </c>
      <c r="D337">
        <v>2</v>
      </c>
      <c r="E337">
        <v>2</v>
      </c>
      <c r="F337">
        <v>1</v>
      </c>
      <c r="G337" t="s">
        <v>447</v>
      </c>
      <c r="H337" t="s">
        <v>70</v>
      </c>
      <c r="I337" t="s">
        <v>2049</v>
      </c>
      <c r="J337" t="s">
        <v>2051</v>
      </c>
      <c r="K337">
        <v>10</v>
      </c>
      <c r="M337" t="str">
        <f>VLOOKUP(C337,Lcode_mapping!D:D,1,FALSE)</f>
        <v>WVR.DELY</v>
      </c>
    </row>
    <row r="338" spans="1:13" x14ac:dyDescent="0.25">
      <c r="A338">
        <v>130</v>
      </c>
      <c r="B338">
        <v>2</v>
      </c>
      <c r="C338" t="s">
        <v>978</v>
      </c>
      <c r="D338">
        <v>1</v>
      </c>
      <c r="E338">
        <v>1</v>
      </c>
      <c r="F338">
        <v>1</v>
      </c>
      <c r="G338" t="s">
        <v>589</v>
      </c>
      <c r="H338" t="s">
        <v>979</v>
      </c>
      <c r="I338" t="s">
        <v>2049</v>
      </c>
      <c r="J338" t="s">
        <v>2017</v>
      </c>
      <c r="K338">
        <v>5026</v>
      </c>
      <c r="M338" t="str">
        <f>VLOOKUP(C338,Lcode_mapping!D:D,1,FALSE)</f>
        <v>QUALCODE</v>
      </c>
    </row>
    <row r="339" spans="1:13" x14ac:dyDescent="0.25">
      <c r="A339">
        <v>131</v>
      </c>
      <c r="B339">
        <v>2</v>
      </c>
      <c r="C339" t="s">
        <v>1002</v>
      </c>
      <c r="D339">
        <v>1</v>
      </c>
      <c r="E339">
        <v>1</v>
      </c>
      <c r="F339">
        <v>1</v>
      </c>
      <c r="G339" t="s">
        <v>447</v>
      </c>
      <c r="H339" t="s">
        <v>1003</v>
      </c>
      <c r="I339" t="s">
        <v>2052</v>
      </c>
      <c r="J339" t="s">
        <v>2047</v>
      </c>
      <c r="K339">
        <v>43</v>
      </c>
      <c r="M339" t="str">
        <f>VLOOKUP(C339,Lcode_mapping!D:D,1,FALSE)</f>
        <v>FALSEDET</v>
      </c>
    </row>
    <row r="340" spans="1:13" x14ac:dyDescent="0.25">
      <c r="A340">
        <v>132</v>
      </c>
      <c r="B340">
        <v>2</v>
      </c>
      <c r="C340" t="s">
        <v>57</v>
      </c>
      <c r="D340">
        <v>1</v>
      </c>
      <c r="E340">
        <v>1</v>
      </c>
      <c r="F340">
        <v>1</v>
      </c>
      <c r="G340" t="s">
        <v>544</v>
      </c>
      <c r="H340" t="s">
        <v>1804</v>
      </c>
      <c r="I340" t="s">
        <v>2052</v>
      </c>
      <c r="J340" t="s">
        <v>2047</v>
      </c>
      <c r="K340">
        <v>43</v>
      </c>
      <c r="M340" t="str">
        <f>VLOOKUP(C340,Lcode_mapping!D:D,1,FALSE)</f>
        <v>CORBASNO</v>
      </c>
    </row>
    <row r="341" spans="1:13" x14ac:dyDescent="0.25">
      <c r="A341">
        <v>133</v>
      </c>
      <c r="B341">
        <v>2</v>
      </c>
      <c r="C341" t="s">
        <v>1056</v>
      </c>
      <c r="D341">
        <v>1</v>
      </c>
      <c r="E341">
        <v>1</v>
      </c>
      <c r="F341">
        <v>1</v>
      </c>
      <c r="G341" t="s">
        <v>544</v>
      </c>
      <c r="H341" t="s">
        <v>1805</v>
      </c>
      <c r="I341" t="s">
        <v>2052</v>
      </c>
      <c r="J341" t="s">
        <v>2047</v>
      </c>
      <c r="K341">
        <v>43</v>
      </c>
      <c r="M341" t="str">
        <f>VLOOKUP(C341,Lcode_mapping!D:D,1,FALSE)</f>
        <v>FRNGERR</v>
      </c>
    </row>
    <row r="342" spans="1:13" x14ac:dyDescent="0.25">
      <c r="A342">
        <v>134</v>
      </c>
      <c r="B342">
        <v>2</v>
      </c>
      <c r="C342" t="s">
        <v>1050</v>
      </c>
      <c r="D342">
        <v>1</v>
      </c>
      <c r="E342">
        <v>1</v>
      </c>
      <c r="F342">
        <v>1</v>
      </c>
      <c r="G342" t="s">
        <v>589</v>
      </c>
      <c r="H342" t="s">
        <v>1051</v>
      </c>
      <c r="I342" t="s">
        <v>2052</v>
      </c>
      <c r="J342" t="s">
        <v>2047</v>
      </c>
      <c r="K342">
        <v>43</v>
      </c>
      <c r="M342" t="str">
        <f>VLOOKUP(C342,Lcode_mapping!D:D,1,FALSE)</f>
        <v>CORBASCD</v>
      </c>
    </row>
    <row r="343" spans="1:13" x14ac:dyDescent="0.25">
      <c r="A343">
        <v>135</v>
      </c>
      <c r="B343">
        <v>2</v>
      </c>
      <c r="C343" t="s">
        <v>1058</v>
      </c>
      <c r="D343">
        <v>1</v>
      </c>
      <c r="E343">
        <v>1</v>
      </c>
      <c r="F343">
        <v>1</v>
      </c>
      <c r="G343" t="s">
        <v>589</v>
      </c>
      <c r="H343" t="s">
        <v>1059</v>
      </c>
      <c r="I343" t="s">
        <v>2052</v>
      </c>
      <c r="J343" t="s">
        <v>2047</v>
      </c>
      <c r="K343">
        <v>43</v>
      </c>
      <c r="M343" t="str">
        <f>VLOOKUP(C343,Lcode_mapping!D:D,1,FALSE)</f>
        <v>FRQGROUP</v>
      </c>
    </row>
    <row r="344" spans="1:13" x14ac:dyDescent="0.25">
      <c r="A344">
        <v>136</v>
      </c>
      <c r="B344">
        <v>2</v>
      </c>
      <c r="C344" t="s">
        <v>1075</v>
      </c>
      <c r="D344">
        <v>2</v>
      </c>
      <c r="E344">
        <v>2</v>
      </c>
      <c r="F344">
        <v>2</v>
      </c>
      <c r="G344" t="s">
        <v>447</v>
      </c>
      <c r="H344" t="s">
        <v>1806</v>
      </c>
      <c r="I344" t="s">
        <v>2027</v>
      </c>
      <c r="J344" t="s">
        <v>1722</v>
      </c>
      <c r="K344">
        <v>229</v>
      </c>
      <c r="M344" t="str">
        <f>VLOOKUP(C344,Lcode_mapping!D:D,1,FALSE)</f>
        <v>WVRDELAY</v>
      </c>
    </row>
    <row r="345" spans="1:13" x14ac:dyDescent="0.25">
      <c r="A345">
        <v>137</v>
      </c>
      <c r="B345">
        <v>2</v>
      </c>
      <c r="C345" t="s">
        <v>1242</v>
      </c>
      <c r="D345">
        <v>2</v>
      </c>
      <c r="E345">
        <v>1</v>
      </c>
      <c r="F345">
        <v>1</v>
      </c>
      <c r="G345" t="s">
        <v>544</v>
      </c>
      <c r="H345" t="s">
        <v>52</v>
      </c>
      <c r="I345" t="s">
        <v>2027</v>
      </c>
      <c r="J345" t="s">
        <v>2053</v>
      </c>
      <c r="K345">
        <v>190</v>
      </c>
      <c r="M345" t="str">
        <f>VLOOKUP(C345,Lcode_mapping!D:D,1,FALSE)</f>
        <v>WVR CODE</v>
      </c>
    </row>
    <row r="346" spans="1:13" x14ac:dyDescent="0.25">
      <c r="A346">
        <v>138</v>
      </c>
      <c r="B346">
        <v>2</v>
      </c>
      <c r="C346" t="s">
        <v>36</v>
      </c>
      <c r="D346">
        <v>1</v>
      </c>
      <c r="E346">
        <v>1</v>
      </c>
      <c r="F346">
        <v>1</v>
      </c>
      <c r="G346" t="s">
        <v>447</v>
      </c>
      <c r="H346" t="s">
        <v>37</v>
      </c>
      <c r="I346" t="s">
        <v>2030</v>
      </c>
      <c r="J346" t="s">
        <v>1723</v>
      </c>
      <c r="K346">
        <v>419</v>
      </c>
      <c r="M346" t="str">
        <f>VLOOKUP(C346,Lcode_mapping!D:D,1,FALSE)</f>
        <v>IONRMSPH</v>
      </c>
    </row>
    <row r="347" spans="1:13" x14ac:dyDescent="0.25">
      <c r="A347">
        <v>139</v>
      </c>
      <c r="B347">
        <v>2</v>
      </c>
      <c r="C347" t="s">
        <v>1229</v>
      </c>
      <c r="D347">
        <v>1</v>
      </c>
      <c r="E347">
        <v>1</v>
      </c>
      <c r="F347">
        <v>1</v>
      </c>
      <c r="G347" t="s">
        <v>544</v>
      </c>
      <c r="H347" t="s">
        <v>38</v>
      </c>
      <c r="I347" t="s">
        <v>2030</v>
      </c>
      <c r="J347" t="s">
        <v>1723</v>
      </c>
      <c r="K347">
        <v>429</v>
      </c>
      <c r="M347" t="str">
        <f>VLOOKUP(C347,Lcode_mapping!D:D,1,FALSE)</f>
        <v>PHSUFLAG</v>
      </c>
    </row>
    <row r="348" spans="1:13" x14ac:dyDescent="0.25">
      <c r="A348">
        <v>140</v>
      </c>
      <c r="B348">
        <v>2</v>
      </c>
      <c r="C348" t="s">
        <v>1224</v>
      </c>
      <c r="D348">
        <v>1</v>
      </c>
      <c r="E348">
        <v>1</v>
      </c>
      <c r="F348">
        <v>1</v>
      </c>
      <c r="G348">
        <v>4</v>
      </c>
      <c r="H348" t="s">
        <v>40</v>
      </c>
      <c r="I348" t="s">
        <v>2030</v>
      </c>
      <c r="J348" t="s">
        <v>1723</v>
      </c>
      <c r="K348">
        <v>419</v>
      </c>
      <c r="M348" t="str">
        <f>VLOOKUP(C348,Lcode_mapping!D:D,1,FALSE)</f>
        <v>IONPCORR</v>
      </c>
    </row>
    <row r="349" spans="1:13" x14ac:dyDescent="0.25">
      <c r="A349">
        <v>141</v>
      </c>
      <c r="B349">
        <v>2</v>
      </c>
      <c r="C349" t="s">
        <v>1211</v>
      </c>
      <c r="D349">
        <v>1</v>
      </c>
      <c r="E349">
        <v>1</v>
      </c>
      <c r="F349">
        <v>1</v>
      </c>
      <c r="G349" t="s">
        <v>731</v>
      </c>
      <c r="H349" t="s">
        <v>41</v>
      </c>
      <c r="I349" t="s">
        <v>2030</v>
      </c>
      <c r="J349" t="s">
        <v>1723</v>
      </c>
      <c r="K349">
        <v>446</v>
      </c>
      <c r="M349" t="str">
        <f>VLOOKUP(C349,Lcode_mapping!D:D,1,FALSE)</f>
        <v>#PAMBIG</v>
      </c>
    </row>
    <row r="350" spans="1:13" x14ac:dyDescent="0.25">
      <c r="A350">
        <v>142</v>
      </c>
      <c r="B350">
        <v>2</v>
      </c>
      <c r="C350" t="s">
        <v>418</v>
      </c>
      <c r="D350">
        <v>1</v>
      </c>
      <c r="E350">
        <v>1</v>
      </c>
      <c r="F350">
        <v>1</v>
      </c>
      <c r="G350" t="s">
        <v>447</v>
      </c>
      <c r="H350" t="s">
        <v>419</v>
      </c>
      <c r="I350" t="s">
        <v>1726</v>
      </c>
      <c r="J350" t="s">
        <v>1726</v>
      </c>
      <c r="K350">
        <v>1</v>
      </c>
      <c r="M350" t="str">
        <f>VLOOKUP(C350,Lcode_mapping!D:D,1,FALSE)</f>
        <v>FROTDLAY</v>
      </c>
    </row>
    <row r="351" spans="1:13" x14ac:dyDescent="0.25">
      <c r="A351">
        <v>143</v>
      </c>
      <c r="B351">
        <v>2</v>
      </c>
      <c r="C351" t="s">
        <v>67</v>
      </c>
      <c r="D351">
        <v>1</v>
      </c>
      <c r="E351">
        <v>1</v>
      </c>
      <c r="F351">
        <v>1</v>
      </c>
      <c r="G351" t="s">
        <v>447</v>
      </c>
      <c r="H351" t="s">
        <v>68</v>
      </c>
      <c r="I351" t="s">
        <v>2029</v>
      </c>
      <c r="J351" t="s">
        <v>2054</v>
      </c>
      <c r="K351">
        <v>2</v>
      </c>
      <c r="M351" t="str">
        <f>VLOOKUP(C351,Lcode_mapping!D:D,1,FALSE)</f>
        <v>IONFACTR</v>
      </c>
    </row>
    <row r="352" spans="1:13" x14ac:dyDescent="0.25">
      <c r="A352">
        <v>144</v>
      </c>
      <c r="B352">
        <v>2</v>
      </c>
      <c r="C352" t="s">
        <v>773</v>
      </c>
      <c r="D352">
        <v>1</v>
      </c>
      <c r="E352">
        <v>1</v>
      </c>
      <c r="F352">
        <v>1</v>
      </c>
      <c r="G352" t="s">
        <v>447</v>
      </c>
      <c r="H352" t="s">
        <v>774</v>
      </c>
      <c r="I352" t="s">
        <v>2034</v>
      </c>
      <c r="J352" t="s">
        <v>2017</v>
      </c>
      <c r="K352">
        <v>4939</v>
      </c>
      <c r="M352" t="str">
        <f>VLOOKUP(C352,Lcode_mapping!D:D,1,FALSE)</f>
        <v>SB SIGMA</v>
      </c>
    </row>
    <row r="353" spans="1:13" x14ac:dyDescent="0.25">
      <c r="A353">
        <v>145</v>
      </c>
      <c r="B353">
        <v>2</v>
      </c>
      <c r="C353" t="s">
        <v>543</v>
      </c>
      <c r="D353">
        <v>1</v>
      </c>
      <c r="E353">
        <v>1</v>
      </c>
      <c r="F353">
        <v>1</v>
      </c>
      <c r="G353" t="s">
        <v>544</v>
      </c>
      <c r="H353" t="s">
        <v>545</v>
      </c>
      <c r="I353" t="s">
        <v>2034</v>
      </c>
      <c r="J353" t="s">
        <v>2050</v>
      </c>
      <c r="K353">
        <v>519</v>
      </c>
      <c r="M353" t="str">
        <f>VLOOKUP(C353,Lcode_mapping!D:D,1,FALSE)</f>
        <v>EXPSERNO</v>
      </c>
    </row>
    <row r="354" spans="1:13" x14ac:dyDescent="0.25">
      <c r="A354">
        <v>146</v>
      </c>
      <c r="B354">
        <v>2</v>
      </c>
      <c r="C354" t="s">
        <v>783</v>
      </c>
      <c r="D354">
        <v>1</v>
      </c>
      <c r="E354">
        <v>1</v>
      </c>
      <c r="F354">
        <v>1</v>
      </c>
      <c r="G354" t="s">
        <v>447</v>
      </c>
      <c r="H354" t="s">
        <v>784</v>
      </c>
      <c r="I354" t="s">
        <v>2037</v>
      </c>
      <c r="J354" t="s">
        <v>2017</v>
      </c>
      <c r="K354">
        <v>4937</v>
      </c>
      <c r="M354" t="str">
        <f>VLOOKUP(C354,Lcode_mapping!D:D,1,FALSE)</f>
        <v>STARTSEC</v>
      </c>
    </row>
    <row r="355" spans="1:13" x14ac:dyDescent="0.25">
      <c r="A355">
        <v>147</v>
      </c>
      <c r="B355">
        <v>2</v>
      </c>
      <c r="C355" t="s">
        <v>785</v>
      </c>
      <c r="D355">
        <v>1</v>
      </c>
      <c r="E355">
        <v>1</v>
      </c>
      <c r="F355">
        <v>1</v>
      </c>
      <c r="G355" t="s">
        <v>447</v>
      </c>
      <c r="H355" t="s">
        <v>786</v>
      </c>
      <c r="I355" t="s">
        <v>2037</v>
      </c>
      <c r="J355" t="s">
        <v>2017</v>
      </c>
      <c r="K355">
        <v>4937</v>
      </c>
      <c r="M355" t="str">
        <f>VLOOKUP(C355,Lcode_mapping!D:D,1,FALSE)</f>
        <v>STOP SEC</v>
      </c>
    </row>
    <row r="356" spans="1:13" x14ac:dyDescent="0.25">
      <c r="A356">
        <v>148</v>
      </c>
      <c r="B356">
        <v>2</v>
      </c>
      <c r="C356" t="s">
        <v>1076</v>
      </c>
      <c r="D356">
        <v>2</v>
      </c>
      <c r="E356">
        <v>2</v>
      </c>
      <c r="F356">
        <v>2</v>
      </c>
      <c r="G356" t="s">
        <v>447</v>
      </c>
      <c r="H356" t="s">
        <v>56</v>
      </c>
      <c r="I356" t="s">
        <v>2037</v>
      </c>
      <c r="J356" t="s">
        <v>2055</v>
      </c>
      <c r="K356">
        <v>101</v>
      </c>
      <c r="M356" t="str">
        <f>VLOOKUP(C356,Lcode_mapping!D:D,1,FALSE)</f>
        <v>WVR DELY</v>
      </c>
    </row>
    <row r="357" spans="1:13" x14ac:dyDescent="0.25">
      <c r="A357">
        <v>149</v>
      </c>
      <c r="B357">
        <v>2</v>
      </c>
      <c r="C357" t="s">
        <v>910</v>
      </c>
      <c r="D357">
        <v>1</v>
      </c>
      <c r="E357">
        <v>1</v>
      </c>
      <c r="F357">
        <v>1</v>
      </c>
      <c r="G357" t="s">
        <v>447</v>
      </c>
      <c r="H357" t="s">
        <v>911</v>
      </c>
      <c r="I357" t="s">
        <v>2038</v>
      </c>
      <c r="J357" t="s">
        <v>2017</v>
      </c>
      <c r="K357">
        <v>2121</v>
      </c>
      <c r="M357" t="str">
        <f>VLOOKUP(C357,Lcode_mapping!D:D,1,FALSE)</f>
        <v>TOTPHA_S</v>
      </c>
    </row>
    <row r="358" spans="1:13" x14ac:dyDescent="0.25">
      <c r="A358">
        <v>150</v>
      </c>
      <c r="B358">
        <v>2</v>
      </c>
      <c r="C358" t="s">
        <v>912</v>
      </c>
      <c r="D358">
        <v>1</v>
      </c>
      <c r="E358">
        <v>1</v>
      </c>
      <c r="F358">
        <v>1</v>
      </c>
      <c r="G358" t="s">
        <v>447</v>
      </c>
      <c r="H358" t="s">
        <v>913</v>
      </c>
      <c r="I358" t="s">
        <v>2038</v>
      </c>
      <c r="J358" t="s">
        <v>2017</v>
      </c>
      <c r="K358">
        <v>2121</v>
      </c>
      <c r="M358" t="str">
        <f>VLOOKUP(C358,Lcode_mapping!D:D,1,FALSE)</f>
        <v>REF FR_S</v>
      </c>
    </row>
    <row r="359" spans="1:13" x14ac:dyDescent="0.25">
      <c r="A359">
        <v>151</v>
      </c>
      <c r="B359">
        <v>2</v>
      </c>
      <c r="C359" t="s">
        <v>914</v>
      </c>
      <c r="D359">
        <v>1</v>
      </c>
      <c r="E359">
        <v>1</v>
      </c>
      <c r="F359">
        <v>1</v>
      </c>
      <c r="G359" t="s">
        <v>447</v>
      </c>
      <c r="H359" t="s">
        <v>915</v>
      </c>
      <c r="I359" t="s">
        <v>2038</v>
      </c>
      <c r="J359" t="s">
        <v>2017</v>
      </c>
      <c r="K359">
        <v>2121</v>
      </c>
      <c r="M359" t="str">
        <f>VLOOKUP(C359,Lcode_mapping!D:D,1,FALSE)</f>
        <v>SNR_S</v>
      </c>
    </row>
    <row r="360" spans="1:13" x14ac:dyDescent="0.25">
      <c r="A360">
        <v>152</v>
      </c>
      <c r="B360">
        <v>2</v>
      </c>
      <c r="C360" t="s">
        <v>916</v>
      </c>
      <c r="D360">
        <v>1</v>
      </c>
      <c r="E360">
        <v>1</v>
      </c>
      <c r="F360">
        <v>1</v>
      </c>
      <c r="G360" t="s">
        <v>447</v>
      </c>
      <c r="H360" t="s">
        <v>917</v>
      </c>
      <c r="I360" t="s">
        <v>2038</v>
      </c>
      <c r="J360" t="s">
        <v>2017</v>
      </c>
      <c r="K360">
        <v>2121</v>
      </c>
      <c r="M360" t="str">
        <f>VLOOKUP(C360,Lcode_mapping!D:D,1,FALSE)</f>
        <v>COHCOR_S</v>
      </c>
    </row>
    <row r="361" spans="1:13" x14ac:dyDescent="0.25">
      <c r="A361">
        <v>153</v>
      </c>
      <c r="B361">
        <v>2</v>
      </c>
      <c r="C361" t="s">
        <v>918</v>
      </c>
      <c r="D361">
        <v>1</v>
      </c>
      <c r="E361">
        <v>1</v>
      </c>
      <c r="F361">
        <v>1</v>
      </c>
      <c r="G361" t="s">
        <v>447</v>
      </c>
      <c r="H361" t="s">
        <v>919</v>
      </c>
      <c r="I361" t="s">
        <v>2038</v>
      </c>
      <c r="J361" t="s">
        <v>2017</v>
      </c>
      <c r="K361">
        <v>2121</v>
      </c>
      <c r="M361" t="str">
        <f>VLOOKUP(C361,Lcode_mapping!D:D,1,FALSE)</f>
        <v>SB DEL_S</v>
      </c>
    </row>
    <row r="362" spans="1:13" x14ac:dyDescent="0.25">
      <c r="A362">
        <v>154</v>
      </c>
      <c r="B362">
        <v>2</v>
      </c>
      <c r="C362" t="s">
        <v>920</v>
      </c>
      <c r="D362">
        <v>1</v>
      </c>
      <c r="E362">
        <v>1</v>
      </c>
      <c r="F362">
        <v>1</v>
      </c>
      <c r="G362" t="s">
        <v>447</v>
      </c>
      <c r="H362" t="s">
        <v>921</v>
      </c>
      <c r="I362" t="s">
        <v>2038</v>
      </c>
      <c r="J362" t="s">
        <v>2017</v>
      </c>
      <c r="K362">
        <v>1256</v>
      </c>
      <c r="M362" t="str">
        <f>VLOOKUP(C362,Lcode_mapping!D:D,1,FALSE)</f>
        <v>SB SIG_S</v>
      </c>
    </row>
    <row r="363" spans="1:13" x14ac:dyDescent="0.25">
      <c r="A363">
        <v>155</v>
      </c>
      <c r="B363">
        <v>2</v>
      </c>
      <c r="C363" t="s">
        <v>922</v>
      </c>
      <c r="D363">
        <v>1</v>
      </c>
      <c r="E363">
        <v>1</v>
      </c>
      <c r="F363">
        <v>1</v>
      </c>
      <c r="G363" t="s">
        <v>447</v>
      </c>
      <c r="H363" t="s">
        <v>923</v>
      </c>
      <c r="I363" t="s">
        <v>2038</v>
      </c>
      <c r="J363" t="s">
        <v>2017</v>
      </c>
      <c r="K363">
        <v>2121</v>
      </c>
      <c r="M363" t="str">
        <f>VLOOKUP(C363,Lcode_mapping!D:D,1,FALSE)</f>
        <v>GRPAMB_S</v>
      </c>
    </row>
    <row r="364" spans="1:13" x14ac:dyDescent="0.25">
      <c r="A364">
        <v>156</v>
      </c>
      <c r="B364">
        <v>2</v>
      </c>
      <c r="C364" t="s">
        <v>970</v>
      </c>
      <c r="D364">
        <v>1</v>
      </c>
      <c r="E364">
        <v>1</v>
      </c>
      <c r="F364">
        <v>1</v>
      </c>
      <c r="G364" t="s">
        <v>544</v>
      </c>
      <c r="H364" t="s">
        <v>971</v>
      </c>
      <c r="I364" t="s">
        <v>2038</v>
      </c>
      <c r="J364" t="s">
        <v>2017</v>
      </c>
      <c r="K364">
        <v>2121</v>
      </c>
      <c r="M364" t="str">
        <f>VLOOKUP(C364,Lcode_mapping!D:D,1,FALSE)</f>
        <v>#GAMBG_S</v>
      </c>
    </row>
    <row r="365" spans="1:13" x14ac:dyDescent="0.25">
      <c r="A365">
        <v>157</v>
      </c>
      <c r="B365">
        <v>2</v>
      </c>
      <c r="C365" t="s">
        <v>988</v>
      </c>
      <c r="D365">
        <v>1</v>
      </c>
      <c r="E365">
        <v>1</v>
      </c>
      <c r="F365">
        <v>1</v>
      </c>
      <c r="G365" t="s">
        <v>731</v>
      </c>
      <c r="H365" t="s">
        <v>989</v>
      </c>
      <c r="I365" t="s">
        <v>2038</v>
      </c>
      <c r="J365" t="s">
        <v>2017</v>
      </c>
      <c r="K365">
        <v>2121</v>
      </c>
      <c r="M365" t="str">
        <f>VLOOKUP(C365,Lcode_mapping!D:D,1,FALSE)</f>
        <v>#PAMBG_S</v>
      </c>
    </row>
    <row r="366" spans="1:13" x14ac:dyDescent="0.25">
      <c r="A366">
        <v>158</v>
      </c>
      <c r="B366">
        <v>2</v>
      </c>
      <c r="C366" t="s">
        <v>316</v>
      </c>
      <c r="D366">
        <v>2</v>
      </c>
      <c r="E366">
        <v>2</v>
      </c>
      <c r="F366">
        <v>2</v>
      </c>
      <c r="G366" t="s">
        <v>447</v>
      </c>
      <c r="H366" t="s">
        <v>317</v>
      </c>
      <c r="I366" t="s">
        <v>2040</v>
      </c>
      <c r="J366" t="s">
        <v>1730</v>
      </c>
      <c r="K366">
        <v>1228</v>
      </c>
      <c r="M366" t="str">
        <f>VLOOKUP(C366,Lcode_mapping!D:D,1,FALSE)</f>
        <v>MARI.ATM</v>
      </c>
    </row>
    <row r="367" spans="1:13" x14ac:dyDescent="0.25">
      <c r="A367">
        <v>159</v>
      </c>
      <c r="B367">
        <v>2</v>
      </c>
      <c r="C367" t="s">
        <v>318</v>
      </c>
      <c r="D367">
        <v>2</v>
      </c>
      <c r="E367">
        <v>2</v>
      </c>
      <c r="F367">
        <v>2</v>
      </c>
      <c r="G367" t="s">
        <v>447</v>
      </c>
      <c r="H367" t="s">
        <v>319</v>
      </c>
      <c r="I367" t="s">
        <v>2040</v>
      </c>
      <c r="J367" t="s">
        <v>1730</v>
      </c>
      <c r="K367">
        <v>1228</v>
      </c>
      <c r="M367" t="str">
        <f>VLOOKUP(C367,Lcode_mapping!D:D,1,FALSE)</f>
        <v>MARI.DRY</v>
      </c>
    </row>
    <row r="368" spans="1:13" x14ac:dyDescent="0.25">
      <c r="A368">
        <v>160</v>
      </c>
      <c r="B368">
        <v>2</v>
      </c>
      <c r="C368" t="s">
        <v>886</v>
      </c>
      <c r="D368">
        <v>2</v>
      </c>
      <c r="E368">
        <v>2</v>
      </c>
      <c r="F368">
        <v>1</v>
      </c>
      <c r="G368" t="s">
        <v>447</v>
      </c>
      <c r="H368" t="s">
        <v>887</v>
      </c>
      <c r="I368" t="s">
        <v>2040</v>
      </c>
      <c r="J368" t="s">
        <v>2017</v>
      </c>
      <c r="K368">
        <v>4173</v>
      </c>
      <c r="M368" t="str">
        <f>VLOOKUP(C368,Lcode_mapping!D:D,1,FALSE)</f>
        <v>UNPHASCL</v>
      </c>
    </row>
    <row r="369" spans="1:13" x14ac:dyDescent="0.25">
      <c r="A369">
        <v>161</v>
      </c>
      <c r="B369">
        <v>2</v>
      </c>
      <c r="C369" t="s">
        <v>962</v>
      </c>
      <c r="D369">
        <v>2</v>
      </c>
      <c r="E369">
        <v>2</v>
      </c>
      <c r="F369">
        <v>1</v>
      </c>
      <c r="G369" t="s">
        <v>544</v>
      </c>
      <c r="H369" t="s">
        <v>963</v>
      </c>
      <c r="I369" t="s">
        <v>2040</v>
      </c>
      <c r="J369" t="s">
        <v>2017</v>
      </c>
      <c r="K369">
        <v>4173</v>
      </c>
      <c r="M369" t="str">
        <f>VLOOKUP(C369,Lcode_mapping!D:D,1,FALSE)</f>
        <v>UNPHAFLG</v>
      </c>
    </row>
    <row r="370" spans="1:13" x14ac:dyDescent="0.25">
      <c r="A370">
        <v>162</v>
      </c>
      <c r="B370">
        <v>2</v>
      </c>
      <c r="C370" t="s">
        <v>1240</v>
      </c>
      <c r="D370">
        <v>1</v>
      </c>
      <c r="E370">
        <v>1</v>
      </c>
      <c r="F370">
        <v>1</v>
      </c>
      <c r="G370" t="s">
        <v>447</v>
      </c>
      <c r="H370" t="s">
        <v>1807</v>
      </c>
      <c r="I370" t="s">
        <v>2056</v>
      </c>
      <c r="J370" t="s">
        <v>2048</v>
      </c>
      <c r="K370">
        <v>11</v>
      </c>
      <c r="M370" t="str">
        <f>VLOOKUP(C370,Lcode_mapping!D:D,1,FALSE)</f>
        <v>UNCALDLY</v>
      </c>
    </row>
    <row r="371" spans="1:13" x14ac:dyDescent="0.25">
      <c r="A371">
        <v>163</v>
      </c>
      <c r="B371">
        <v>2</v>
      </c>
      <c r="C371" t="s">
        <v>410</v>
      </c>
      <c r="D371">
        <v>2</v>
      </c>
      <c r="E371">
        <v>2</v>
      </c>
      <c r="F371">
        <v>2</v>
      </c>
      <c r="G371" t="s">
        <v>447</v>
      </c>
      <c r="H371" t="s">
        <v>411</v>
      </c>
      <c r="I371" t="s">
        <v>2057</v>
      </c>
      <c r="J371" t="s">
        <v>2058</v>
      </c>
      <c r="K371">
        <v>6</v>
      </c>
      <c r="M371" t="str">
        <f>VLOOKUP(C371,Lcode_mapping!D:D,1,FALSE)</f>
        <v>MARI.WET</v>
      </c>
    </row>
    <row r="372" spans="1:13" x14ac:dyDescent="0.25">
      <c r="A372">
        <v>164</v>
      </c>
      <c r="B372">
        <v>2</v>
      </c>
      <c r="C372" t="s">
        <v>46</v>
      </c>
      <c r="D372">
        <v>2</v>
      </c>
      <c r="E372">
        <v>2</v>
      </c>
      <c r="F372">
        <v>1</v>
      </c>
      <c r="G372" t="s">
        <v>447</v>
      </c>
      <c r="H372" t="s">
        <v>1808</v>
      </c>
      <c r="I372" t="s">
        <v>1732</v>
      </c>
      <c r="J372" t="s">
        <v>1722</v>
      </c>
      <c r="K372">
        <v>40</v>
      </c>
      <c r="M372" t="str">
        <f>VLOOKUP(C372,Lcode_mapping!D:D,1,FALSE)</f>
        <v>BRT TEMP</v>
      </c>
    </row>
    <row r="373" spans="1:13" x14ac:dyDescent="0.25">
      <c r="A373">
        <v>165</v>
      </c>
      <c r="B373">
        <v>2</v>
      </c>
      <c r="C373" t="s">
        <v>48</v>
      </c>
      <c r="D373">
        <v>2</v>
      </c>
      <c r="E373">
        <v>2</v>
      </c>
      <c r="F373">
        <v>1</v>
      </c>
      <c r="G373" t="s">
        <v>447</v>
      </c>
      <c r="H373" t="s">
        <v>1809</v>
      </c>
      <c r="I373" t="s">
        <v>1732</v>
      </c>
      <c r="J373" t="s">
        <v>1722</v>
      </c>
      <c r="K373">
        <v>40</v>
      </c>
      <c r="M373" t="str">
        <f>VLOOKUP(C373,Lcode_mapping!D:D,1,FALSE)</f>
        <v>F12 VOLT</v>
      </c>
    </row>
    <row r="374" spans="1:13" x14ac:dyDescent="0.25">
      <c r="A374">
        <v>166</v>
      </c>
      <c r="B374">
        <v>2</v>
      </c>
      <c r="C374" t="s">
        <v>50</v>
      </c>
      <c r="D374">
        <v>3</v>
      </c>
      <c r="E374">
        <v>2</v>
      </c>
      <c r="F374">
        <v>1</v>
      </c>
      <c r="G374" t="s">
        <v>447</v>
      </c>
      <c r="H374" t="s">
        <v>1810</v>
      </c>
      <c r="I374" t="s">
        <v>1732</v>
      </c>
      <c r="J374" t="s">
        <v>1722</v>
      </c>
      <c r="K374">
        <v>40</v>
      </c>
      <c r="M374" t="str">
        <f>VLOOKUP(C374,Lcode_mapping!D:D,1,FALSE)</f>
        <v>WVR TEMP</v>
      </c>
    </row>
    <row r="375" spans="1:13" x14ac:dyDescent="0.25">
      <c r="A375">
        <v>167</v>
      </c>
      <c r="B375">
        <v>2</v>
      </c>
      <c r="C375" t="s">
        <v>1332</v>
      </c>
      <c r="D375">
        <v>16</v>
      </c>
      <c r="E375">
        <v>2</v>
      </c>
      <c r="F375">
        <v>1</v>
      </c>
      <c r="G375" t="s">
        <v>447</v>
      </c>
      <c r="H375" t="s">
        <v>1811</v>
      </c>
      <c r="I375" t="s">
        <v>1732</v>
      </c>
      <c r="J375" t="s">
        <v>1722</v>
      </c>
      <c r="K375">
        <v>40</v>
      </c>
      <c r="M375" t="str">
        <f>VLOOKUP(C375,Lcode_mapping!D:D,1,FALSE)</f>
        <v>TSYS TMP</v>
      </c>
    </row>
    <row r="376" spans="1:13" x14ac:dyDescent="0.25">
      <c r="A376">
        <v>168</v>
      </c>
      <c r="B376">
        <v>2</v>
      </c>
      <c r="C376" t="s">
        <v>400</v>
      </c>
      <c r="D376">
        <v>2</v>
      </c>
      <c r="E376">
        <v>1</v>
      </c>
      <c r="F376">
        <v>1</v>
      </c>
      <c r="G376" t="s">
        <v>447</v>
      </c>
      <c r="H376" t="s">
        <v>401</v>
      </c>
      <c r="I376" t="s">
        <v>1732</v>
      </c>
      <c r="J376" t="s">
        <v>1751</v>
      </c>
      <c r="K376">
        <v>5</v>
      </c>
      <c r="M376" t="str">
        <f>VLOOKUP(C376,Lcode_mapping!D:D,1,FALSE)</f>
        <v>O-C RES</v>
      </c>
    </row>
    <row r="377" spans="1:13" x14ac:dyDescent="0.25">
      <c r="A377">
        <v>169</v>
      </c>
      <c r="B377">
        <v>2</v>
      </c>
      <c r="C377" t="s">
        <v>960</v>
      </c>
      <c r="D377">
        <v>6</v>
      </c>
      <c r="E377">
        <v>1</v>
      </c>
      <c r="F377">
        <v>1</v>
      </c>
      <c r="G377" t="s">
        <v>544</v>
      </c>
      <c r="H377" t="s">
        <v>961</v>
      </c>
      <c r="I377" t="s">
        <v>1733</v>
      </c>
      <c r="J377" t="s">
        <v>2017</v>
      </c>
      <c r="K377">
        <v>1878</v>
      </c>
      <c r="M377" t="str">
        <f>VLOOKUP(C377,Lcode_mapping!D:D,1,FALSE)</f>
        <v>UTC TAG4</v>
      </c>
    </row>
    <row r="378" spans="1:13" x14ac:dyDescent="0.25">
      <c r="A378">
        <v>170</v>
      </c>
      <c r="B378">
        <v>2</v>
      </c>
      <c r="C378" t="s">
        <v>1443</v>
      </c>
      <c r="D378">
        <v>2</v>
      </c>
      <c r="E378">
        <v>1</v>
      </c>
      <c r="F378">
        <v>1</v>
      </c>
      <c r="G378" t="s">
        <v>447</v>
      </c>
      <c r="H378" t="s">
        <v>1812</v>
      </c>
      <c r="I378" t="s">
        <v>1737</v>
      </c>
      <c r="J378" t="s">
        <v>2023</v>
      </c>
      <c r="K378">
        <v>85</v>
      </c>
      <c r="M378" t="str">
        <f>VLOOKUP(C378,Lcode_mapping!D:D,1,FALSE)</f>
        <v>DELOBSVM</v>
      </c>
    </row>
    <row r="379" spans="1:13" x14ac:dyDescent="0.25">
      <c r="A379">
        <v>171</v>
      </c>
      <c r="B379">
        <v>2</v>
      </c>
      <c r="C379" t="s">
        <v>747</v>
      </c>
      <c r="D379">
        <v>1</v>
      </c>
      <c r="E379">
        <v>1</v>
      </c>
      <c r="F379">
        <v>1</v>
      </c>
      <c r="G379" t="s">
        <v>447</v>
      </c>
      <c r="H379" t="s">
        <v>748</v>
      </c>
      <c r="I379" t="s">
        <v>1737</v>
      </c>
      <c r="J379" t="s">
        <v>2017</v>
      </c>
      <c r="K379">
        <v>1736</v>
      </c>
      <c r="M379" t="str">
        <f>VLOOKUP(C379,Lcode_mapping!D:D,1,FALSE)</f>
        <v>DELTAEPO</v>
      </c>
    </row>
    <row r="380" spans="1:13" x14ac:dyDescent="0.25">
      <c r="A380">
        <v>172</v>
      </c>
      <c r="B380">
        <v>2</v>
      </c>
      <c r="C380" t="s">
        <v>735</v>
      </c>
      <c r="D380">
        <v>2</v>
      </c>
      <c r="E380">
        <v>16</v>
      </c>
      <c r="F380">
        <v>1</v>
      </c>
      <c r="G380" t="s">
        <v>447</v>
      </c>
      <c r="H380" t="s">
        <v>736</v>
      </c>
      <c r="I380" t="s">
        <v>1738</v>
      </c>
      <c r="J380" t="s">
        <v>2017</v>
      </c>
      <c r="K380">
        <v>1566</v>
      </c>
      <c r="M380" t="str">
        <f>VLOOKUP(C380,Lcode_mapping!D:D,1,FALSE)</f>
        <v>#SAMPLES</v>
      </c>
    </row>
    <row r="381" spans="1:13" x14ac:dyDescent="0.25">
      <c r="A381">
        <v>173</v>
      </c>
      <c r="B381">
        <v>2</v>
      </c>
      <c r="C381" t="s">
        <v>753</v>
      </c>
      <c r="D381">
        <v>1</v>
      </c>
      <c r="E381">
        <v>1</v>
      </c>
      <c r="F381">
        <v>1</v>
      </c>
      <c r="G381" t="s">
        <v>447</v>
      </c>
      <c r="H381" t="s">
        <v>754</v>
      </c>
      <c r="I381" t="s">
        <v>1738</v>
      </c>
      <c r="J381" t="s">
        <v>2017</v>
      </c>
      <c r="K381">
        <v>1651</v>
      </c>
      <c r="M381" t="str">
        <f>VLOOKUP(C381,Lcode_mapping!D:D,1,FALSE)</f>
        <v>GROBSDEL</v>
      </c>
    </row>
    <row r="382" spans="1:13" x14ac:dyDescent="0.25">
      <c r="A382">
        <v>174</v>
      </c>
      <c r="B382">
        <v>2</v>
      </c>
      <c r="C382" t="s">
        <v>755</v>
      </c>
      <c r="D382">
        <v>2</v>
      </c>
      <c r="E382">
        <v>16</v>
      </c>
      <c r="F382">
        <v>1</v>
      </c>
      <c r="G382" t="s">
        <v>447</v>
      </c>
      <c r="H382" t="s">
        <v>756</v>
      </c>
      <c r="I382" t="s">
        <v>1738</v>
      </c>
      <c r="J382" t="s">
        <v>2017</v>
      </c>
      <c r="K382">
        <v>1651</v>
      </c>
      <c r="M382" t="str">
        <f>VLOOKUP(C382,Lcode_mapping!D:D,1,FALSE)</f>
        <v>LO FREQ</v>
      </c>
    </row>
    <row r="383" spans="1:13" x14ac:dyDescent="0.25">
      <c r="A383">
        <v>175</v>
      </c>
      <c r="B383">
        <v>2</v>
      </c>
      <c r="C383" t="s">
        <v>769</v>
      </c>
      <c r="D383">
        <v>1</v>
      </c>
      <c r="E383">
        <v>1</v>
      </c>
      <c r="F383">
        <v>1</v>
      </c>
      <c r="G383" t="s">
        <v>447</v>
      </c>
      <c r="H383" t="s">
        <v>770</v>
      </c>
      <c r="I383" t="s">
        <v>1738</v>
      </c>
      <c r="J383" t="s">
        <v>2017</v>
      </c>
      <c r="K383">
        <v>1651</v>
      </c>
      <c r="M383" t="str">
        <f>VLOOKUP(C383,Lcode_mapping!D:D,1,FALSE)</f>
        <v>SAMPLRAT</v>
      </c>
    </row>
    <row r="384" spans="1:13" x14ac:dyDescent="0.25">
      <c r="A384">
        <v>176</v>
      </c>
      <c r="B384">
        <v>2</v>
      </c>
      <c r="C384" t="s">
        <v>944</v>
      </c>
      <c r="D384">
        <v>2</v>
      </c>
      <c r="E384">
        <v>16</v>
      </c>
      <c r="F384">
        <v>1</v>
      </c>
      <c r="G384" t="s">
        <v>544</v>
      </c>
      <c r="H384" t="s">
        <v>945</v>
      </c>
      <c r="I384" t="s">
        <v>1738</v>
      </c>
      <c r="J384" t="s">
        <v>2017</v>
      </c>
      <c r="K384">
        <v>1651</v>
      </c>
      <c r="M384" t="str">
        <f>VLOOKUP(C384,Lcode_mapping!D:D,1,FALSE)</f>
        <v>BBC IND</v>
      </c>
    </row>
    <row r="385" spans="1:13" x14ac:dyDescent="0.25">
      <c r="A385">
        <v>177</v>
      </c>
      <c r="B385">
        <v>2</v>
      </c>
      <c r="C385" t="s">
        <v>952</v>
      </c>
      <c r="D385">
        <v>2</v>
      </c>
      <c r="E385">
        <v>16</v>
      </c>
      <c r="F385">
        <v>1</v>
      </c>
      <c r="G385" t="s">
        <v>544</v>
      </c>
      <c r="H385" t="s">
        <v>953</v>
      </c>
      <c r="I385" t="s">
        <v>1738</v>
      </c>
      <c r="J385" t="s">
        <v>2017</v>
      </c>
      <c r="K385">
        <v>1651</v>
      </c>
      <c r="M385" t="str">
        <f>VLOOKUP(C385,Lcode_mapping!D:D,1,FALSE)</f>
        <v>PHCALOFF</v>
      </c>
    </row>
    <row r="386" spans="1:13" x14ac:dyDescent="0.25">
      <c r="A386">
        <v>178</v>
      </c>
      <c r="B386">
        <v>2</v>
      </c>
      <c r="C386" t="s">
        <v>954</v>
      </c>
      <c r="D386">
        <v>2</v>
      </c>
      <c r="E386">
        <v>1</v>
      </c>
      <c r="F386">
        <v>1</v>
      </c>
      <c r="G386" t="s">
        <v>544</v>
      </c>
      <c r="H386" t="s">
        <v>955</v>
      </c>
      <c r="I386" t="s">
        <v>1738</v>
      </c>
      <c r="J386" t="s">
        <v>2017</v>
      </c>
      <c r="K386">
        <v>1651</v>
      </c>
      <c r="M386" t="str">
        <f>VLOOKUP(C386,Lcode_mapping!D:D,1,FALSE)</f>
        <v>PHCALSTS</v>
      </c>
    </row>
    <row r="387" spans="1:13" x14ac:dyDescent="0.25">
      <c r="A387">
        <v>179</v>
      </c>
      <c r="B387">
        <v>2</v>
      </c>
      <c r="C387" t="s">
        <v>976</v>
      </c>
      <c r="D387">
        <v>2</v>
      </c>
      <c r="E387">
        <v>16</v>
      </c>
      <c r="F387">
        <v>1</v>
      </c>
      <c r="G387" t="s">
        <v>589</v>
      </c>
      <c r="H387" t="s">
        <v>977</v>
      </c>
      <c r="I387" t="s">
        <v>1738</v>
      </c>
      <c r="J387" t="s">
        <v>2017</v>
      </c>
      <c r="K387">
        <v>1651</v>
      </c>
      <c r="M387" t="str">
        <f>VLOOKUP(C387,Lcode_mapping!D:D,1,FALSE)</f>
        <v>POLARIZ</v>
      </c>
    </row>
    <row r="388" spans="1:13" x14ac:dyDescent="0.25">
      <c r="A388">
        <v>180</v>
      </c>
      <c r="B388">
        <v>2</v>
      </c>
      <c r="C388" t="s">
        <v>980</v>
      </c>
      <c r="D388">
        <v>5</v>
      </c>
      <c r="E388">
        <v>1</v>
      </c>
      <c r="F388">
        <v>1</v>
      </c>
      <c r="G388" t="s">
        <v>589</v>
      </c>
      <c r="H388" t="s">
        <v>981</v>
      </c>
      <c r="I388" t="s">
        <v>1738</v>
      </c>
      <c r="J388" t="s">
        <v>2017</v>
      </c>
      <c r="K388">
        <v>1752</v>
      </c>
      <c r="M388" t="str">
        <f>VLOOKUP(C388,Lcode_mapping!D:D,1,FALSE)</f>
        <v>SCANNAME</v>
      </c>
    </row>
    <row r="389" spans="1:13" x14ac:dyDescent="0.25">
      <c r="A389">
        <v>181</v>
      </c>
      <c r="B389">
        <v>2</v>
      </c>
      <c r="C389" t="s">
        <v>982</v>
      </c>
      <c r="D389">
        <v>2</v>
      </c>
      <c r="E389">
        <v>1</v>
      </c>
      <c r="F389">
        <v>1</v>
      </c>
      <c r="G389" t="s">
        <v>589</v>
      </c>
      <c r="H389" t="s">
        <v>983</v>
      </c>
      <c r="I389" t="s">
        <v>1738</v>
      </c>
      <c r="J389" t="s">
        <v>2017</v>
      </c>
      <c r="K389">
        <v>1651</v>
      </c>
      <c r="M389" t="str">
        <f>VLOOKUP(C389,Lcode_mapping!D:D,1,FALSE)</f>
        <v>SITCODES</v>
      </c>
    </row>
    <row r="390" spans="1:13" x14ac:dyDescent="0.25">
      <c r="A390">
        <v>182</v>
      </c>
      <c r="B390">
        <v>2</v>
      </c>
      <c r="C390" t="s">
        <v>1752</v>
      </c>
      <c r="D390">
        <v>1</v>
      </c>
      <c r="E390">
        <v>1</v>
      </c>
      <c r="F390">
        <v>1</v>
      </c>
      <c r="G390" t="s">
        <v>447</v>
      </c>
      <c r="H390" t="s">
        <v>1753</v>
      </c>
      <c r="I390" t="s">
        <v>1744</v>
      </c>
      <c r="J390" t="s">
        <v>1745</v>
      </c>
      <c r="K390">
        <v>50</v>
      </c>
      <c r="M390" t="str">
        <f>VLOOKUP(C390,Lcode_mapping!D:D,1,FALSE)</f>
        <v>CCOR ERR</v>
      </c>
    </row>
    <row r="391" spans="1:13" x14ac:dyDescent="0.25">
      <c r="A391">
        <v>183</v>
      </c>
      <c r="B391">
        <v>2</v>
      </c>
      <c r="C391" t="s">
        <v>1754</v>
      </c>
      <c r="D391">
        <v>1</v>
      </c>
      <c r="E391">
        <v>1</v>
      </c>
      <c r="F391">
        <v>1</v>
      </c>
      <c r="G391" t="s">
        <v>447</v>
      </c>
      <c r="H391" t="s">
        <v>1813</v>
      </c>
      <c r="I391" t="s">
        <v>1744</v>
      </c>
      <c r="J391" t="s">
        <v>1745</v>
      </c>
      <c r="K391">
        <v>50</v>
      </c>
      <c r="M391" t="str">
        <f>VLOOKUP(C391,Lcode_mapping!D:D,1,FALSE)</f>
        <v>TPHA ERR</v>
      </c>
    </row>
    <row r="392" spans="1:13" x14ac:dyDescent="0.25">
      <c r="A392">
        <v>184</v>
      </c>
      <c r="B392">
        <v>2</v>
      </c>
      <c r="C392" t="s">
        <v>1755</v>
      </c>
      <c r="D392">
        <v>1</v>
      </c>
      <c r="E392">
        <v>1</v>
      </c>
      <c r="F392">
        <v>1</v>
      </c>
      <c r="G392" t="s">
        <v>447</v>
      </c>
      <c r="H392" t="s">
        <v>1814</v>
      </c>
      <c r="I392" t="s">
        <v>1744</v>
      </c>
      <c r="J392" t="s">
        <v>1745</v>
      </c>
      <c r="K392">
        <v>50</v>
      </c>
      <c r="M392" t="str">
        <f>VLOOKUP(C392,Lcode_mapping!D:D,1,FALSE)</f>
        <v>STR TIME</v>
      </c>
    </row>
    <row r="393" spans="1:13" x14ac:dyDescent="0.25">
      <c r="A393">
        <v>185</v>
      </c>
      <c r="B393">
        <v>2</v>
      </c>
      <c r="C393" t="s">
        <v>1756</v>
      </c>
      <c r="D393">
        <v>1</v>
      </c>
      <c r="E393">
        <v>1</v>
      </c>
      <c r="F393">
        <v>1</v>
      </c>
      <c r="G393" t="s">
        <v>447</v>
      </c>
      <c r="H393" t="s">
        <v>1815</v>
      </c>
      <c r="I393" t="s">
        <v>1744</v>
      </c>
      <c r="J393" t="s">
        <v>1745</v>
      </c>
      <c r="K393">
        <v>50</v>
      </c>
      <c r="M393" t="str">
        <f>VLOOKUP(C393,Lcode_mapping!D:D,1,FALSE)</f>
        <v>DURATION</v>
      </c>
    </row>
    <row r="394" spans="1:13" x14ac:dyDescent="0.25">
      <c r="A394">
        <v>186</v>
      </c>
      <c r="B394">
        <v>2</v>
      </c>
      <c r="C394" t="s">
        <v>1757</v>
      </c>
      <c r="D394">
        <v>1</v>
      </c>
      <c r="E394">
        <v>1</v>
      </c>
      <c r="F394">
        <v>1</v>
      </c>
      <c r="G394" t="s">
        <v>447</v>
      </c>
      <c r="H394" t="s">
        <v>1816</v>
      </c>
      <c r="I394" t="s">
        <v>1744</v>
      </c>
      <c r="J394" t="s">
        <v>1745</v>
      </c>
      <c r="K394">
        <v>50</v>
      </c>
      <c r="M394" t="str">
        <f>VLOOKUP(C394,Lcode_mapping!D:D,1,FALSE)</f>
        <v>UTC ERR</v>
      </c>
    </row>
    <row r="395" spans="1:13" x14ac:dyDescent="0.25">
      <c r="A395">
        <v>187</v>
      </c>
      <c r="B395">
        <v>2</v>
      </c>
      <c r="C395" t="s">
        <v>1758</v>
      </c>
      <c r="D395">
        <v>1</v>
      </c>
      <c r="E395">
        <v>1</v>
      </c>
      <c r="F395">
        <v>1</v>
      </c>
      <c r="G395" t="s">
        <v>447</v>
      </c>
      <c r="H395" t="s">
        <v>1817</v>
      </c>
      <c r="I395" t="s">
        <v>1744</v>
      </c>
      <c r="J395" t="s">
        <v>1745</v>
      </c>
      <c r="K395">
        <v>50</v>
      </c>
      <c r="M395" t="str">
        <f>VLOOKUP(C395,Lcode_mapping!D:D,1,FALSE)</f>
        <v>VFDWELL</v>
      </c>
    </row>
    <row r="396" spans="1:13" x14ac:dyDescent="0.25">
      <c r="A396">
        <v>188</v>
      </c>
      <c r="B396">
        <v>2</v>
      </c>
      <c r="C396" t="s">
        <v>1759</v>
      </c>
      <c r="D396">
        <v>32</v>
      </c>
      <c r="E396">
        <v>1</v>
      </c>
      <c r="F396">
        <v>1</v>
      </c>
      <c r="G396" t="s">
        <v>447</v>
      </c>
      <c r="H396" t="s">
        <v>1760</v>
      </c>
      <c r="I396" t="s">
        <v>1744</v>
      </c>
      <c r="J396" t="s">
        <v>1745</v>
      </c>
      <c r="K396">
        <v>50</v>
      </c>
      <c r="M396" t="str">
        <f>VLOOKUP(C396,Lcode_mapping!D:D,1,FALSE)</f>
        <v>VIRTFREQ</v>
      </c>
    </row>
    <row r="397" spans="1:13" x14ac:dyDescent="0.25">
      <c r="A397">
        <v>189</v>
      </c>
      <c r="B397">
        <v>2</v>
      </c>
      <c r="C397" t="s">
        <v>1761</v>
      </c>
      <c r="D397">
        <v>1</v>
      </c>
      <c r="E397">
        <v>1</v>
      </c>
      <c r="F397">
        <v>1</v>
      </c>
      <c r="G397" t="s">
        <v>447</v>
      </c>
      <c r="H397" t="s">
        <v>1818</v>
      </c>
      <c r="I397" t="s">
        <v>1744</v>
      </c>
      <c r="J397" t="s">
        <v>1745</v>
      </c>
      <c r="K397">
        <v>50</v>
      </c>
      <c r="M397" t="str">
        <f>VLOOKUP(C397,Lcode_mapping!D:D,1,FALSE)</f>
        <v>S2EFFREQ</v>
      </c>
    </row>
    <row r="398" spans="1:13" x14ac:dyDescent="0.25">
      <c r="A398">
        <v>190</v>
      </c>
      <c r="B398">
        <v>2</v>
      </c>
      <c r="C398" t="s">
        <v>1762</v>
      </c>
      <c r="D398">
        <v>1</v>
      </c>
      <c r="E398">
        <v>1</v>
      </c>
      <c r="F398">
        <v>1</v>
      </c>
      <c r="G398" t="s">
        <v>447</v>
      </c>
      <c r="H398" t="s">
        <v>1819</v>
      </c>
      <c r="I398" t="s">
        <v>1744</v>
      </c>
      <c r="J398" t="s">
        <v>1745</v>
      </c>
      <c r="K398">
        <v>50</v>
      </c>
      <c r="M398" t="str">
        <f>VLOOKUP(C398,Lcode_mapping!D:D,1,FALSE)</f>
        <v>S2REFREQ</v>
      </c>
    </row>
    <row r="399" spans="1:13" x14ac:dyDescent="0.25">
      <c r="A399">
        <v>191</v>
      </c>
      <c r="B399">
        <v>2</v>
      </c>
      <c r="C399" t="s">
        <v>1763</v>
      </c>
      <c r="D399">
        <v>1</v>
      </c>
      <c r="E399">
        <v>1</v>
      </c>
      <c r="F399">
        <v>1</v>
      </c>
      <c r="G399" t="s">
        <v>447</v>
      </c>
      <c r="H399" t="s">
        <v>1764</v>
      </c>
      <c r="I399" t="s">
        <v>1744</v>
      </c>
      <c r="J399" t="s">
        <v>1745</v>
      </c>
      <c r="K399">
        <v>50</v>
      </c>
      <c r="M399" t="str">
        <f>VLOOKUP(C399,Lcode_mapping!D:D,1,FALSE)</f>
        <v>S2PHEFRQ</v>
      </c>
    </row>
    <row r="400" spans="1:13" x14ac:dyDescent="0.25">
      <c r="A400">
        <v>192</v>
      </c>
      <c r="B400">
        <v>2</v>
      </c>
      <c r="C400" t="s">
        <v>1765</v>
      </c>
      <c r="D400">
        <v>2</v>
      </c>
      <c r="E400">
        <v>32</v>
      </c>
      <c r="F400">
        <v>1</v>
      </c>
      <c r="G400" t="s">
        <v>447</v>
      </c>
      <c r="H400" t="s">
        <v>1766</v>
      </c>
      <c r="I400" t="s">
        <v>1744</v>
      </c>
      <c r="J400" t="s">
        <v>1745</v>
      </c>
      <c r="K400">
        <v>50</v>
      </c>
      <c r="M400" t="str">
        <f>VLOOKUP(C400,Lcode_mapping!D:D,1,FALSE)</f>
        <v>VFRQPCAM</v>
      </c>
    </row>
    <row r="401" spans="1:13" x14ac:dyDescent="0.25">
      <c r="A401">
        <v>193</v>
      </c>
      <c r="B401">
        <v>2</v>
      </c>
      <c r="C401" t="s">
        <v>1767</v>
      </c>
      <c r="D401">
        <v>2</v>
      </c>
      <c r="E401">
        <v>32</v>
      </c>
      <c r="F401">
        <v>1</v>
      </c>
      <c r="G401" t="s">
        <v>447</v>
      </c>
      <c r="H401" t="s">
        <v>1768</v>
      </c>
      <c r="I401" t="s">
        <v>1744</v>
      </c>
      <c r="J401" t="s">
        <v>1745</v>
      </c>
      <c r="K401">
        <v>50</v>
      </c>
      <c r="M401" t="str">
        <f>VLOOKUP(C401,Lcode_mapping!D:D,1,FALSE)</f>
        <v>VFRQPCPH</v>
      </c>
    </row>
    <row r="402" spans="1:13" x14ac:dyDescent="0.25">
      <c r="A402">
        <v>194</v>
      </c>
      <c r="B402">
        <v>2</v>
      </c>
      <c r="C402" t="s">
        <v>1769</v>
      </c>
      <c r="D402">
        <v>2</v>
      </c>
      <c r="E402">
        <v>32</v>
      </c>
      <c r="F402">
        <v>1</v>
      </c>
      <c r="G402" t="s">
        <v>447</v>
      </c>
      <c r="H402" t="s">
        <v>1820</v>
      </c>
      <c r="I402" t="s">
        <v>1744</v>
      </c>
      <c r="J402" t="s">
        <v>1745</v>
      </c>
      <c r="K402">
        <v>50</v>
      </c>
      <c r="M402" t="str">
        <f>VLOOKUP(C402,Lcode_mapping!D:D,1,FALSE)</f>
        <v>VFRQPCFR</v>
      </c>
    </row>
    <row r="403" spans="1:13" x14ac:dyDescent="0.25">
      <c r="A403">
        <v>195</v>
      </c>
      <c r="B403">
        <v>2</v>
      </c>
      <c r="C403" t="s">
        <v>1770</v>
      </c>
      <c r="D403">
        <v>32</v>
      </c>
      <c r="E403">
        <v>1</v>
      </c>
      <c r="F403">
        <v>1</v>
      </c>
      <c r="G403" t="s">
        <v>447</v>
      </c>
      <c r="H403" t="s">
        <v>1821</v>
      </c>
      <c r="I403" t="s">
        <v>1744</v>
      </c>
      <c r="J403" t="s">
        <v>1745</v>
      </c>
      <c r="K403">
        <v>50</v>
      </c>
      <c r="M403" t="str">
        <f>VLOOKUP(C403,Lcode_mapping!D:D,1,FALSE)</f>
        <v>VFRQAM</v>
      </c>
    </row>
    <row r="404" spans="1:13" x14ac:dyDescent="0.25">
      <c r="A404">
        <v>196</v>
      </c>
      <c r="B404">
        <v>2</v>
      </c>
      <c r="C404" t="s">
        <v>1771</v>
      </c>
      <c r="D404">
        <v>32</v>
      </c>
      <c r="E404">
        <v>1</v>
      </c>
      <c r="F404">
        <v>1</v>
      </c>
      <c r="G404" t="s">
        <v>447</v>
      </c>
      <c r="H404" t="s">
        <v>1772</v>
      </c>
      <c r="I404" t="s">
        <v>1744</v>
      </c>
      <c r="J404" t="s">
        <v>1745</v>
      </c>
      <c r="K404">
        <v>50</v>
      </c>
      <c r="M404" t="str">
        <f>VLOOKUP(C404,Lcode_mapping!D:D,1,FALSE)</f>
        <v>VFRQPH</v>
      </c>
    </row>
    <row r="405" spans="1:13" x14ac:dyDescent="0.25">
      <c r="A405">
        <v>197</v>
      </c>
      <c r="B405">
        <v>2</v>
      </c>
      <c r="C405" t="s">
        <v>1773</v>
      </c>
      <c r="D405">
        <v>1</v>
      </c>
      <c r="E405">
        <v>1</v>
      </c>
      <c r="F405">
        <v>1</v>
      </c>
      <c r="G405" t="s">
        <v>544</v>
      </c>
      <c r="H405" t="s">
        <v>1822</v>
      </c>
      <c r="I405" t="s">
        <v>1744</v>
      </c>
      <c r="J405" t="s">
        <v>1745</v>
      </c>
      <c r="K405">
        <v>50</v>
      </c>
      <c r="M405" t="str">
        <f>VLOOKUP(C405,Lcode_mapping!D:D,1,FALSE)</f>
        <v>#VFREQS</v>
      </c>
    </row>
    <row r="406" spans="1:13" x14ac:dyDescent="0.25">
      <c r="A406">
        <v>198</v>
      </c>
      <c r="B406">
        <v>2</v>
      </c>
      <c r="C406" t="s">
        <v>1774</v>
      </c>
      <c r="D406">
        <v>32</v>
      </c>
      <c r="E406">
        <v>1</v>
      </c>
      <c r="F406">
        <v>1</v>
      </c>
      <c r="G406" t="s">
        <v>544</v>
      </c>
      <c r="H406" t="s">
        <v>1823</v>
      </c>
      <c r="I406" t="s">
        <v>1744</v>
      </c>
      <c r="J406" t="s">
        <v>1745</v>
      </c>
      <c r="K406">
        <v>50</v>
      </c>
      <c r="M406" t="str">
        <f>VLOOKUP(C406,Lcode_mapping!D:D,1,FALSE)</f>
        <v>VFRQ#APS</v>
      </c>
    </row>
    <row r="407" spans="1:13" x14ac:dyDescent="0.25">
      <c r="A407">
        <v>199</v>
      </c>
      <c r="B407">
        <v>2</v>
      </c>
      <c r="C407" t="s">
        <v>1568</v>
      </c>
      <c r="D407">
        <v>1</v>
      </c>
      <c r="E407">
        <v>1</v>
      </c>
      <c r="F407">
        <v>1</v>
      </c>
      <c r="G407" t="s">
        <v>544</v>
      </c>
      <c r="H407" t="s">
        <v>1824</v>
      </c>
      <c r="I407" t="s">
        <v>1775</v>
      </c>
      <c r="J407" t="s">
        <v>2017</v>
      </c>
      <c r="K407">
        <v>600</v>
      </c>
      <c r="M407" t="str">
        <f>VLOOKUP(C407,Lcode_mapping!D:D,1,FALSE)</f>
        <v>BITSAMPL</v>
      </c>
    </row>
    <row r="408" spans="1:13" x14ac:dyDescent="0.25">
      <c r="A408" t="s">
        <v>2020</v>
      </c>
      <c r="C408" t="s">
        <v>2021</v>
      </c>
      <c r="G408" t="s">
        <v>2022</v>
      </c>
      <c r="M408" t="e">
        <f>VLOOKUP(C408,Lcode_mapping!D:D,1,FALSE)</f>
        <v>#N/A</v>
      </c>
    </row>
    <row r="409" spans="1:13" x14ac:dyDescent="0.25">
      <c r="A409">
        <v>1</v>
      </c>
      <c r="B409">
        <v>3</v>
      </c>
      <c r="C409" t="s">
        <v>765</v>
      </c>
      <c r="D409">
        <v>1</v>
      </c>
      <c r="E409">
        <v>1</v>
      </c>
      <c r="F409">
        <v>1</v>
      </c>
      <c r="G409" t="s">
        <v>447</v>
      </c>
      <c r="H409" t="s">
        <v>1428</v>
      </c>
      <c r="I409" t="s">
        <v>1714</v>
      </c>
      <c r="J409" t="s">
        <v>2018</v>
      </c>
      <c r="K409">
        <v>3199</v>
      </c>
      <c r="M409" t="str">
        <f>VLOOKUP(C409,Lcode_mapping!D:D,1,FALSE)</f>
        <v>REF FREQ</v>
      </c>
    </row>
    <row r="410" spans="1:13" x14ac:dyDescent="0.25">
      <c r="A410">
        <v>2</v>
      </c>
      <c r="B410">
        <v>3</v>
      </c>
      <c r="C410" t="s">
        <v>1430</v>
      </c>
      <c r="D410">
        <v>1</v>
      </c>
      <c r="E410">
        <v>1</v>
      </c>
      <c r="F410">
        <v>1</v>
      </c>
      <c r="G410" t="s">
        <v>447</v>
      </c>
      <c r="H410" t="s">
        <v>1431</v>
      </c>
      <c r="I410" t="s">
        <v>1714</v>
      </c>
      <c r="J410" t="s">
        <v>2018</v>
      </c>
      <c r="K410">
        <v>3284</v>
      </c>
      <c r="M410" t="str">
        <f>VLOOKUP(C410,Lcode_mapping!D:D,1,FALSE)</f>
        <v>RATOBSVM</v>
      </c>
    </row>
    <row r="411" spans="1:13" x14ac:dyDescent="0.25">
      <c r="A411">
        <v>3</v>
      </c>
      <c r="B411">
        <v>3</v>
      </c>
      <c r="C411" t="s">
        <v>1016</v>
      </c>
      <c r="D411">
        <v>1</v>
      </c>
      <c r="E411">
        <v>1</v>
      </c>
      <c r="F411">
        <v>1</v>
      </c>
      <c r="G411" t="s">
        <v>447</v>
      </c>
      <c r="H411" t="s">
        <v>1017</v>
      </c>
      <c r="I411" t="s">
        <v>1714</v>
      </c>
      <c r="J411" t="s">
        <v>2017</v>
      </c>
      <c r="K411">
        <v>4935</v>
      </c>
      <c r="M411" t="str">
        <f>VLOOKUP(C411,Lcode_mapping!D:D,1,FALSE)</f>
        <v>INCOHAMP</v>
      </c>
    </row>
    <row r="412" spans="1:13" x14ac:dyDescent="0.25">
      <c r="A412">
        <v>4</v>
      </c>
      <c r="B412">
        <v>3</v>
      </c>
      <c r="C412" t="s">
        <v>781</v>
      </c>
      <c r="D412">
        <v>6</v>
      </c>
      <c r="E412">
        <v>1</v>
      </c>
      <c r="F412">
        <v>1</v>
      </c>
      <c r="G412" t="s">
        <v>447</v>
      </c>
      <c r="H412" t="s">
        <v>1433</v>
      </c>
      <c r="I412" t="s">
        <v>1714</v>
      </c>
      <c r="J412" t="s">
        <v>2018</v>
      </c>
      <c r="K412">
        <v>3199</v>
      </c>
      <c r="M412" t="str">
        <f>VLOOKUP(C412,Lcode_mapping!D:D,1,FALSE)</f>
        <v>SRCHPAR</v>
      </c>
    </row>
    <row r="413" spans="1:13" x14ac:dyDescent="0.25">
      <c r="A413">
        <v>5</v>
      </c>
      <c r="B413">
        <v>3</v>
      </c>
      <c r="C413" t="s">
        <v>1002</v>
      </c>
      <c r="D413">
        <v>1</v>
      </c>
      <c r="E413">
        <v>1</v>
      </c>
      <c r="F413">
        <v>1</v>
      </c>
      <c r="G413" t="s">
        <v>447</v>
      </c>
      <c r="H413" t="s">
        <v>1003</v>
      </c>
      <c r="I413" t="s">
        <v>1714</v>
      </c>
      <c r="J413" t="s">
        <v>2017</v>
      </c>
      <c r="K413">
        <v>4934</v>
      </c>
      <c r="M413" t="str">
        <f>VLOOKUP(C413,Lcode_mapping!D:D,1,FALSE)</f>
        <v>FALSEDET</v>
      </c>
    </row>
    <row r="414" spans="1:13" x14ac:dyDescent="0.25">
      <c r="A414">
        <v>6</v>
      </c>
      <c r="B414">
        <v>3</v>
      </c>
      <c r="C414" t="s">
        <v>1014</v>
      </c>
      <c r="D414">
        <v>1</v>
      </c>
      <c r="E414">
        <v>1</v>
      </c>
      <c r="F414">
        <v>1</v>
      </c>
      <c r="G414" t="s">
        <v>447</v>
      </c>
      <c r="H414" t="s">
        <v>1015</v>
      </c>
      <c r="I414" t="s">
        <v>1714</v>
      </c>
      <c r="J414" t="s">
        <v>2017</v>
      </c>
      <c r="K414">
        <v>4935</v>
      </c>
      <c r="M414" t="str">
        <f>VLOOKUP(C414,Lcode_mapping!D:D,1,FALSE)</f>
        <v>INCOH2</v>
      </c>
    </row>
    <row r="415" spans="1:13" x14ac:dyDescent="0.25">
      <c r="A415">
        <v>7</v>
      </c>
      <c r="B415">
        <v>3</v>
      </c>
      <c r="C415" t="s">
        <v>1010</v>
      </c>
      <c r="D415">
        <v>1</v>
      </c>
      <c r="E415">
        <v>1</v>
      </c>
      <c r="F415">
        <v>1</v>
      </c>
      <c r="G415" t="s">
        <v>447</v>
      </c>
      <c r="H415" t="s">
        <v>1011</v>
      </c>
      <c r="I415" t="s">
        <v>1714</v>
      </c>
      <c r="J415" t="s">
        <v>2017</v>
      </c>
      <c r="K415">
        <v>4935</v>
      </c>
      <c r="M415" t="str">
        <f>VLOOKUP(C415,Lcode_mapping!D:D,1,FALSE)</f>
        <v>GCRESPHS</v>
      </c>
    </row>
    <row r="416" spans="1:13" x14ac:dyDescent="0.25">
      <c r="A416">
        <v>8</v>
      </c>
      <c r="B416">
        <v>3</v>
      </c>
      <c r="C416" t="s">
        <v>783</v>
      </c>
      <c r="D416">
        <v>1</v>
      </c>
      <c r="E416">
        <v>1</v>
      </c>
      <c r="F416">
        <v>1</v>
      </c>
      <c r="G416" t="s">
        <v>447</v>
      </c>
      <c r="H416" t="s">
        <v>784</v>
      </c>
      <c r="I416" t="s">
        <v>1714</v>
      </c>
      <c r="J416" t="s">
        <v>2059</v>
      </c>
      <c r="K416">
        <v>13</v>
      </c>
      <c r="M416" t="str">
        <f>VLOOKUP(C416,Lcode_mapping!D:D,1,FALSE)</f>
        <v>STARTSEC</v>
      </c>
    </row>
    <row r="417" spans="1:13" x14ac:dyDescent="0.25">
      <c r="A417">
        <v>9</v>
      </c>
      <c r="B417">
        <v>3</v>
      </c>
      <c r="C417" t="s">
        <v>785</v>
      </c>
      <c r="D417">
        <v>1</v>
      </c>
      <c r="E417">
        <v>1</v>
      </c>
      <c r="F417">
        <v>1</v>
      </c>
      <c r="G417" t="s">
        <v>447</v>
      </c>
      <c r="H417" t="s">
        <v>786</v>
      </c>
      <c r="I417" t="s">
        <v>1714</v>
      </c>
      <c r="J417" t="s">
        <v>2059</v>
      </c>
      <c r="K417">
        <v>13</v>
      </c>
      <c r="M417" t="str">
        <f>VLOOKUP(C417,Lcode_mapping!D:D,1,FALSE)</f>
        <v>STOP SEC</v>
      </c>
    </row>
    <row r="418" spans="1:13" x14ac:dyDescent="0.25">
      <c r="A418">
        <v>10</v>
      </c>
      <c r="B418">
        <v>3</v>
      </c>
      <c r="C418" t="s">
        <v>747</v>
      </c>
      <c r="D418">
        <v>1</v>
      </c>
      <c r="E418">
        <v>1</v>
      </c>
      <c r="F418">
        <v>1</v>
      </c>
      <c r="G418" t="s">
        <v>447</v>
      </c>
      <c r="H418" t="s">
        <v>1437</v>
      </c>
      <c r="I418" t="s">
        <v>1714</v>
      </c>
      <c r="J418" t="s">
        <v>2018</v>
      </c>
      <c r="K418">
        <v>3199</v>
      </c>
      <c r="M418" t="str">
        <f>VLOOKUP(C418,Lcode_mapping!D:D,1,FALSE)</f>
        <v>DELTAEPO</v>
      </c>
    </row>
    <row r="419" spans="1:13" x14ac:dyDescent="0.25">
      <c r="A419">
        <v>11</v>
      </c>
      <c r="B419">
        <v>3</v>
      </c>
      <c r="C419" t="s">
        <v>1000</v>
      </c>
      <c r="D419">
        <v>1</v>
      </c>
      <c r="E419">
        <v>1</v>
      </c>
      <c r="F419">
        <v>1</v>
      </c>
      <c r="G419" t="s">
        <v>447</v>
      </c>
      <c r="H419" t="s">
        <v>1001</v>
      </c>
      <c r="I419" t="s">
        <v>1714</v>
      </c>
      <c r="J419" t="s">
        <v>2017</v>
      </c>
      <c r="K419">
        <v>4935</v>
      </c>
      <c r="M419" t="str">
        <f>VLOOKUP(C419,Lcode_mapping!D:D,1,FALSE)</f>
        <v>EFF.DURA</v>
      </c>
    </row>
    <row r="420" spans="1:13" x14ac:dyDescent="0.25">
      <c r="A420">
        <v>12</v>
      </c>
      <c r="B420">
        <v>3</v>
      </c>
      <c r="C420" t="s">
        <v>1018</v>
      </c>
      <c r="D420">
        <v>1</v>
      </c>
      <c r="E420">
        <v>1</v>
      </c>
      <c r="F420">
        <v>1</v>
      </c>
      <c r="G420" t="s">
        <v>447</v>
      </c>
      <c r="H420" t="s">
        <v>1019</v>
      </c>
      <c r="I420" t="s">
        <v>1714</v>
      </c>
      <c r="J420" t="s">
        <v>2017</v>
      </c>
      <c r="K420">
        <v>4720</v>
      </c>
      <c r="M420" t="str">
        <f>VLOOKUP(C420,Lcode_mapping!D:D,1,FALSE)</f>
        <v>QBFACTOR</v>
      </c>
    </row>
    <row r="421" spans="1:13" x14ac:dyDescent="0.25">
      <c r="A421">
        <v>13</v>
      </c>
      <c r="B421">
        <v>3</v>
      </c>
      <c r="C421" t="s">
        <v>998</v>
      </c>
      <c r="D421">
        <v>1</v>
      </c>
      <c r="E421">
        <v>1</v>
      </c>
      <c r="F421">
        <v>1</v>
      </c>
      <c r="G421" t="s">
        <v>447</v>
      </c>
      <c r="H421" t="s">
        <v>999</v>
      </c>
      <c r="I421" t="s">
        <v>1714</v>
      </c>
      <c r="J421" t="s">
        <v>2017</v>
      </c>
      <c r="K421">
        <v>4935</v>
      </c>
      <c r="M421" t="str">
        <f>VLOOKUP(C421,Lcode_mapping!D:D,1,FALSE)</f>
        <v>DISCARD</v>
      </c>
    </row>
    <row r="422" spans="1:13" x14ac:dyDescent="0.25">
      <c r="A422">
        <v>14</v>
      </c>
      <c r="B422">
        <v>3</v>
      </c>
      <c r="C422" t="s">
        <v>1440</v>
      </c>
      <c r="D422">
        <v>1</v>
      </c>
      <c r="E422">
        <v>1</v>
      </c>
      <c r="F422">
        <v>1</v>
      </c>
      <c r="G422" t="s">
        <v>447</v>
      </c>
      <c r="H422" t="s">
        <v>1441</v>
      </c>
      <c r="I422" t="s">
        <v>1714</v>
      </c>
      <c r="J422" t="s">
        <v>2018</v>
      </c>
      <c r="K422">
        <v>3284</v>
      </c>
      <c r="M422" t="str">
        <f>VLOOKUP(C422,Lcode_mapping!D:D,1,FALSE)</f>
        <v>TOTPCENT</v>
      </c>
    </row>
    <row r="423" spans="1:13" x14ac:dyDescent="0.25">
      <c r="A423">
        <v>15</v>
      </c>
      <c r="B423">
        <v>3</v>
      </c>
      <c r="C423" t="s">
        <v>1443</v>
      </c>
      <c r="D423">
        <v>2</v>
      </c>
      <c r="E423">
        <v>1</v>
      </c>
      <c r="F423">
        <v>1</v>
      </c>
      <c r="G423" t="s">
        <v>447</v>
      </c>
      <c r="H423" t="s">
        <v>1444</v>
      </c>
      <c r="I423" t="s">
        <v>1714</v>
      </c>
      <c r="J423" t="s">
        <v>2018</v>
      </c>
      <c r="K423">
        <v>3198</v>
      </c>
      <c r="M423" t="str">
        <f>VLOOKUP(C423,Lcode_mapping!D:D,1,FALSE)</f>
        <v>DELOBSVM</v>
      </c>
    </row>
    <row r="424" spans="1:13" x14ac:dyDescent="0.25">
      <c r="A424">
        <v>16</v>
      </c>
      <c r="B424">
        <v>3</v>
      </c>
      <c r="C424" t="s">
        <v>1445</v>
      </c>
      <c r="D424">
        <v>2</v>
      </c>
      <c r="E424">
        <v>1</v>
      </c>
      <c r="F424">
        <v>1</v>
      </c>
      <c r="G424" t="s">
        <v>447</v>
      </c>
      <c r="H424" t="s">
        <v>1446</v>
      </c>
      <c r="I424" t="s">
        <v>1714</v>
      </c>
      <c r="J424" t="s">
        <v>2018</v>
      </c>
      <c r="K424">
        <v>3284</v>
      </c>
      <c r="M424" t="str">
        <f>VLOOKUP(C424,Lcode_mapping!D:D,1,FALSE)</f>
        <v>DLYEPO+1</v>
      </c>
    </row>
    <row r="425" spans="1:13" x14ac:dyDescent="0.25">
      <c r="A425">
        <v>17</v>
      </c>
      <c r="B425">
        <v>3</v>
      </c>
      <c r="C425" t="s">
        <v>1449</v>
      </c>
      <c r="D425">
        <v>2</v>
      </c>
      <c r="E425">
        <v>1</v>
      </c>
      <c r="F425">
        <v>1</v>
      </c>
      <c r="G425" t="s">
        <v>447</v>
      </c>
      <c r="H425" t="s">
        <v>1450</v>
      </c>
      <c r="I425" t="s">
        <v>1714</v>
      </c>
      <c r="J425" t="s">
        <v>2018</v>
      </c>
      <c r="K425">
        <v>3284</v>
      </c>
      <c r="M425" t="str">
        <f>VLOOKUP(C425,Lcode_mapping!D:D,1,FALSE)</f>
        <v>DLYEPO-1</v>
      </c>
    </row>
    <row r="426" spans="1:13" x14ac:dyDescent="0.25">
      <c r="A426">
        <v>18</v>
      </c>
      <c r="B426">
        <v>3</v>
      </c>
      <c r="C426" t="s">
        <v>777</v>
      </c>
      <c r="D426">
        <v>1</v>
      </c>
      <c r="E426">
        <v>1</v>
      </c>
      <c r="F426">
        <v>1</v>
      </c>
      <c r="G426" t="s">
        <v>447</v>
      </c>
      <c r="H426" t="s">
        <v>778</v>
      </c>
      <c r="I426" t="s">
        <v>1714</v>
      </c>
      <c r="J426" t="s">
        <v>2018</v>
      </c>
      <c r="K426">
        <v>3249</v>
      </c>
      <c r="M426" t="str">
        <f>VLOOKUP(C426,Lcode_mapping!D:D,1,FALSE)</f>
        <v>SEC TAG</v>
      </c>
    </row>
    <row r="427" spans="1:13" x14ac:dyDescent="0.25">
      <c r="A427">
        <v>19</v>
      </c>
      <c r="B427">
        <v>3</v>
      </c>
      <c r="C427" t="s">
        <v>57</v>
      </c>
      <c r="D427">
        <v>1</v>
      </c>
      <c r="E427">
        <v>1</v>
      </c>
      <c r="F427">
        <v>1</v>
      </c>
      <c r="G427" t="s">
        <v>544</v>
      </c>
      <c r="H427" t="s">
        <v>1804</v>
      </c>
      <c r="I427" t="s">
        <v>1714</v>
      </c>
      <c r="J427" t="s">
        <v>2023</v>
      </c>
      <c r="K427">
        <v>3068</v>
      </c>
      <c r="M427" t="str">
        <f>VLOOKUP(C427,Lcode_mapping!D:D,1,FALSE)</f>
        <v>CORBASNO</v>
      </c>
    </row>
    <row r="428" spans="1:13" x14ac:dyDescent="0.25">
      <c r="A428">
        <v>20</v>
      </c>
      <c r="B428">
        <v>3</v>
      </c>
      <c r="C428" t="s">
        <v>958</v>
      </c>
      <c r="D428">
        <v>5</v>
      </c>
      <c r="E428">
        <v>1</v>
      </c>
      <c r="F428">
        <v>1</v>
      </c>
      <c r="G428" t="s">
        <v>544</v>
      </c>
      <c r="H428" t="s">
        <v>959</v>
      </c>
      <c r="I428" t="s">
        <v>1714</v>
      </c>
      <c r="J428" t="s">
        <v>2018</v>
      </c>
      <c r="K428">
        <v>3248</v>
      </c>
      <c r="M428" t="str">
        <f>VLOOKUP(C428,Lcode_mapping!D:D,1,FALSE)</f>
        <v>UTC TAG</v>
      </c>
    </row>
    <row r="429" spans="1:13" x14ac:dyDescent="0.25">
      <c r="A429">
        <v>21</v>
      </c>
      <c r="B429">
        <v>3</v>
      </c>
      <c r="C429" t="s">
        <v>1241</v>
      </c>
      <c r="D429">
        <v>6</v>
      </c>
      <c r="E429">
        <v>1</v>
      </c>
      <c r="F429">
        <v>1</v>
      </c>
      <c r="G429" t="s">
        <v>544</v>
      </c>
      <c r="H429" t="s">
        <v>1451</v>
      </c>
      <c r="I429" t="s">
        <v>1714</v>
      </c>
      <c r="J429" t="s">
        <v>2018</v>
      </c>
      <c r="K429">
        <v>3283</v>
      </c>
      <c r="M429" t="str">
        <f>VLOOKUP(C429,Lcode_mapping!D:D,1,FALSE)</f>
        <v>VLB2 UTC</v>
      </c>
    </row>
    <row r="430" spans="1:13" x14ac:dyDescent="0.25">
      <c r="A430">
        <v>22</v>
      </c>
      <c r="B430">
        <v>3</v>
      </c>
      <c r="C430" t="s">
        <v>60</v>
      </c>
      <c r="D430">
        <v>2</v>
      </c>
      <c r="E430">
        <v>2</v>
      </c>
      <c r="F430">
        <v>5</v>
      </c>
      <c r="G430" t="s">
        <v>544</v>
      </c>
      <c r="H430" t="s">
        <v>1796</v>
      </c>
      <c r="I430" t="s">
        <v>1714</v>
      </c>
      <c r="J430" t="s">
        <v>2023</v>
      </c>
      <c r="K430">
        <v>3068</v>
      </c>
      <c r="M430" t="str">
        <f>VLOOKUP(C430,Lcode_mapping!D:D,1,FALSE)</f>
        <v>RECTRACK</v>
      </c>
    </row>
    <row r="431" spans="1:13" x14ac:dyDescent="0.25">
      <c r="A431">
        <v>23</v>
      </c>
      <c r="B431">
        <v>3</v>
      </c>
      <c r="C431" t="s">
        <v>1026</v>
      </c>
      <c r="D431">
        <v>1</v>
      </c>
      <c r="E431">
        <v>1</v>
      </c>
      <c r="F431">
        <v>1</v>
      </c>
      <c r="G431" t="s">
        <v>544</v>
      </c>
      <c r="H431" t="s">
        <v>1027</v>
      </c>
      <c r="I431" t="s">
        <v>1714</v>
      </c>
      <c r="J431" t="s">
        <v>2017</v>
      </c>
      <c r="K431">
        <v>4719</v>
      </c>
      <c r="M431" t="str">
        <f>VLOOKUP(C431,Lcode_mapping!D:D,1,FALSE)</f>
        <v>CORELVER</v>
      </c>
    </row>
    <row r="432" spans="1:13" x14ac:dyDescent="0.25">
      <c r="A432">
        <v>24</v>
      </c>
      <c r="B432">
        <v>3</v>
      </c>
      <c r="C432" t="s">
        <v>1046</v>
      </c>
      <c r="D432">
        <v>6</v>
      </c>
      <c r="E432">
        <v>1</v>
      </c>
      <c r="F432">
        <v>1</v>
      </c>
      <c r="G432" t="s">
        <v>544</v>
      </c>
      <c r="H432" t="s">
        <v>1047</v>
      </c>
      <c r="I432" t="s">
        <v>1714</v>
      </c>
      <c r="J432" t="s">
        <v>2017</v>
      </c>
      <c r="K432">
        <v>4934</v>
      </c>
      <c r="M432" t="str">
        <f>VLOOKUP(C432,Lcode_mapping!D:D,1,FALSE)</f>
        <v>UTCM TAG</v>
      </c>
    </row>
    <row r="433" spans="1:13" x14ac:dyDescent="0.25">
      <c r="A433">
        <v>25</v>
      </c>
      <c r="B433">
        <v>3</v>
      </c>
      <c r="C433" t="s">
        <v>32</v>
      </c>
      <c r="D433">
        <v>2</v>
      </c>
      <c r="E433">
        <v>5</v>
      </c>
      <c r="F433">
        <v>1</v>
      </c>
      <c r="G433" t="s">
        <v>544</v>
      </c>
      <c r="H433" t="s">
        <v>1797</v>
      </c>
      <c r="I433" t="s">
        <v>1714</v>
      </c>
      <c r="J433" t="s">
        <v>1741</v>
      </c>
      <c r="K433">
        <v>2983</v>
      </c>
      <c r="M433" t="str">
        <f>VLOOKUP(C433,Lcode_mapping!D:D,1,FALSE)</f>
        <v>VLB1XTNT</v>
      </c>
    </row>
    <row r="434" spans="1:13" x14ac:dyDescent="0.25">
      <c r="A434">
        <v>26</v>
      </c>
      <c r="B434">
        <v>3</v>
      </c>
      <c r="C434" t="s">
        <v>62</v>
      </c>
      <c r="D434">
        <v>2</v>
      </c>
      <c r="E434">
        <v>5</v>
      </c>
      <c r="F434">
        <v>1</v>
      </c>
      <c r="G434" t="s">
        <v>544</v>
      </c>
      <c r="H434" t="s">
        <v>1798</v>
      </c>
      <c r="I434" t="s">
        <v>1714</v>
      </c>
      <c r="J434" t="s">
        <v>2023</v>
      </c>
      <c r="K434">
        <v>3110</v>
      </c>
      <c r="M434" t="str">
        <f>VLOOKUP(C434,Lcode_mapping!D:D,1,FALSE)</f>
        <v>PROC UTC</v>
      </c>
    </row>
    <row r="435" spans="1:13" x14ac:dyDescent="0.25">
      <c r="A435">
        <v>27</v>
      </c>
      <c r="B435">
        <v>3</v>
      </c>
      <c r="C435" t="s">
        <v>1032</v>
      </c>
      <c r="D435">
        <v>2</v>
      </c>
      <c r="E435">
        <v>2</v>
      </c>
      <c r="F435">
        <v>5</v>
      </c>
      <c r="G435" t="s">
        <v>544</v>
      </c>
      <c r="H435" t="s">
        <v>1033</v>
      </c>
      <c r="I435" t="s">
        <v>1714</v>
      </c>
      <c r="J435" t="s">
        <v>2017</v>
      </c>
      <c r="K435">
        <v>4934</v>
      </c>
      <c r="M435" t="str">
        <f>VLOOKUP(C435,Lcode_mapping!D:D,1,FALSE)</f>
        <v>ERRORATE</v>
      </c>
    </row>
    <row r="436" spans="1:13" x14ac:dyDescent="0.25">
      <c r="A436">
        <v>28</v>
      </c>
      <c r="B436">
        <v>3</v>
      </c>
      <c r="C436" t="s">
        <v>1038</v>
      </c>
      <c r="D436">
        <v>2</v>
      </c>
      <c r="E436">
        <v>5</v>
      </c>
      <c r="F436">
        <v>1</v>
      </c>
      <c r="G436" t="s">
        <v>544</v>
      </c>
      <c r="H436" t="s">
        <v>1039</v>
      </c>
      <c r="I436" t="s">
        <v>1714</v>
      </c>
      <c r="J436" t="s">
        <v>2017</v>
      </c>
      <c r="K436">
        <v>4719</v>
      </c>
      <c r="M436" t="str">
        <f>VLOOKUP(C436,Lcode_mapping!D:D,1,FALSE)</f>
        <v>INDEXNUM</v>
      </c>
    </row>
    <row r="437" spans="1:13" x14ac:dyDescent="0.25">
      <c r="A437">
        <v>29</v>
      </c>
      <c r="B437">
        <v>3</v>
      </c>
      <c r="C437" t="s">
        <v>1056</v>
      </c>
      <c r="D437">
        <v>1</v>
      </c>
      <c r="E437">
        <v>1</v>
      </c>
      <c r="F437">
        <v>1</v>
      </c>
      <c r="G437" t="s">
        <v>544</v>
      </c>
      <c r="H437" t="s">
        <v>1057</v>
      </c>
      <c r="I437" t="s">
        <v>1714</v>
      </c>
      <c r="J437" t="s">
        <v>2017</v>
      </c>
      <c r="K437">
        <v>4719</v>
      </c>
      <c r="M437" t="str">
        <f>VLOOKUP(C437,Lcode_mapping!D:D,1,FALSE)</f>
        <v>FRNGERR</v>
      </c>
    </row>
    <row r="438" spans="1:13" x14ac:dyDescent="0.25">
      <c r="A438">
        <v>30</v>
      </c>
      <c r="B438">
        <v>3</v>
      </c>
      <c r="C438" t="s">
        <v>100</v>
      </c>
      <c r="D438">
        <v>1</v>
      </c>
      <c r="E438">
        <v>1</v>
      </c>
      <c r="F438">
        <v>1</v>
      </c>
      <c r="G438" t="s">
        <v>544</v>
      </c>
      <c r="H438" t="s">
        <v>1825</v>
      </c>
      <c r="I438" t="s">
        <v>1714</v>
      </c>
      <c r="J438" t="s">
        <v>2023</v>
      </c>
      <c r="K438">
        <v>3068</v>
      </c>
      <c r="M438" t="str">
        <f>VLOOKUP(C438,Lcode_mapping!D:D,1,FALSE)</f>
        <v>AUTOEDIT</v>
      </c>
    </row>
    <row r="439" spans="1:13" x14ac:dyDescent="0.25">
      <c r="A439">
        <v>31</v>
      </c>
      <c r="B439">
        <v>3</v>
      </c>
      <c r="C439" t="s">
        <v>1050</v>
      </c>
      <c r="D439">
        <v>1</v>
      </c>
      <c r="E439">
        <v>1</v>
      </c>
      <c r="F439">
        <v>1</v>
      </c>
      <c r="G439" t="s">
        <v>589</v>
      </c>
      <c r="H439" t="s">
        <v>1051</v>
      </c>
      <c r="I439" t="s">
        <v>1714</v>
      </c>
      <c r="J439" t="s">
        <v>2017</v>
      </c>
      <c r="K439">
        <v>4761</v>
      </c>
      <c r="M439" t="str">
        <f>VLOOKUP(C439,Lcode_mapping!D:D,1,FALSE)</f>
        <v>CORBASCD</v>
      </c>
    </row>
    <row r="440" spans="1:13" x14ac:dyDescent="0.25">
      <c r="A440">
        <v>32</v>
      </c>
      <c r="B440">
        <v>3</v>
      </c>
      <c r="C440" t="s">
        <v>984</v>
      </c>
      <c r="D440">
        <v>4</v>
      </c>
      <c r="E440">
        <v>1</v>
      </c>
      <c r="F440">
        <v>1</v>
      </c>
      <c r="G440" t="s">
        <v>589</v>
      </c>
      <c r="H440" t="s">
        <v>985</v>
      </c>
      <c r="I440" t="s">
        <v>1714</v>
      </c>
      <c r="J440" t="s">
        <v>2018</v>
      </c>
      <c r="K440">
        <v>3248</v>
      </c>
      <c r="M440" t="str">
        <f>VLOOKUP(C440,Lcode_mapping!D:D,1,FALSE)</f>
        <v>STAR ID</v>
      </c>
    </row>
    <row r="441" spans="1:13" x14ac:dyDescent="0.25">
      <c r="A441">
        <v>33</v>
      </c>
      <c r="B441">
        <v>3</v>
      </c>
      <c r="C441" t="s">
        <v>974</v>
      </c>
      <c r="D441">
        <v>4</v>
      </c>
      <c r="E441">
        <v>2</v>
      </c>
      <c r="F441">
        <v>1</v>
      </c>
      <c r="G441" t="s">
        <v>589</v>
      </c>
      <c r="H441" t="s">
        <v>1423</v>
      </c>
      <c r="I441" t="s">
        <v>1714</v>
      </c>
      <c r="J441" t="s">
        <v>2018</v>
      </c>
      <c r="K441">
        <v>3248</v>
      </c>
      <c r="M441" t="str">
        <f>VLOOKUP(C441,Lcode_mapping!D:D,1,FALSE)</f>
        <v>BASELINE</v>
      </c>
    </row>
    <row r="442" spans="1:13" x14ac:dyDescent="0.25">
      <c r="A442">
        <v>34</v>
      </c>
      <c r="B442">
        <v>3</v>
      </c>
      <c r="C442" t="s">
        <v>1060</v>
      </c>
      <c r="D442">
        <v>4</v>
      </c>
      <c r="E442">
        <v>2</v>
      </c>
      <c r="F442">
        <v>1</v>
      </c>
      <c r="G442" t="s">
        <v>589</v>
      </c>
      <c r="H442" t="s">
        <v>1061</v>
      </c>
      <c r="I442" t="s">
        <v>1714</v>
      </c>
      <c r="J442" t="s">
        <v>2017</v>
      </c>
      <c r="K442">
        <v>4718</v>
      </c>
      <c r="M442" t="str">
        <f>VLOOKUP(C442,Lcode_mapping!D:D,1,FALSE)</f>
        <v>TAPEID</v>
      </c>
    </row>
    <row r="443" spans="1:13" x14ac:dyDescent="0.25">
      <c r="A443">
        <v>35</v>
      </c>
      <c r="B443">
        <v>3</v>
      </c>
      <c r="C443" t="s">
        <v>64</v>
      </c>
      <c r="D443">
        <v>3</v>
      </c>
      <c r="E443">
        <v>1</v>
      </c>
      <c r="F443">
        <v>1</v>
      </c>
      <c r="G443" t="s">
        <v>589</v>
      </c>
      <c r="H443" t="s">
        <v>106</v>
      </c>
      <c r="I443" t="s">
        <v>1714</v>
      </c>
      <c r="J443" t="s">
        <v>2023</v>
      </c>
      <c r="K443">
        <v>3068</v>
      </c>
      <c r="M443" t="str">
        <f>VLOOKUP(C443,Lcode_mapping!D:D,1,FALSE)</f>
        <v>VLB2PRG</v>
      </c>
    </row>
    <row r="444" spans="1:13" x14ac:dyDescent="0.25">
      <c r="A444">
        <v>36</v>
      </c>
      <c r="B444">
        <v>3</v>
      </c>
      <c r="C444" t="s">
        <v>1235</v>
      </c>
      <c r="D444">
        <v>4</v>
      </c>
      <c r="E444">
        <v>1</v>
      </c>
      <c r="F444">
        <v>1</v>
      </c>
      <c r="G444" t="s">
        <v>589</v>
      </c>
      <c r="H444" t="s">
        <v>1802</v>
      </c>
      <c r="I444" t="s">
        <v>1714</v>
      </c>
      <c r="J444" t="s">
        <v>2023</v>
      </c>
      <c r="K444">
        <v>3068</v>
      </c>
      <c r="M444" t="str">
        <f>VLOOKUP(C444,Lcode_mapping!D:D,1,FALSE)</f>
        <v>RUN CODE</v>
      </c>
    </row>
    <row r="445" spans="1:13" x14ac:dyDescent="0.25">
      <c r="A445">
        <v>37</v>
      </c>
      <c r="B445">
        <v>3</v>
      </c>
      <c r="C445" t="s">
        <v>1058</v>
      </c>
      <c r="D445">
        <v>1</v>
      </c>
      <c r="E445">
        <v>1</v>
      </c>
      <c r="F445">
        <v>1</v>
      </c>
      <c r="G445" t="s">
        <v>589</v>
      </c>
      <c r="H445" t="s">
        <v>1059</v>
      </c>
      <c r="I445" t="s">
        <v>1714</v>
      </c>
      <c r="J445" t="s">
        <v>2017</v>
      </c>
      <c r="K445">
        <v>4934</v>
      </c>
      <c r="M445" t="str">
        <f>VLOOKUP(C445,Lcode_mapping!D:D,1,FALSE)</f>
        <v>FRQGROUP</v>
      </c>
    </row>
    <row r="446" spans="1:13" x14ac:dyDescent="0.25">
      <c r="A446">
        <v>38</v>
      </c>
      <c r="B446">
        <v>3</v>
      </c>
      <c r="C446" t="s">
        <v>103</v>
      </c>
      <c r="D446">
        <v>3</v>
      </c>
      <c r="E446">
        <v>1</v>
      </c>
      <c r="F446">
        <v>1</v>
      </c>
      <c r="G446" t="s">
        <v>589</v>
      </c>
      <c r="H446" t="s">
        <v>1826</v>
      </c>
      <c r="I446" t="s">
        <v>1714</v>
      </c>
      <c r="J446" t="s">
        <v>2023</v>
      </c>
      <c r="K446">
        <v>3068</v>
      </c>
      <c r="M446" t="str">
        <f>VLOOKUP(C446,Lcode_mapping!D:D,1,FALSE)</f>
        <v>ORIGFILE</v>
      </c>
    </row>
    <row r="447" spans="1:13" x14ac:dyDescent="0.25">
      <c r="A447">
        <v>39</v>
      </c>
      <c r="B447">
        <v>3</v>
      </c>
      <c r="C447" t="s">
        <v>1062</v>
      </c>
      <c r="D447">
        <v>3</v>
      </c>
      <c r="E447">
        <v>1</v>
      </c>
      <c r="F447">
        <v>1</v>
      </c>
      <c r="G447" t="s">
        <v>589</v>
      </c>
      <c r="H447" t="s">
        <v>1063</v>
      </c>
      <c r="I447" t="s">
        <v>1714</v>
      </c>
      <c r="J447" t="s">
        <v>2017</v>
      </c>
      <c r="K447">
        <v>4934</v>
      </c>
      <c r="M447" t="str">
        <f>VLOOKUP(C447,Lcode_mapping!D:D,1,FALSE)</f>
        <v>TAPQCODE</v>
      </c>
    </row>
    <row r="448" spans="1:13" x14ac:dyDescent="0.25">
      <c r="A448">
        <v>40</v>
      </c>
      <c r="B448">
        <v>3</v>
      </c>
      <c r="C448" t="s">
        <v>1405</v>
      </c>
      <c r="D448">
        <v>1</v>
      </c>
      <c r="E448">
        <v>1</v>
      </c>
      <c r="F448">
        <v>1</v>
      </c>
      <c r="G448" t="s">
        <v>447</v>
      </c>
      <c r="H448" t="s">
        <v>2024</v>
      </c>
      <c r="I448" t="s">
        <v>2060</v>
      </c>
      <c r="J448" t="s">
        <v>2023</v>
      </c>
      <c r="K448">
        <v>2506</v>
      </c>
      <c r="M448" t="str">
        <f>VLOOKUP(C448,Lcode_mapping!D:D,1,FALSE)</f>
        <v>APCLOFST</v>
      </c>
    </row>
    <row r="449" spans="1:13" x14ac:dyDescent="0.25">
      <c r="A449">
        <v>41</v>
      </c>
      <c r="B449">
        <v>3</v>
      </c>
      <c r="C449" t="s">
        <v>1020</v>
      </c>
      <c r="D449">
        <v>1</v>
      </c>
      <c r="E449">
        <v>1</v>
      </c>
      <c r="F449">
        <v>1</v>
      </c>
      <c r="G449" t="s">
        <v>447</v>
      </c>
      <c r="H449" t="s">
        <v>1021</v>
      </c>
      <c r="I449" t="s">
        <v>2060</v>
      </c>
      <c r="J449" t="s">
        <v>2017</v>
      </c>
      <c r="K449">
        <v>4157</v>
      </c>
      <c r="M449" t="str">
        <f>VLOOKUP(C449,Lcode_mapping!D:D,1,FALSE)</f>
        <v>REFCLKER</v>
      </c>
    </row>
    <row r="450" spans="1:13" x14ac:dyDescent="0.25">
      <c r="A450">
        <v>42</v>
      </c>
      <c r="B450">
        <v>3</v>
      </c>
      <c r="C450" t="s">
        <v>1064</v>
      </c>
      <c r="D450">
        <v>8</v>
      </c>
      <c r="E450">
        <v>1</v>
      </c>
      <c r="F450">
        <v>1</v>
      </c>
      <c r="G450" t="s">
        <v>589</v>
      </c>
      <c r="H450" t="s">
        <v>1065</v>
      </c>
      <c r="I450" t="s">
        <v>2038</v>
      </c>
      <c r="J450" t="s">
        <v>2017</v>
      </c>
      <c r="K450">
        <v>1256</v>
      </c>
      <c r="M450" t="str">
        <f>VLOOKUP(C450,Lcode_mapping!D:D,1,FALSE)</f>
        <v>FOURFFXS</v>
      </c>
    </row>
    <row r="451" spans="1:13" x14ac:dyDescent="0.25">
      <c r="A451">
        <v>43</v>
      </c>
      <c r="B451">
        <v>3</v>
      </c>
      <c r="C451" t="s">
        <v>543</v>
      </c>
      <c r="D451">
        <v>1</v>
      </c>
      <c r="E451">
        <v>1</v>
      </c>
      <c r="F451">
        <v>1</v>
      </c>
      <c r="G451" t="s">
        <v>544</v>
      </c>
      <c r="H451" t="s">
        <v>545</v>
      </c>
      <c r="I451" t="s">
        <v>2061</v>
      </c>
      <c r="J451" t="s">
        <v>1741</v>
      </c>
      <c r="K451">
        <v>2420</v>
      </c>
      <c r="M451" t="str">
        <f>VLOOKUP(C451,Lcode_mapping!D:D,1,FALSE)</f>
        <v>EXPSERNO</v>
      </c>
    </row>
    <row r="452" spans="1:13" x14ac:dyDescent="0.25">
      <c r="A452">
        <v>44</v>
      </c>
      <c r="B452">
        <v>3</v>
      </c>
      <c r="C452" t="s">
        <v>435</v>
      </c>
      <c r="D452">
        <v>4</v>
      </c>
      <c r="E452">
        <v>2</v>
      </c>
      <c r="F452">
        <v>1</v>
      </c>
      <c r="G452" t="s">
        <v>589</v>
      </c>
      <c r="H452" t="s">
        <v>1827</v>
      </c>
      <c r="I452" t="s">
        <v>2061</v>
      </c>
      <c r="J452" t="s">
        <v>2023</v>
      </c>
      <c r="K452">
        <v>2572</v>
      </c>
      <c r="M452" t="str">
        <f>VLOOKUP(C452,Lcode_mapping!D:D,1,FALSE)</f>
        <v>OCCUPNUM</v>
      </c>
    </row>
    <row r="453" spans="1:13" x14ac:dyDescent="0.25">
      <c r="A453">
        <v>45</v>
      </c>
      <c r="B453">
        <v>3</v>
      </c>
      <c r="C453" t="s">
        <v>1447</v>
      </c>
      <c r="D453">
        <v>2</v>
      </c>
      <c r="E453">
        <v>1</v>
      </c>
      <c r="F453">
        <v>1</v>
      </c>
      <c r="G453" t="s">
        <v>447</v>
      </c>
      <c r="H453" t="s">
        <v>1448</v>
      </c>
      <c r="I453" t="s">
        <v>1732</v>
      </c>
      <c r="J453" t="s">
        <v>2018</v>
      </c>
      <c r="K453">
        <v>213</v>
      </c>
      <c r="M453" t="str">
        <f>VLOOKUP(C453,Lcode_mapping!D:D,1,FALSE)</f>
        <v>DLYEPOCH</v>
      </c>
    </row>
    <row r="454" spans="1:13" x14ac:dyDescent="0.25">
      <c r="A454">
        <v>46</v>
      </c>
      <c r="B454">
        <v>3</v>
      </c>
      <c r="C454" t="s">
        <v>1030</v>
      </c>
      <c r="D454">
        <v>3</v>
      </c>
      <c r="E454">
        <v>1</v>
      </c>
      <c r="F454">
        <v>1</v>
      </c>
      <c r="G454" t="s">
        <v>544</v>
      </c>
      <c r="H454" t="s">
        <v>1031</v>
      </c>
      <c r="I454" t="s">
        <v>1737</v>
      </c>
      <c r="J454" t="s">
        <v>2017</v>
      </c>
      <c r="K454">
        <v>1736</v>
      </c>
      <c r="M454" t="str">
        <f>VLOOKUP(C454,Lcode_mapping!D:D,1,FALSE)</f>
        <v>DBEDITVE</v>
      </c>
    </row>
    <row r="455" spans="1:13" x14ac:dyDescent="0.25">
      <c r="A455">
        <v>47</v>
      </c>
      <c r="B455">
        <v>3</v>
      </c>
      <c r="C455" t="s">
        <v>990</v>
      </c>
      <c r="D455">
        <v>1</v>
      </c>
      <c r="E455">
        <v>1</v>
      </c>
      <c r="F455">
        <v>1</v>
      </c>
      <c r="G455" t="s">
        <v>447</v>
      </c>
      <c r="H455" t="s">
        <v>991</v>
      </c>
      <c r="I455" t="s">
        <v>1738</v>
      </c>
      <c r="J455" t="s">
        <v>2017</v>
      </c>
      <c r="K455">
        <v>1651</v>
      </c>
      <c r="M455" t="str">
        <f>VLOOKUP(C455,Lcode_mapping!D:D,1,FALSE)</f>
        <v>ABASACCE</v>
      </c>
    </row>
    <row r="456" spans="1:13" x14ac:dyDescent="0.25">
      <c r="A456">
        <v>48</v>
      </c>
      <c r="B456">
        <v>3</v>
      </c>
      <c r="C456" t="s">
        <v>992</v>
      </c>
      <c r="D456">
        <v>1</v>
      </c>
      <c r="E456">
        <v>1</v>
      </c>
      <c r="F456">
        <v>1</v>
      </c>
      <c r="G456" t="s">
        <v>447</v>
      </c>
      <c r="H456" t="s">
        <v>993</v>
      </c>
      <c r="I456" t="s">
        <v>1738</v>
      </c>
      <c r="J456" t="s">
        <v>2017</v>
      </c>
      <c r="K456">
        <v>1651</v>
      </c>
      <c r="M456" t="str">
        <f>VLOOKUP(C456,Lcode_mapping!D:D,1,FALSE)</f>
        <v>ABASDEL</v>
      </c>
    </row>
    <row r="457" spans="1:13" x14ac:dyDescent="0.25">
      <c r="A457">
        <v>49</v>
      </c>
      <c r="B457">
        <v>3</v>
      </c>
      <c r="C457" t="s">
        <v>994</v>
      </c>
      <c r="D457">
        <v>1</v>
      </c>
      <c r="E457">
        <v>1</v>
      </c>
      <c r="F457">
        <v>1</v>
      </c>
      <c r="G457" t="s">
        <v>447</v>
      </c>
      <c r="H457" t="s">
        <v>995</v>
      </c>
      <c r="I457" t="s">
        <v>1738</v>
      </c>
      <c r="J457" t="s">
        <v>2017</v>
      </c>
      <c r="K457">
        <v>1651</v>
      </c>
      <c r="M457" t="str">
        <f>VLOOKUP(C457,Lcode_mapping!D:D,1,FALSE)</f>
        <v>ABASRATE</v>
      </c>
    </row>
    <row r="458" spans="1:13" x14ac:dyDescent="0.25">
      <c r="A458">
        <v>50</v>
      </c>
      <c r="B458">
        <v>3</v>
      </c>
      <c r="C458" t="s">
        <v>996</v>
      </c>
      <c r="D458">
        <v>2</v>
      </c>
      <c r="E458">
        <v>2</v>
      </c>
      <c r="F458">
        <v>1</v>
      </c>
      <c r="G458" t="s">
        <v>447</v>
      </c>
      <c r="H458" t="s">
        <v>997</v>
      </c>
      <c r="I458" t="s">
        <v>1738</v>
      </c>
      <c r="J458" t="s">
        <v>2017</v>
      </c>
      <c r="K458">
        <v>1677</v>
      </c>
      <c r="M458" t="str">
        <f>VLOOKUP(C458,Lcode_mapping!D:D,1,FALSE)</f>
        <v>CORCLOCK</v>
      </c>
    </row>
    <row r="459" spans="1:13" x14ac:dyDescent="0.25">
      <c r="A459">
        <v>51</v>
      </c>
      <c r="B459">
        <v>3</v>
      </c>
      <c r="C459" t="s">
        <v>1004</v>
      </c>
      <c r="D459">
        <v>1</v>
      </c>
      <c r="E459">
        <v>1</v>
      </c>
      <c r="F459">
        <v>1</v>
      </c>
      <c r="G459" t="s">
        <v>447</v>
      </c>
      <c r="H459" t="s">
        <v>1005</v>
      </c>
      <c r="I459" t="s">
        <v>1738</v>
      </c>
      <c r="J459" t="s">
        <v>2017</v>
      </c>
      <c r="K459">
        <v>1651</v>
      </c>
      <c r="M459" t="str">
        <f>VLOOKUP(C459,Lcode_mapping!D:D,1,FALSE)</f>
        <v>GC MBD</v>
      </c>
    </row>
    <row r="460" spans="1:13" x14ac:dyDescent="0.25">
      <c r="A460">
        <v>52</v>
      </c>
      <c r="B460">
        <v>3</v>
      </c>
      <c r="C460" t="s">
        <v>1006</v>
      </c>
      <c r="D460">
        <v>1</v>
      </c>
      <c r="E460">
        <v>1</v>
      </c>
      <c r="F460">
        <v>1</v>
      </c>
      <c r="G460" t="s">
        <v>447</v>
      </c>
      <c r="H460" t="s">
        <v>1007</v>
      </c>
      <c r="I460" t="s">
        <v>1738</v>
      </c>
      <c r="J460" t="s">
        <v>2017</v>
      </c>
      <c r="K460">
        <v>1651</v>
      </c>
      <c r="M460" t="str">
        <f>VLOOKUP(C460,Lcode_mapping!D:D,1,FALSE)</f>
        <v>GC RATE</v>
      </c>
    </row>
    <row r="461" spans="1:13" x14ac:dyDescent="0.25">
      <c r="A461">
        <v>53</v>
      </c>
      <c r="B461">
        <v>3</v>
      </c>
      <c r="C461" t="s">
        <v>1008</v>
      </c>
      <c r="D461">
        <v>1</v>
      </c>
      <c r="E461">
        <v>1</v>
      </c>
      <c r="F461">
        <v>1</v>
      </c>
      <c r="G461" t="s">
        <v>447</v>
      </c>
      <c r="H461" t="s">
        <v>1009</v>
      </c>
      <c r="I461" t="s">
        <v>1738</v>
      </c>
      <c r="J461" t="s">
        <v>2017</v>
      </c>
      <c r="K461">
        <v>1651</v>
      </c>
      <c r="M461" t="str">
        <f>VLOOKUP(C461,Lcode_mapping!D:D,1,FALSE)</f>
        <v>GC SBD</v>
      </c>
    </row>
    <row r="462" spans="1:13" x14ac:dyDescent="0.25">
      <c r="A462">
        <v>54</v>
      </c>
      <c r="B462">
        <v>3</v>
      </c>
      <c r="C462" t="s">
        <v>1012</v>
      </c>
      <c r="D462">
        <v>2</v>
      </c>
      <c r="E462">
        <v>1</v>
      </c>
      <c r="F462">
        <v>1</v>
      </c>
      <c r="G462" t="s">
        <v>447</v>
      </c>
      <c r="H462" t="s">
        <v>1013</v>
      </c>
      <c r="I462" t="s">
        <v>1738</v>
      </c>
      <c r="J462" t="s">
        <v>2017</v>
      </c>
      <c r="K462">
        <v>1651</v>
      </c>
      <c r="M462" t="str">
        <f>VLOOKUP(C462,Lcode_mapping!D:D,1,FALSE)</f>
        <v>IDELAY</v>
      </c>
    </row>
    <row r="463" spans="1:13" x14ac:dyDescent="0.25">
      <c r="A463">
        <v>55</v>
      </c>
      <c r="B463">
        <v>3</v>
      </c>
      <c r="C463" t="s">
        <v>1022</v>
      </c>
      <c r="D463">
        <v>2</v>
      </c>
      <c r="E463">
        <v>1</v>
      </c>
      <c r="F463">
        <v>1</v>
      </c>
      <c r="G463" t="s">
        <v>447</v>
      </c>
      <c r="H463" t="s">
        <v>1023</v>
      </c>
      <c r="I463" t="s">
        <v>1738</v>
      </c>
      <c r="J463" t="s">
        <v>2017</v>
      </c>
      <c r="K463">
        <v>1651</v>
      </c>
      <c r="M463" t="str">
        <f>VLOOKUP(C463,Lcode_mapping!D:D,1,FALSE)</f>
        <v>STARELEV</v>
      </c>
    </row>
    <row r="464" spans="1:13" x14ac:dyDescent="0.25">
      <c r="A464">
        <v>56</v>
      </c>
      <c r="B464">
        <v>3</v>
      </c>
      <c r="C464" t="s">
        <v>1024</v>
      </c>
      <c r="D464">
        <v>2</v>
      </c>
      <c r="E464">
        <v>1</v>
      </c>
      <c r="F464">
        <v>1</v>
      </c>
      <c r="G464" t="s">
        <v>447</v>
      </c>
      <c r="H464" t="s">
        <v>1025</v>
      </c>
      <c r="I464" t="s">
        <v>1738</v>
      </c>
      <c r="J464" t="s">
        <v>2017</v>
      </c>
      <c r="K464">
        <v>1651</v>
      </c>
      <c r="M464" t="str">
        <f>VLOOKUP(C464,Lcode_mapping!D:D,1,FALSE)</f>
        <v>ZDELAY</v>
      </c>
    </row>
    <row r="465" spans="1:13" x14ac:dyDescent="0.25">
      <c r="A465">
        <v>57</v>
      </c>
      <c r="B465">
        <v>3</v>
      </c>
      <c r="C465" t="s">
        <v>1028</v>
      </c>
      <c r="D465">
        <v>6</v>
      </c>
      <c r="E465">
        <v>1</v>
      </c>
      <c r="F465">
        <v>1</v>
      </c>
      <c r="G465" t="s">
        <v>544</v>
      </c>
      <c r="H465" t="s">
        <v>1029</v>
      </c>
      <c r="I465" t="s">
        <v>1738</v>
      </c>
      <c r="J465" t="s">
        <v>2017</v>
      </c>
      <c r="K465">
        <v>1651</v>
      </c>
      <c r="M465" t="str">
        <f>VLOOKUP(C465,Lcode_mapping!D:D,1,FALSE)</f>
        <v>CORR UTC</v>
      </c>
    </row>
    <row r="466" spans="1:13" x14ac:dyDescent="0.25">
      <c r="A466">
        <v>58</v>
      </c>
      <c r="B466">
        <v>3</v>
      </c>
      <c r="C466" t="s">
        <v>1034</v>
      </c>
      <c r="D466">
        <v>6</v>
      </c>
      <c r="E466">
        <v>1</v>
      </c>
      <c r="F466">
        <v>1</v>
      </c>
      <c r="G466" t="s">
        <v>544</v>
      </c>
      <c r="H466" t="s">
        <v>1035</v>
      </c>
      <c r="I466" t="s">
        <v>1738</v>
      </c>
      <c r="J466" t="s">
        <v>2017</v>
      </c>
      <c r="K466">
        <v>1651</v>
      </c>
      <c r="M466" t="str">
        <f>VLOOKUP(C466,Lcode_mapping!D:D,1,FALSE)</f>
        <v>FOURFUTC</v>
      </c>
    </row>
    <row r="467" spans="1:13" x14ac:dyDescent="0.25">
      <c r="A467">
        <v>59</v>
      </c>
      <c r="B467">
        <v>3</v>
      </c>
      <c r="C467" t="s">
        <v>1036</v>
      </c>
      <c r="D467">
        <v>2</v>
      </c>
      <c r="E467">
        <v>1</v>
      </c>
      <c r="F467">
        <v>1</v>
      </c>
      <c r="G467" t="s">
        <v>544</v>
      </c>
      <c r="H467" t="s">
        <v>1037</v>
      </c>
      <c r="I467" t="s">
        <v>1738</v>
      </c>
      <c r="J467" t="s">
        <v>2017</v>
      </c>
      <c r="K467">
        <v>1651</v>
      </c>
      <c r="M467" t="str">
        <f>VLOOKUP(C467,Lcode_mapping!D:D,1,FALSE)</f>
        <v>FOURFVER</v>
      </c>
    </row>
    <row r="468" spans="1:13" x14ac:dyDescent="0.25">
      <c r="A468">
        <v>60</v>
      </c>
      <c r="B468">
        <v>3</v>
      </c>
      <c r="C468" t="s">
        <v>1040</v>
      </c>
      <c r="D468">
        <v>6</v>
      </c>
      <c r="E468">
        <v>1</v>
      </c>
      <c r="F468">
        <v>1</v>
      </c>
      <c r="G468" t="s">
        <v>544</v>
      </c>
      <c r="H468" t="s">
        <v>1041</v>
      </c>
      <c r="I468" t="s">
        <v>1738</v>
      </c>
      <c r="J468" t="s">
        <v>2017</v>
      </c>
      <c r="K468">
        <v>1651</v>
      </c>
      <c r="M468" t="str">
        <f>VLOOKUP(C468,Lcode_mapping!D:D,1,FALSE)</f>
        <v>SCAN UTC</v>
      </c>
    </row>
    <row r="469" spans="1:13" x14ac:dyDescent="0.25">
      <c r="A469">
        <v>61</v>
      </c>
      <c r="B469">
        <v>3</v>
      </c>
      <c r="C469" t="s">
        <v>1042</v>
      </c>
      <c r="D469">
        <v>1</v>
      </c>
      <c r="E469">
        <v>1</v>
      </c>
      <c r="F469">
        <v>1</v>
      </c>
      <c r="G469" t="s">
        <v>544</v>
      </c>
      <c r="H469" t="s">
        <v>1043</v>
      </c>
      <c r="I469" t="s">
        <v>1738</v>
      </c>
      <c r="J469" t="s">
        <v>2017</v>
      </c>
      <c r="K469">
        <v>1651</v>
      </c>
      <c r="M469" t="str">
        <f>VLOOKUP(C469,Lcode_mapping!D:D,1,FALSE)</f>
        <v>STARTOFF</v>
      </c>
    </row>
    <row r="470" spans="1:13" x14ac:dyDescent="0.25">
      <c r="A470">
        <v>62</v>
      </c>
      <c r="B470">
        <v>3</v>
      </c>
      <c r="C470" t="s">
        <v>1044</v>
      </c>
      <c r="D470">
        <v>1</v>
      </c>
      <c r="E470">
        <v>1</v>
      </c>
      <c r="F470">
        <v>1</v>
      </c>
      <c r="G470" t="s">
        <v>544</v>
      </c>
      <c r="H470" t="s">
        <v>1045</v>
      </c>
      <c r="I470" t="s">
        <v>1738</v>
      </c>
      <c r="J470" t="s">
        <v>2017</v>
      </c>
      <c r="K470">
        <v>1651</v>
      </c>
      <c r="M470" t="str">
        <f>VLOOKUP(C470,Lcode_mapping!D:D,1,FALSE)</f>
        <v>STOP OFF</v>
      </c>
    </row>
    <row r="471" spans="1:13" x14ac:dyDescent="0.25">
      <c r="A471">
        <v>63</v>
      </c>
      <c r="B471">
        <v>3</v>
      </c>
      <c r="C471" t="s">
        <v>1048</v>
      </c>
      <c r="D471">
        <v>16</v>
      </c>
      <c r="E471">
        <v>1</v>
      </c>
      <c r="F471">
        <v>1</v>
      </c>
      <c r="G471" t="s">
        <v>589</v>
      </c>
      <c r="H471" t="s">
        <v>1049</v>
      </c>
      <c r="I471" t="s">
        <v>1738</v>
      </c>
      <c r="J471" t="s">
        <v>2017</v>
      </c>
      <c r="K471">
        <v>1651</v>
      </c>
      <c r="M471" t="str">
        <f>VLOOKUP(C471,Lcode_mapping!D:D,1,FALSE)</f>
        <v>CHAN ID</v>
      </c>
    </row>
    <row r="472" spans="1:13" x14ac:dyDescent="0.25">
      <c r="A472">
        <v>64</v>
      </c>
      <c r="B472">
        <v>3</v>
      </c>
      <c r="C472" t="s">
        <v>1052</v>
      </c>
      <c r="D472">
        <v>8</v>
      </c>
      <c r="E472">
        <v>1</v>
      </c>
      <c r="F472">
        <v>1</v>
      </c>
      <c r="G472" t="s">
        <v>589</v>
      </c>
      <c r="H472" t="s">
        <v>1053</v>
      </c>
      <c r="I472" t="s">
        <v>1738</v>
      </c>
      <c r="J472" t="s">
        <v>2017</v>
      </c>
      <c r="K472">
        <v>1651</v>
      </c>
      <c r="M472" t="str">
        <f>VLOOKUP(C472,Lcode_mapping!D:D,1,FALSE)</f>
        <v>CROOTFIL</v>
      </c>
    </row>
    <row r="473" spans="1:13" x14ac:dyDescent="0.25">
      <c r="A473">
        <v>65</v>
      </c>
      <c r="B473">
        <v>3</v>
      </c>
      <c r="C473" t="s">
        <v>1054</v>
      </c>
      <c r="D473">
        <v>8</v>
      </c>
      <c r="E473">
        <v>1</v>
      </c>
      <c r="F473">
        <v>1</v>
      </c>
      <c r="G473" t="s">
        <v>589</v>
      </c>
      <c r="H473" t="s">
        <v>1055</v>
      </c>
      <c r="I473" t="s">
        <v>1738</v>
      </c>
      <c r="J473" t="s">
        <v>2017</v>
      </c>
      <c r="K473">
        <v>1651</v>
      </c>
      <c r="M473" t="str">
        <f>VLOOKUP(C473,Lcode_mapping!D:D,1,FALSE)</f>
        <v>FOURFFIL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4"/>
  <sheetViews>
    <sheetView topLeftCell="A39" workbookViewId="0">
      <selection activeCell="H73" sqref="H73"/>
    </sheetView>
  </sheetViews>
  <sheetFormatPr defaultRowHeight="15" x14ac:dyDescent="0.25"/>
  <cols>
    <col min="1" max="1" width="19.5703125" customWidth="1"/>
    <col min="2" max="2" width="16.42578125" customWidth="1"/>
    <col min="3" max="3" width="23.140625" customWidth="1"/>
    <col min="4" max="4" width="12" customWidth="1"/>
    <col min="5" max="5" width="14.140625" customWidth="1"/>
  </cols>
  <sheetData>
    <row r="1" spans="1:5" x14ac:dyDescent="0.25">
      <c r="A1" t="s">
        <v>1254</v>
      </c>
      <c r="B1" t="s">
        <v>588</v>
      </c>
      <c r="C1" t="s">
        <v>1125</v>
      </c>
      <c r="E1" t="e">
        <f>VLOOKUP(B1,#REF!,1,FALSE)</f>
        <v>#REF!</v>
      </c>
    </row>
    <row r="2" spans="1:5" x14ac:dyDescent="0.25">
      <c r="A2" t="s">
        <v>1254</v>
      </c>
      <c r="B2" t="s">
        <v>591</v>
      </c>
      <c r="C2" t="s">
        <v>1126</v>
      </c>
      <c r="E2" t="e">
        <f>VLOOKUP(B2,#REF!,1,FALSE)</f>
        <v>#REF!</v>
      </c>
    </row>
    <row r="3" spans="1:5" x14ac:dyDescent="0.25">
      <c r="A3" t="s">
        <v>1254</v>
      </c>
      <c r="B3" t="s">
        <v>1052</v>
      </c>
      <c r="C3" t="s">
        <v>1127</v>
      </c>
      <c r="E3" t="e">
        <f>VLOOKUP(B3,#REF!,1,FALSE)</f>
        <v>#REF!</v>
      </c>
    </row>
    <row r="4" spans="1:5" x14ac:dyDescent="0.25">
      <c r="A4" t="s">
        <v>1254</v>
      </c>
      <c r="B4" t="s">
        <v>661</v>
      </c>
      <c r="C4" t="s">
        <v>1133</v>
      </c>
      <c r="E4" t="e">
        <f>VLOOKUP(B4,#REF!,1,FALSE)</f>
        <v>#REF!</v>
      </c>
    </row>
    <row r="5" spans="1:5" x14ac:dyDescent="0.25">
      <c r="A5" t="s">
        <v>1254</v>
      </c>
      <c r="B5" t="s">
        <v>694</v>
      </c>
      <c r="C5" t="s">
        <v>1136</v>
      </c>
      <c r="E5" t="e">
        <f>VLOOKUP(B5,#REF!,1,FALSE)</f>
        <v>#REF!</v>
      </c>
    </row>
    <row r="6" spans="1:5" x14ac:dyDescent="0.25">
      <c r="A6" t="s">
        <v>1254</v>
      </c>
      <c r="B6" t="s">
        <v>593</v>
      </c>
      <c r="C6" t="s">
        <v>1126</v>
      </c>
      <c r="E6" t="e">
        <f>VLOOKUP(B6,#REF!,1,FALSE)</f>
        <v>#REF!</v>
      </c>
    </row>
    <row r="7" spans="1:5" x14ac:dyDescent="0.25">
      <c r="A7" t="s">
        <v>1254</v>
      </c>
      <c r="B7" t="s">
        <v>595</v>
      </c>
      <c r="C7" t="s">
        <v>1126</v>
      </c>
      <c r="E7" t="e">
        <f>VLOOKUP(B7,#REF!,1,FALSE)</f>
        <v>#REF!</v>
      </c>
    </row>
    <row r="8" spans="1:5" x14ac:dyDescent="0.25">
      <c r="A8" t="s">
        <v>1254</v>
      </c>
      <c r="B8" t="s">
        <v>1054</v>
      </c>
      <c r="C8" t="s">
        <v>1147</v>
      </c>
      <c r="E8" t="e">
        <f>VLOOKUP(B8,#REF!,1,FALSE)</f>
        <v>#REF!</v>
      </c>
    </row>
    <row r="9" spans="1:5" x14ac:dyDescent="0.25">
      <c r="A9" t="s">
        <v>1254</v>
      </c>
      <c r="B9" t="s">
        <v>1064</v>
      </c>
      <c r="C9" t="s">
        <v>1148</v>
      </c>
      <c r="E9" t="e">
        <f>VLOOKUP(B9,#REF!,1,FALSE)</f>
        <v>#REF!</v>
      </c>
    </row>
    <row r="10" spans="1:5" x14ac:dyDescent="0.25">
      <c r="A10" t="s">
        <v>1254</v>
      </c>
      <c r="B10" t="s">
        <v>722</v>
      </c>
      <c r="C10" t="s">
        <v>722</v>
      </c>
      <c r="E10" t="e">
        <f>VLOOKUP(B10,#REF!,1,FALSE)</f>
        <v>#REF!</v>
      </c>
    </row>
    <row r="11" spans="1:5" x14ac:dyDescent="0.25">
      <c r="A11" t="s">
        <v>1254</v>
      </c>
      <c r="B11" t="s">
        <v>601</v>
      </c>
      <c r="C11" t="s">
        <v>1169</v>
      </c>
      <c r="E11" t="e">
        <f>VLOOKUP(B11,#REF!,1,FALSE)</f>
        <v>#REF!</v>
      </c>
    </row>
    <row r="12" spans="1:5" x14ac:dyDescent="0.25">
      <c r="A12" t="s">
        <v>1254</v>
      </c>
      <c r="B12" t="s">
        <v>603</v>
      </c>
      <c r="C12" t="s">
        <v>1176</v>
      </c>
      <c r="E12" t="e">
        <f>VLOOKUP(B12,#REF!,1,FALSE)</f>
        <v>#REF!</v>
      </c>
    </row>
    <row r="13" spans="1:5" x14ac:dyDescent="0.25">
      <c r="A13" t="s">
        <v>1254</v>
      </c>
      <c r="B13" t="s">
        <v>980</v>
      </c>
      <c r="C13" t="s">
        <v>1186</v>
      </c>
      <c r="E13" t="e">
        <f>VLOOKUP(B13,#REF!,1,FALSE)</f>
        <v>#REF!</v>
      </c>
    </row>
    <row r="14" spans="1:5" x14ac:dyDescent="0.25">
      <c r="A14" t="s">
        <v>1254</v>
      </c>
      <c r="B14" t="s">
        <v>607</v>
      </c>
      <c r="C14" t="s">
        <v>1191</v>
      </c>
      <c r="E14" t="e">
        <f>VLOOKUP(B14,#REF!,1,FALSE)</f>
        <v>#REF!</v>
      </c>
    </row>
    <row r="15" spans="1:5" x14ac:dyDescent="0.25">
      <c r="A15" t="s">
        <v>1254</v>
      </c>
      <c r="B15" t="s">
        <v>714</v>
      </c>
      <c r="C15" t="s">
        <v>714</v>
      </c>
      <c r="E15" t="e">
        <f>VLOOKUP(B15,#REF!,1,FALSE)</f>
        <v>#REF!</v>
      </c>
    </row>
    <row r="16" spans="1:5" x14ac:dyDescent="0.25">
      <c r="A16" t="s">
        <v>1254</v>
      </c>
      <c r="B16" t="s">
        <v>609</v>
      </c>
      <c r="C16" t="s">
        <v>1197</v>
      </c>
      <c r="E16" t="e">
        <f>VLOOKUP(B16,#REF!,1,FALSE)</f>
        <v>#REF!</v>
      </c>
    </row>
    <row r="17" spans="1:5" x14ac:dyDescent="0.25">
      <c r="A17" t="s">
        <v>1251</v>
      </c>
      <c r="B17" t="s">
        <v>499</v>
      </c>
      <c r="C17" t="s">
        <v>1141</v>
      </c>
      <c r="E17" t="e">
        <f>VLOOKUP(B17,#REF!,1,FALSE)</f>
        <v>#REF!</v>
      </c>
    </row>
    <row r="18" spans="1:5" x14ac:dyDescent="0.25">
      <c r="A18" t="s">
        <v>1251</v>
      </c>
      <c r="B18" t="s">
        <v>501</v>
      </c>
      <c r="C18" t="s">
        <v>1142</v>
      </c>
      <c r="E18" t="e">
        <f>VLOOKUP(B18,#REF!,1,FALSE)</f>
        <v>#REF!</v>
      </c>
    </row>
    <row r="19" spans="1:5" x14ac:dyDescent="0.25">
      <c r="A19" t="s">
        <v>1251</v>
      </c>
      <c r="B19" t="s">
        <v>515</v>
      </c>
      <c r="C19" t="s">
        <v>1143</v>
      </c>
      <c r="E19" t="e">
        <f>VLOOKUP(B19,#REF!,1,FALSE)</f>
        <v>#REF!</v>
      </c>
    </row>
    <row r="20" spans="1:5" x14ac:dyDescent="0.25">
      <c r="A20" t="s">
        <v>1137</v>
      </c>
      <c r="B20" t="s">
        <v>702</v>
      </c>
      <c r="C20" t="s">
        <v>1098</v>
      </c>
      <c r="E20" t="e">
        <f>VLOOKUP(B20,#REF!,1,FALSE)</f>
        <v>#REF!</v>
      </c>
    </row>
    <row r="21" spans="1:5" x14ac:dyDescent="0.25">
      <c r="A21" t="s">
        <v>1137</v>
      </c>
      <c r="B21" t="s">
        <v>974</v>
      </c>
      <c r="C21" t="s">
        <v>1103</v>
      </c>
      <c r="E21" t="e">
        <f>VLOOKUP(B21,#REF!,1,FALSE)</f>
        <v>#REF!</v>
      </c>
    </row>
    <row r="22" spans="1:5" x14ac:dyDescent="0.25">
      <c r="A22" t="s">
        <v>1137</v>
      </c>
      <c r="B22" t="s">
        <v>706</v>
      </c>
      <c r="C22" t="s">
        <v>1105</v>
      </c>
      <c r="E22" t="e">
        <f>VLOOKUP(B22,#REF!,1,FALSE)</f>
        <v>#REF!</v>
      </c>
    </row>
    <row r="23" spans="1:5" x14ac:dyDescent="0.25">
      <c r="A23" t="s">
        <v>1137</v>
      </c>
      <c r="B23" t="s">
        <v>698</v>
      </c>
      <c r="C23" t="s">
        <v>1106</v>
      </c>
      <c r="E23" t="e">
        <f>VLOOKUP(B23,#REF!,1,FALSE)</f>
        <v>#REF!</v>
      </c>
    </row>
    <row r="24" spans="1:5" x14ac:dyDescent="0.25">
      <c r="A24" t="s">
        <v>1137</v>
      </c>
      <c r="B24" t="s">
        <v>712</v>
      </c>
      <c r="C24" t="s">
        <v>1110</v>
      </c>
      <c r="E24" t="e">
        <f>VLOOKUP(B24,#REF!,1,FALSE)</f>
        <v>#REF!</v>
      </c>
    </row>
    <row r="25" spans="1:5" x14ac:dyDescent="0.25">
      <c r="A25" t="s">
        <v>1137</v>
      </c>
      <c r="B25" t="s">
        <v>718</v>
      </c>
      <c r="C25" t="s">
        <v>1114</v>
      </c>
      <c r="E25" t="e">
        <f>VLOOKUP(B25,#REF!,1,FALSE)</f>
        <v>#REF!</v>
      </c>
    </row>
    <row r="26" spans="1:5" x14ac:dyDescent="0.25">
      <c r="A26" t="s">
        <v>1137</v>
      </c>
      <c r="B26" t="s">
        <v>716</v>
      </c>
      <c r="C26" t="s">
        <v>1117</v>
      </c>
      <c r="E26" t="e">
        <f>VLOOKUP(B26,#REF!,1,FALSE)</f>
        <v>#REF!</v>
      </c>
    </row>
    <row r="27" spans="1:5" x14ac:dyDescent="0.25">
      <c r="A27" t="s">
        <v>1137</v>
      </c>
      <c r="B27" t="s">
        <v>704</v>
      </c>
      <c r="C27" t="s">
        <v>1098</v>
      </c>
      <c r="E27" t="e">
        <f>VLOOKUP(B27,#REF!,1,FALSE)</f>
        <v>#REF!</v>
      </c>
    </row>
    <row r="28" spans="1:5" x14ac:dyDescent="0.25">
      <c r="A28" t="s">
        <v>1137</v>
      </c>
      <c r="B28" t="s">
        <v>700</v>
      </c>
      <c r="C28" t="s">
        <v>1098</v>
      </c>
      <c r="E28" t="e">
        <f>VLOOKUP(B28,#REF!,1,FALSE)</f>
        <v>#REF!</v>
      </c>
    </row>
    <row r="29" spans="1:5" x14ac:dyDescent="0.25">
      <c r="A29" t="s">
        <v>1137</v>
      </c>
      <c r="B29" t="s">
        <v>588</v>
      </c>
      <c r="C29" t="s">
        <v>1125</v>
      </c>
      <c r="E29" t="e">
        <f>VLOOKUP(B29,#REF!,1,FALSE)</f>
        <v>#REF!</v>
      </c>
    </row>
    <row r="30" spans="1:5" x14ac:dyDescent="0.25">
      <c r="A30" t="s">
        <v>1137</v>
      </c>
      <c r="B30" t="s">
        <v>696</v>
      </c>
      <c r="C30" t="s">
        <v>1132</v>
      </c>
      <c r="E30" t="e">
        <f>VLOOKUP(B30,#REF!,1,FALSE)</f>
        <v>#REF!</v>
      </c>
    </row>
    <row r="31" spans="1:5" x14ac:dyDescent="0.25">
      <c r="A31" t="s">
        <v>1137</v>
      </c>
      <c r="B31" t="s">
        <v>661</v>
      </c>
      <c r="C31" t="s">
        <v>1133</v>
      </c>
      <c r="E31" t="e">
        <f>VLOOKUP(B31,#REF!,1,FALSE)</f>
        <v>#REF!</v>
      </c>
    </row>
    <row r="32" spans="1:5" x14ac:dyDescent="0.25">
      <c r="A32" t="s">
        <v>1137</v>
      </c>
      <c r="B32" t="s">
        <v>694</v>
      </c>
      <c r="C32" t="s">
        <v>1138</v>
      </c>
      <c r="E32" t="e">
        <f>VLOOKUP(B32,#REF!,1,FALSE)</f>
        <v>#REF!</v>
      </c>
    </row>
    <row r="33" spans="1:5" x14ac:dyDescent="0.25">
      <c r="A33" t="s">
        <v>1137</v>
      </c>
      <c r="B33" t="s">
        <v>720</v>
      </c>
      <c r="C33" t="s">
        <v>1146</v>
      </c>
      <c r="E33" t="e">
        <f>VLOOKUP(B33,#REF!,1,FALSE)</f>
        <v>#REF!</v>
      </c>
    </row>
    <row r="34" spans="1:5" x14ac:dyDescent="0.25">
      <c r="A34" t="s">
        <v>1137</v>
      </c>
      <c r="B34" t="s">
        <v>1058</v>
      </c>
      <c r="C34" t="s">
        <v>1149</v>
      </c>
      <c r="E34" t="e">
        <f>VLOOKUP(B34,#REF!,1,FALSE)</f>
        <v>#REF!</v>
      </c>
    </row>
    <row r="35" spans="1:5" x14ac:dyDescent="0.25">
      <c r="A35" t="s">
        <v>1137</v>
      </c>
      <c r="B35" t="s">
        <v>724</v>
      </c>
      <c r="C35" t="s">
        <v>1163</v>
      </c>
      <c r="E35" t="e">
        <f>VLOOKUP(B35,#REF!,1,FALSE)</f>
        <v>#REF!</v>
      </c>
    </row>
    <row r="36" spans="1:5" x14ac:dyDescent="0.25">
      <c r="A36" t="s">
        <v>1137</v>
      </c>
      <c r="B36" t="s">
        <v>601</v>
      </c>
      <c r="C36" t="s">
        <v>1169</v>
      </c>
      <c r="E36" t="e">
        <f>VLOOKUP(B36,#REF!,1,FALSE)</f>
        <v>#REF!</v>
      </c>
    </row>
    <row r="37" spans="1:5" x14ac:dyDescent="0.25">
      <c r="A37" t="s">
        <v>1137</v>
      </c>
      <c r="B37" t="s">
        <v>976</v>
      </c>
      <c r="C37" t="s">
        <v>976</v>
      </c>
      <c r="E37" t="e">
        <f>VLOOKUP(B37,#REF!,1,FALSE)</f>
        <v>#REF!</v>
      </c>
    </row>
    <row r="38" spans="1:5" x14ac:dyDescent="0.25">
      <c r="A38" t="s">
        <v>1137</v>
      </c>
      <c r="B38" t="s">
        <v>986</v>
      </c>
      <c r="C38" t="s">
        <v>1174</v>
      </c>
      <c r="E38" t="e">
        <f>VLOOKUP(B38,#REF!,1,FALSE)</f>
        <v>#REF!</v>
      </c>
    </row>
    <row r="39" spans="1:5" x14ac:dyDescent="0.25">
      <c r="A39" t="s">
        <v>1137</v>
      </c>
      <c r="B39" t="s">
        <v>978</v>
      </c>
      <c r="C39" t="s">
        <v>1175</v>
      </c>
      <c r="E39" t="e">
        <f>VLOOKUP(B39,#REF!,1,FALSE)</f>
        <v>#REF!</v>
      </c>
    </row>
    <row r="40" spans="1:5" x14ac:dyDescent="0.25">
      <c r="A40" t="s">
        <v>1137</v>
      </c>
      <c r="B40" t="s">
        <v>980</v>
      </c>
      <c r="C40" t="s">
        <v>1126</v>
      </c>
      <c r="E40" t="e">
        <f>VLOOKUP(B40,#REF!,1,FALSE)</f>
        <v>#REF!</v>
      </c>
    </row>
    <row r="41" spans="1:5" x14ac:dyDescent="0.25">
      <c r="A41" t="s">
        <v>1137</v>
      </c>
      <c r="B41" t="s">
        <v>984</v>
      </c>
      <c r="C41" t="s">
        <v>1195</v>
      </c>
      <c r="E41" t="e">
        <f>VLOOKUP(B41,#REF!,1,FALSE)</f>
        <v>#REF!</v>
      </c>
    </row>
    <row r="42" spans="1:5" x14ac:dyDescent="0.25">
      <c r="A42" t="s">
        <v>1137</v>
      </c>
      <c r="B42" t="s">
        <v>655</v>
      </c>
      <c r="C42" t="s">
        <v>1201</v>
      </c>
      <c r="E42" t="e">
        <f>VLOOKUP(B42,#REF!,1,FALSE)</f>
        <v>#REF!</v>
      </c>
    </row>
    <row r="43" spans="1:5" x14ac:dyDescent="0.25">
      <c r="A43" t="s">
        <v>1137</v>
      </c>
      <c r="B43" t="s">
        <v>657</v>
      </c>
      <c r="C43" t="s">
        <v>1205</v>
      </c>
      <c r="E43" t="e">
        <f>VLOOKUP(B43,#REF!,1,FALSE)</f>
        <v>#REF!</v>
      </c>
    </row>
    <row r="44" spans="1:5" x14ac:dyDescent="0.25">
      <c r="A44" t="s">
        <v>1137</v>
      </c>
      <c r="B44" t="s">
        <v>665</v>
      </c>
      <c r="C44" t="s">
        <v>1209</v>
      </c>
      <c r="E44" t="e">
        <f>VLOOKUP(B44,#REF!,1,FALSE)</f>
        <v>#REF!</v>
      </c>
    </row>
    <row r="45" spans="1:5" x14ac:dyDescent="0.25">
      <c r="A45" t="s">
        <v>1252</v>
      </c>
      <c r="B45" t="s">
        <v>964</v>
      </c>
      <c r="C45" t="s">
        <v>1087</v>
      </c>
      <c r="E45" t="e">
        <f>VLOOKUP(B45,#REF!,1,FALSE)</f>
        <v>#REF!</v>
      </c>
    </row>
    <row r="46" spans="1:5" x14ac:dyDescent="0.25">
      <c r="A46" t="s">
        <v>1252</v>
      </c>
      <c r="B46" t="s">
        <v>566</v>
      </c>
      <c r="C46" t="s">
        <v>1088</v>
      </c>
      <c r="E46" t="e">
        <f>VLOOKUP(B46,#REF!,1,FALSE)</f>
        <v>#REF!</v>
      </c>
    </row>
    <row r="47" spans="1:5" x14ac:dyDescent="0.25">
      <c r="A47" t="s">
        <v>1252</v>
      </c>
      <c r="B47" t="s">
        <v>548</v>
      </c>
      <c r="C47" t="s">
        <v>1089</v>
      </c>
      <c r="E47" t="e">
        <f>VLOOKUP(B47,#REF!,1,FALSE)</f>
        <v>#REF!</v>
      </c>
    </row>
    <row r="48" spans="1:5" x14ac:dyDescent="0.25">
      <c r="A48" t="s">
        <v>1252</v>
      </c>
      <c r="B48" t="s">
        <v>550</v>
      </c>
      <c r="C48" t="s">
        <v>1090</v>
      </c>
      <c r="E48" t="e">
        <f>VLOOKUP(B48,#REF!,1,FALSE)</f>
        <v>#REF!</v>
      </c>
    </row>
    <row r="49" spans="1:5" x14ac:dyDescent="0.25">
      <c r="A49" t="s">
        <v>1252</v>
      </c>
      <c r="B49" t="s">
        <v>942</v>
      </c>
      <c r="C49" t="s">
        <v>1091</v>
      </c>
      <c r="E49" t="e">
        <f>VLOOKUP(B49,#REF!,1,FALSE)</f>
        <v>#REF!</v>
      </c>
    </row>
    <row r="50" spans="1:5" x14ac:dyDescent="0.25">
      <c r="A50" t="s">
        <v>1252</v>
      </c>
      <c r="B50" t="s">
        <v>970</v>
      </c>
      <c r="C50" t="s">
        <v>1092</v>
      </c>
      <c r="E50" t="e">
        <f>VLOOKUP(B50,#REF!,1,FALSE)</f>
        <v>#REF!</v>
      </c>
    </row>
    <row r="51" spans="1:5" x14ac:dyDescent="0.25">
      <c r="A51" t="s">
        <v>1252</v>
      </c>
      <c r="B51" t="s">
        <v>572</v>
      </c>
      <c r="C51" t="s">
        <v>1104</v>
      </c>
      <c r="E51" t="e">
        <f>VLOOKUP(B51,#REF!,1,FALSE)</f>
        <v>#REF!</v>
      </c>
    </row>
    <row r="52" spans="1:5" x14ac:dyDescent="0.25">
      <c r="A52" t="s">
        <v>1252</v>
      </c>
      <c r="B52" t="s">
        <v>570</v>
      </c>
      <c r="C52" t="s">
        <v>1108</v>
      </c>
      <c r="E52" t="e">
        <f>VLOOKUP(B52,#REF!,1,FALSE)</f>
        <v>#REF!</v>
      </c>
    </row>
    <row r="53" spans="1:5" x14ac:dyDescent="0.25">
      <c r="A53" t="s">
        <v>1252</v>
      </c>
      <c r="B53" t="s">
        <v>568</v>
      </c>
      <c r="C53" t="s">
        <v>1109</v>
      </c>
      <c r="E53" t="e">
        <f>VLOOKUP(B53,#REF!,1,FALSE)</f>
        <v>#REF!</v>
      </c>
    </row>
    <row r="54" spans="1:5" x14ac:dyDescent="0.25">
      <c r="A54" t="s">
        <v>1252</v>
      </c>
      <c r="B54" t="s">
        <v>578</v>
      </c>
      <c r="C54" t="s">
        <v>1113</v>
      </c>
      <c r="E54" t="e">
        <f>VLOOKUP(B54,#REF!,1,FALSE)</f>
        <v>#REF!</v>
      </c>
    </row>
    <row r="55" spans="1:5" x14ac:dyDescent="0.25">
      <c r="A55" t="s">
        <v>1252</v>
      </c>
      <c r="B55" t="s">
        <v>946</v>
      </c>
      <c r="C55" t="s">
        <v>1115</v>
      </c>
      <c r="E55" t="e">
        <f>VLOOKUP(B55,#REF!,1,FALSE)</f>
        <v>#REF!</v>
      </c>
    </row>
    <row r="56" spans="1:5" x14ac:dyDescent="0.25">
      <c r="A56" t="s">
        <v>1252</v>
      </c>
      <c r="B56" t="s">
        <v>948</v>
      </c>
      <c r="C56" t="s">
        <v>1129</v>
      </c>
      <c r="E56" t="e">
        <f>VLOOKUP(B56,#REF!,1,FALSE)</f>
        <v>#REF!</v>
      </c>
    </row>
    <row r="57" spans="1:5" x14ac:dyDescent="0.25">
      <c r="A57" t="s">
        <v>1252</v>
      </c>
      <c r="B57" t="s">
        <v>543</v>
      </c>
      <c r="C57" t="s">
        <v>543</v>
      </c>
      <c r="E57" t="e">
        <f>VLOOKUP(B57,#REF!,1,FALSE)</f>
        <v>#REF!</v>
      </c>
    </row>
    <row r="58" spans="1:5" x14ac:dyDescent="0.25">
      <c r="A58" t="s">
        <v>1252</v>
      </c>
      <c r="B58" t="s">
        <v>580</v>
      </c>
      <c r="C58" t="s">
        <v>1145</v>
      </c>
      <c r="E58" t="e">
        <f>VLOOKUP(B58,#REF!,1,FALSE)</f>
        <v>#REF!</v>
      </c>
    </row>
    <row r="59" spans="1:5" x14ac:dyDescent="0.25">
      <c r="A59" t="s">
        <v>1252</v>
      </c>
      <c r="B59" t="s">
        <v>556</v>
      </c>
      <c r="C59" t="s">
        <v>1151</v>
      </c>
      <c r="E59" t="e">
        <f>VLOOKUP(B59,#REF!,1,FALSE)</f>
        <v>#REF!</v>
      </c>
    </row>
    <row r="60" spans="1:5" x14ac:dyDescent="0.25">
      <c r="A60" t="s">
        <v>1252</v>
      </c>
      <c r="B60" t="s">
        <v>966</v>
      </c>
      <c r="C60" t="s">
        <v>1152</v>
      </c>
      <c r="E60" t="e">
        <f>VLOOKUP(B60,#REF!,1,FALSE)</f>
        <v>#REF!</v>
      </c>
    </row>
    <row r="61" spans="1:5" x14ac:dyDescent="0.25">
      <c r="A61" t="s">
        <v>1252</v>
      </c>
      <c r="B61" t="s">
        <v>968</v>
      </c>
      <c r="C61" t="s">
        <v>1153</v>
      </c>
      <c r="E61" t="e">
        <f>VLOOKUP(B61,#REF!,1,FALSE)</f>
        <v>#REF!</v>
      </c>
    </row>
    <row r="62" spans="1:5" x14ac:dyDescent="0.25">
      <c r="A62" t="s">
        <v>1252</v>
      </c>
      <c r="B62" t="s">
        <v>584</v>
      </c>
      <c r="C62" t="s">
        <v>1155</v>
      </c>
      <c r="E62" t="e">
        <f>VLOOKUP(B62,#REF!,1,FALSE)</f>
        <v>#REF!</v>
      </c>
    </row>
    <row r="63" spans="1:5" x14ac:dyDescent="0.25">
      <c r="A63" t="s">
        <v>1252</v>
      </c>
      <c r="B63" t="s">
        <v>950</v>
      </c>
      <c r="C63" t="s">
        <v>1157</v>
      </c>
      <c r="E63" t="e">
        <f>VLOOKUP(B63,#REF!,1,FALSE)</f>
        <v>#REF!</v>
      </c>
    </row>
    <row r="64" spans="1:5" x14ac:dyDescent="0.25">
      <c r="A64" t="s">
        <v>1252</v>
      </c>
      <c r="B64" t="s">
        <v>552</v>
      </c>
      <c r="C64" t="s">
        <v>1159</v>
      </c>
      <c r="E64" t="e">
        <f>VLOOKUP(B64,#REF!,1,FALSE)</f>
        <v>#REF!</v>
      </c>
    </row>
    <row r="65" spans="1:5" x14ac:dyDescent="0.25">
      <c r="A65" t="s">
        <v>1252</v>
      </c>
      <c r="B65" t="s">
        <v>586</v>
      </c>
      <c r="C65" t="s">
        <v>1162</v>
      </c>
      <c r="E65" t="e">
        <f>VLOOKUP(B65,#REF!,1,FALSE)</f>
        <v>#REF!</v>
      </c>
    </row>
    <row r="66" spans="1:5" x14ac:dyDescent="0.25">
      <c r="A66" t="s">
        <v>1252</v>
      </c>
      <c r="B66" t="s">
        <v>954</v>
      </c>
      <c r="C66" t="s">
        <v>1166</v>
      </c>
      <c r="E66" t="e">
        <f>VLOOKUP(B66,#REF!,1,FALSE)</f>
        <v>#REF!</v>
      </c>
    </row>
    <row r="67" spans="1:5" x14ac:dyDescent="0.25">
      <c r="A67" t="s">
        <v>1252</v>
      </c>
      <c r="B67" t="s">
        <v>582</v>
      </c>
      <c r="C67" t="s">
        <v>1173</v>
      </c>
      <c r="E67" t="e">
        <f>VLOOKUP(B67,#REF!,1,FALSE)</f>
        <v>#REF!</v>
      </c>
    </row>
    <row r="68" spans="1:5" x14ac:dyDescent="0.25">
      <c r="A68" t="s">
        <v>1252</v>
      </c>
      <c r="B68" t="s">
        <v>564</v>
      </c>
      <c r="C68" t="s">
        <v>1193</v>
      </c>
      <c r="E68" t="e">
        <f>VLOOKUP(B68,#REF!,1,FALSE)</f>
        <v>#REF!</v>
      </c>
    </row>
    <row r="69" spans="1:5" x14ac:dyDescent="0.25">
      <c r="A69" t="s">
        <v>1252</v>
      </c>
      <c r="B69" t="s">
        <v>574</v>
      </c>
      <c r="C69" t="s">
        <v>1194</v>
      </c>
      <c r="E69" t="e">
        <f>VLOOKUP(B69,#REF!,1,FALSE)</f>
        <v>#REF!</v>
      </c>
    </row>
    <row r="70" spans="1:5" x14ac:dyDescent="0.25">
      <c r="A70" t="s">
        <v>1252</v>
      </c>
      <c r="B70" t="s">
        <v>576</v>
      </c>
      <c r="C70" t="s">
        <v>576</v>
      </c>
      <c r="E70" t="e">
        <f>VLOOKUP(B70,#REF!,1,FALSE)</f>
        <v>#REF!</v>
      </c>
    </row>
    <row r="71" spans="1:5" x14ac:dyDescent="0.25">
      <c r="A71" t="s">
        <v>1252</v>
      </c>
      <c r="B71" t="s">
        <v>560</v>
      </c>
      <c r="C71" t="s">
        <v>1198</v>
      </c>
      <c r="E71" t="e">
        <f>VLOOKUP(B71,#REF!,1,FALSE)</f>
        <v>#REF!</v>
      </c>
    </row>
    <row r="72" spans="1:5" x14ac:dyDescent="0.25">
      <c r="A72" t="s">
        <v>1252</v>
      </c>
      <c r="B72" t="s">
        <v>972</v>
      </c>
      <c r="C72" t="s">
        <v>972</v>
      </c>
      <c r="E72" t="e">
        <f>VLOOKUP(B72,#REF!,1,FALSE)</f>
        <v>#REF!</v>
      </c>
    </row>
    <row r="73" spans="1:5" x14ac:dyDescent="0.25">
      <c r="A73" t="s">
        <v>1252</v>
      </c>
      <c r="B73" t="s">
        <v>958</v>
      </c>
      <c r="C73" t="s">
        <v>1206</v>
      </c>
      <c r="E73" t="e">
        <f>VLOOKUP(B73,#REF!,1,FALSE)</f>
        <v>#REF!</v>
      </c>
    </row>
    <row r="74" spans="1:5" x14ac:dyDescent="0.25">
      <c r="A74" t="s">
        <v>1252</v>
      </c>
      <c r="B74" t="s">
        <v>960</v>
      </c>
      <c r="C74" t="s">
        <v>1206</v>
      </c>
      <c r="E74" t="e">
        <f>VLOOKUP(B74,#REF!,1,FALSE)</f>
        <v>#REF!</v>
      </c>
    </row>
    <row r="75" spans="1:5" x14ac:dyDescent="0.25">
      <c r="A75" t="s">
        <v>1250</v>
      </c>
      <c r="B75" t="s">
        <v>988</v>
      </c>
      <c r="C75" t="s">
        <v>1093</v>
      </c>
      <c r="E75" t="e">
        <f>VLOOKUP(B75,#REF!,1,FALSE)</f>
        <v>#REF!</v>
      </c>
    </row>
    <row r="76" spans="1:5" x14ac:dyDescent="0.25">
      <c r="A76" t="s">
        <v>1250</v>
      </c>
      <c r="B76" t="s">
        <v>730</v>
      </c>
      <c r="C76" t="s">
        <v>1158</v>
      </c>
      <c r="E76" t="e">
        <f>VLOOKUP(B76,#REF!,1,FALSE)</f>
        <v>#REF!</v>
      </c>
    </row>
    <row r="77" spans="1:5" x14ac:dyDescent="0.25">
      <c r="A77" t="s">
        <v>1253</v>
      </c>
      <c r="B77" t="s">
        <v>735</v>
      </c>
      <c r="C77" t="s">
        <v>1095</v>
      </c>
      <c r="E77" t="e">
        <f>VLOOKUP(B77,#REF!,1,FALSE)</f>
        <v>#REF!</v>
      </c>
    </row>
    <row r="78" spans="1:5" x14ac:dyDescent="0.25">
      <c r="A78" t="s">
        <v>1253</v>
      </c>
      <c r="B78" t="s">
        <v>737</v>
      </c>
      <c r="C78" t="s">
        <v>1096</v>
      </c>
      <c r="E78" t="e">
        <f>VLOOKUP(B78,#REF!,1,FALSE)</f>
        <v>#REF!</v>
      </c>
    </row>
    <row r="79" spans="1:5" x14ac:dyDescent="0.25">
      <c r="A79" t="s">
        <v>1253</v>
      </c>
      <c r="B79" t="s">
        <v>446</v>
      </c>
      <c r="C79" t="s">
        <v>446</v>
      </c>
      <c r="E79" t="e">
        <f>VLOOKUP(B79,#REF!,1,FALSE)</f>
        <v>#REF!</v>
      </c>
    </row>
    <row r="80" spans="1:5" x14ac:dyDescent="0.25">
      <c r="A80" t="s">
        <v>1253</v>
      </c>
      <c r="B80" t="s">
        <v>880</v>
      </c>
      <c r="C80" t="s">
        <v>1097</v>
      </c>
      <c r="E80" t="e">
        <f>VLOOKUP(B80,#REF!,1,FALSE)</f>
        <v>#REF!</v>
      </c>
    </row>
    <row r="81" spans="1:5" x14ac:dyDescent="0.25">
      <c r="A81" t="s">
        <v>1253</v>
      </c>
      <c r="B81" t="s">
        <v>527</v>
      </c>
      <c r="C81" t="s">
        <v>1099</v>
      </c>
      <c r="E81" t="e">
        <f>VLOOKUP(B81,#REF!,1,FALSE)</f>
        <v>#REF!</v>
      </c>
    </row>
    <row r="82" spans="1:5" x14ac:dyDescent="0.25">
      <c r="A82" t="s">
        <v>1253</v>
      </c>
      <c r="B82" t="s">
        <v>535</v>
      </c>
      <c r="C82" t="s">
        <v>1100</v>
      </c>
      <c r="E82" t="e">
        <f>VLOOKUP(B82,#REF!,1,FALSE)</f>
        <v>#REF!</v>
      </c>
    </row>
    <row r="83" spans="1:5" x14ac:dyDescent="0.25">
      <c r="A83" t="s">
        <v>1253</v>
      </c>
      <c r="B83" t="s">
        <v>487</v>
      </c>
      <c r="C83" t="s">
        <v>1101</v>
      </c>
      <c r="E83" t="e">
        <f>VLOOKUP(B83,#REF!,1,FALSE)</f>
        <v>#REF!</v>
      </c>
    </row>
    <row r="84" spans="1:5" x14ac:dyDescent="0.25">
      <c r="A84" t="s">
        <v>1253</v>
      </c>
      <c r="B84" t="s">
        <v>533</v>
      </c>
      <c r="C84" t="s">
        <v>1107</v>
      </c>
      <c r="E84" t="e">
        <f>VLOOKUP(B84,#REF!,1,FALSE)</f>
        <v>#REF!</v>
      </c>
    </row>
    <row r="85" spans="1:5" x14ac:dyDescent="0.25">
      <c r="A85" t="s">
        <v>1253</v>
      </c>
      <c r="B85" t="s">
        <v>519</v>
      </c>
      <c r="C85" t="s">
        <v>1116</v>
      </c>
      <c r="E85" t="e">
        <f>VLOOKUP(B85,#REF!,1,FALSE)</f>
        <v>#REF!</v>
      </c>
    </row>
    <row r="86" spans="1:5" x14ac:dyDescent="0.25">
      <c r="A86" t="s">
        <v>1253</v>
      </c>
      <c r="B86" t="s">
        <v>529</v>
      </c>
      <c r="C86" t="s">
        <v>1099</v>
      </c>
      <c r="E86" t="e">
        <f>VLOOKUP(B86,#REF!,1,FALSE)</f>
        <v>#REF!</v>
      </c>
    </row>
    <row r="87" spans="1:5" x14ac:dyDescent="0.25">
      <c r="A87" t="s">
        <v>1253</v>
      </c>
      <c r="B87" t="s">
        <v>531</v>
      </c>
      <c r="C87" t="s">
        <v>1118</v>
      </c>
      <c r="E87" t="e">
        <f>VLOOKUP(B87,#REF!,1,FALSE)</f>
        <v>#REF!</v>
      </c>
    </row>
    <row r="88" spans="1:5" x14ac:dyDescent="0.25">
      <c r="A88" t="s">
        <v>1253</v>
      </c>
      <c r="B88" t="s">
        <v>539</v>
      </c>
      <c r="C88" t="s">
        <v>1119</v>
      </c>
      <c r="E88" t="e">
        <f>VLOOKUP(B88,#REF!,1,FALSE)</f>
        <v>#REF!</v>
      </c>
    </row>
    <row r="89" spans="1:5" x14ac:dyDescent="0.25">
      <c r="A89" t="s">
        <v>1253</v>
      </c>
      <c r="B89" t="s">
        <v>537</v>
      </c>
      <c r="C89" t="s">
        <v>1120</v>
      </c>
      <c r="E89" t="e">
        <f>VLOOKUP(B89,#REF!,1,FALSE)</f>
        <v>#REF!</v>
      </c>
    </row>
    <row r="90" spans="1:5" x14ac:dyDescent="0.25">
      <c r="A90" t="s">
        <v>1253</v>
      </c>
      <c r="B90" t="s">
        <v>916</v>
      </c>
      <c r="C90" t="s">
        <v>1121</v>
      </c>
      <c r="E90" t="e">
        <f>VLOOKUP(B90,#REF!,1,FALSE)</f>
        <v>#REF!</v>
      </c>
    </row>
    <row r="91" spans="1:5" x14ac:dyDescent="0.25">
      <c r="A91" t="s">
        <v>1253</v>
      </c>
      <c r="B91" t="s">
        <v>739</v>
      </c>
      <c r="C91" t="s">
        <v>1122</v>
      </c>
      <c r="E91" t="e">
        <f>VLOOKUP(B91,#REF!,1,FALSE)</f>
        <v>#REF!</v>
      </c>
    </row>
    <row r="92" spans="1:5" x14ac:dyDescent="0.25">
      <c r="A92" t="s">
        <v>1253</v>
      </c>
      <c r="B92" t="s">
        <v>861</v>
      </c>
      <c r="C92" t="s">
        <v>1123</v>
      </c>
      <c r="E92" t="e">
        <f>VLOOKUP(B92,#REF!,1,FALSE)</f>
        <v>#REF!</v>
      </c>
    </row>
    <row r="93" spans="1:5" x14ac:dyDescent="0.25">
      <c r="A93" t="s">
        <v>1253</v>
      </c>
      <c r="B93" t="s">
        <v>863</v>
      </c>
      <c r="C93" t="s">
        <v>1124</v>
      </c>
      <c r="E93" t="e">
        <f>VLOOKUP(B93,#REF!,1,FALSE)</f>
        <v>#REF!</v>
      </c>
    </row>
    <row r="94" spans="1:5" x14ac:dyDescent="0.25">
      <c r="A94" t="s">
        <v>1253</v>
      </c>
      <c r="B94" t="s">
        <v>853</v>
      </c>
      <c r="C94" t="s">
        <v>1128</v>
      </c>
      <c r="E94" t="e">
        <f>VLOOKUP(B94,#REF!,1,FALSE)</f>
        <v>#REF!</v>
      </c>
    </row>
    <row r="95" spans="1:5" x14ac:dyDescent="0.25">
      <c r="A95" t="s">
        <v>1253</v>
      </c>
      <c r="B95" t="s">
        <v>741</v>
      </c>
      <c r="C95" t="s">
        <v>1123</v>
      </c>
      <c r="E95" t="e">
        <f>VLOOKUP(B95,#REF!,1,FALSE)</f>
        <v>#REF!</v>
      </c>
    </row>
    <row r="96" spans="1:5" x14ac:dyDescent="0.25">
      <c r="A96" t="s">
        <v>1253</v>
      </c>
      <c r="B96" t="s">
        <v>745</v>
      </c>
      <c r="C96" t="s">
        <v>1124</v>
      </c>
      <c r="E96" t="e">
        <f>VLOOKUP(B96,#REF!,1,FALSE)</f>
        <v>#REF!</v>
      </c>
    </row>
    <row r="97" spans="1:5" x14ac:dyDescent="0.25">
      <c r="A97" t="s">
        <v>1253</v>
      </c>
      <c r="B97" t="s">
        <v>904</v>
      </c>
      <c r="C97" t="s">
        <v>1124</v>
      </c>
      <c r="E97" t="e">
        <f>VLOOKUP(B97,#REF!,1,FALSE)</f>
        <v>#REF!</v>
      </c>
    </row>
    <row r="98" spans="1:5" x14ac:dyDescent="0.25">
      <c r="A98" t="s">
        <v>1253</v>
      </c>
      <c r="B98" t="s">
        <v>902</v>
      </c>
      <c r="C98" t="s">
        <v>1124</v>
      </c>
      <c r="E98" t="e">
        <f>VLOOKUP(B98,#REF!,1,FALSE)</f>
        <v>#REF!</v>
      </c>
    </row>
    <row r="99" spans="1:5" x14ac:dyDescent="0.25">
      <c r="A99" t="s">
        <v>1253</v>
      </c>
      <c r="B99" t="s">
        <v>906</v>
      </c>
      <c r="C99" t="s">
        <v>1124</v>
      </c>
      <c r="E99" t="e">
        <f>VLOOKUP(B99,#REF!,1,FALSE)</f>
        <v>#REF!</v>
      </c>
    </row>
    <row r="100" spans="1:5" x14ac:dyDescent="0.25">
      <c r="A100" t="s">
        <v>1253</v>
      </c>
      <c r="B100" t="s">
        <v>908</v>
      </c>
      <c r="C100" t="s">
        <v>1124</v>
      </c>
      <c r="E100" t="e">
        <f>VLOOKUP(B100,#REF!,1,FALSE)</f>
        <v>#REF!</v>
      </c>
    </row>
    <row r="101" spans="1:5" x14ac:dyDescent="0.25">
      <c r="A101" t="s">
        <v>1253</v>
      </c>
      <c r="B101" t="s">
        <v>896</v>
      </c>
      <c r="C101" t="s">
        <v>1131</v>
      </c>
      <c r="E101" t="e">
        <f>VLOOKUP(B101,#REF!,1,FALSE)</f>
        <v>#REF!</v>
      </c>
    </row>
    <row r="102" spans="1:5" x14ac:dyDescent="0.25">
      <c r="A102" t="s">
        <v>1253</v>
      </c>
      <c r="B102" t="s">
        <v>525</v>
      </c>
      <c r="C102" t="s">
        <v>1139</v>
      </c>
      <c r="E102" t="e">
        <f>VLOOKUP(B102,#REF!,1,FALSE)</f>
        <v>#REF!</v>
      </c>
    </row>
    <row r="103" spans="1:5" x14ac:dyDescent="0.25">
      <c r="A103" t="s">
        <v>1253</v>
      </c>
      <c r="B103" t="s">
        <v>449</v>
      </c>
      <c r="C103" t="s">
        <v>1140</v>
      </c>
      <c r="E103" t="e">
        <f>VLOOKUP(B103,#REF!,1,FALSE)</f>
        <v>#REF!</v>
      </c>
    </row>
    <row r="104" spans="1:5" x14ac:dyDescent="0.25">
      <c r="A104" t="s">
        <v>1253</v>
      </c>
      <c r="B104" t="s">
        <v>517</v>
      </c>
      <c r="C104" t="s">
        <v>1144</v>
      </c>
      <c r="E104" t="e">
        <f>VLOOKUP(B104,#REF!,1,FALSE)</f>
        <v>#REF!</v>
      </c>
    </row>
    <row r="105" spans="1:5" x14ac:dyDescent="0.25">
      <c r="A105" t="s">
        <v>1253</v>
      </c>
      <c r="B105" t="s">
        <v>751</v>
      </c>
      <c r="C105" t="s">
        <v>1124</v>
      </c>
      <c r="E105" t="e">
        <f>VLOOKUP(B105,#REF!,1,FALSE)</f>
        <v>#REF!</v>
      </c>
    </row>
    <row r="106" spans="1:5" x14ac:dyDescent="0.25">
      <c r="A106" t="s">
        <v>1253</v>
      </c>
      <c r="B106" t="s">
        <v>922</v>
      </c>
      <c r="C106" t="s">
        <v>1150</v>
      </c>
      <c r="E106" t="e">
        <f>VLOOKUP(B106,#REF!,1,FALSE)</f>
        <v>#REF!</v>
      </c>
    </row>
    <row r="107" spans="1:5" x14ac:dyDescent="0.25">
      <c r="A107" t="s">
        <v>1253</v>
      </c>
      <c r="B107" t="s">
        <v>801</v>
      </c>
      <c r="C107" t="s">
        <v>1156</v>
      </c>
      <c r="E107" t="e">
        <f>VLOOKUP(B107,#REF!,1,FALSE)</f>
        <v>#REF!</v>
      </c>
    </row>
    <row r="108" spans="1:5" x14ac:dyDescent="0.25">
      <c r="A108" t="s">
        <v>1253</v>
      </c>
      <c r="B108" t="s">
        <v>823</v>
      </c>
      <c r="C108" t="s">
        <v>1160</v>
      </c>
      <c r="E108" t="e">
        <f>VLOOKUP(B108,#REF!,1,FALSE)</f>
        <v>#REF!</v>
      </c>
    </row>
    <row r="109" spans="1:5" x14ac:dyDescent="0.25">
      <c r="A109" t="s">
        <v>1253</v>
      </c>
      <c r="B109" t="s">
        <v>926</v>
      </c>
      <c r="C109" t="s">
        <v>1160</v>
      </c>
      <c r="E109" t="e">
        <f>VLOOKUP(B109,#REF!,1,FALSE)</f>
        <v>#REF!</v>
      </c>
    </row>
    <row r="110" spans="1:5" x14ac:dyDescent="0.25">
      <c r="A110" t="s">
        <v>1253</v>
      </c>
      <c r="B110" t="s">
        <v>930</v>
      </c>
      <c r="C110" t="s">
        <v>1161</v>
      </c>
      <c r="E110" t="e">
        <f>VLOOKUP(B110,#REF!,1,FALSE)</f>
        <v>#REF!</v>
      </c>
    </row>
    <row r="111" spans="1:5" x14ac:dyDescent="0.25">
      <c r="A111" t="s">
        <v>1253</v>
      </c>
      <c r="B111" t="s">
        <v>811</v>
      </c>
      <c r="C111" t="s">
        <v>1164</v>
      </c>
      <c r="E111" t="e">
        <f>VLOOKUP(B111,#REF!,1,FALSE)</f>
        <v>#REF!</v>
      </c>
    </row>
    <row r="112" spans="1:5" x14ac:dyDescent="0.25">
      <c r="A112" t="s">
        <v>1253</v>
      </c>
      <c r="B112" t="s">
        <v>455</v>
      </c>
      <c r="C112" t="s">
        <v>1168</v>
      </c>
      <c r="E112" t="e">
        <f>VLOOKUP(B112,#REF!,1,FALSE)</f>
        <v>#REF!</v>
      </c>
    </row>
    <row r="113" spans="1:5" x14ac:dyDescent="0.25">
      <c r="A113" t="s">
        <v>1253</v>
      </c>
      <c r="B113" t="s">
        <v>874</v>
      </c>
      <c r="C113" t="s">
        <v>1170</v>
      </c>
      <c r="E113" t="e">
        <f>VLOOKUP(B113,#REF!,1,FALSE)</f>
        <v>#REF!</v>
      </c>
    </row>
    <row r="114" spans="1:5" x14ac:dyDescent="0.25">
      <c r="A114" t="s">
        <v>1253</v>
      </c>
      <c r="B114" t="s">
        <v>851</v>
      </c>
      <c r="C114" t="s">
        <v>1171</v>
      </c>
      <c r="E114" t="e">
        <f>VLOOKUP(B114,#REF!,1,FALSE)</f>
        <v>#REF!</v>
      </c>
    </row>
    <row r="115" spans="1:5" x14ac:dyDescent="0.25">
      <c r="A115" t="s">
        <v>1253</v>
      </c>
      <c r="B115" t="s">
        <v>451</v>
      </c>
      <c r="C115" t="s">
        <v>1172</v>
      </c>
      <c r="E115" t="e">
        <f>VLOOKUP(B115,#REF!,1,FALSE)</f>
        <v>#REF!</v>
      </c>
    </row>
    <row r="116" spans="1:5" x14ac:dyDescent="0.25">
      <c r="A116" t="s">
        <v>1253</v>
      </c>
      <c r="B116" t="s">
        <v>759</v>
      </c>
      <c r="C116" t="s">
        <v>1124</v>
      </c>
      <c r="E116" t="e">
        <f>VLOOKUP(B116,#REF!,1,FALSE)</f>
        <v>#REF!</v>
      </c>
    </row>
    <row r="117" spans="1:5" x14ac:dyDescent="0.25">
      <c r="A117" t="s">
        <v>1253</v>
      </c>
      <c r="B117" t="s">
        <v>763</v>
      </c>
      <c r="C117" t="s">
        <v>1124</v>
      </c>
      <c r="E117" t="e">
        <f>VLOOKUP(B117,#REF!,1,FALSE)</f>
        <v>#REF!</v>
      </c>
    </row>
    <row r="118" spans="1:5" x14ac:dyDescent="0.25">
      <c r="A118" t="s">
        <v>1253</v>
      </c>
      <c r="B118" t="s">
        <v>912</v>
      </c>
      <c r="C118" t="s">
        <v>1178</v>
      </c>
      <c r="E118" t="e">
        <f>VLOOKUP(B118,#REF!,1,FALSE)</f>
        <v>#REF!</v>
      </c>
    </row>
    <row r="119" spans="1:5" x14ac:dyDescent="0.25">
      <c r="A119" t="s">
        <v>1253</v>
      </c>
      <c r="B119" t="s">
        <v>765</v>
      </c>
      <c r="C119" t="s">
        <v>1179</v>
      </c>
      <c r="E119" t="e">
        <f>VLOOKUP(B119,#REF!,1,FALSE)</f>
        <v>#REF!</v>
      </c>
    </row>
    <row r="120" spans="1:5" x14ac:dyDescent="0.25">
      <c r="A120" t="s">
        <v>1253</v>
      </c>
      <c r="B120" t="s">
        <v>453</v>
      </c>
      <c r="C120" t="s">
        <v>1180</v>
      </c>
      <c r="E120" t="e">
        <f>VLOOKUP(B120,#REF!,1,FALSE)</f>
        <v>#REF!</v>
      </c>
    </row>
    <row r="121" spans="1:5" x14ac:dyDescent="0.25">
      <c r="A121" t="s">
        <v>1253</v>
      </c>
      <c r="B121" t="s">
        <v>882</v>
      </c>
      <c r="C121" t="s">
        <v>1097</v>
      </c>
      <c r="E121" t="e">
        <f>VLOOKUP(B121,#REF!,1,FALSE)</f>
        <v>#REF!</v>
      </c>
    </row>
    <row r="122" spans="1:5" x14ac:dyDescent="0.25">
      <c r="A122" t="s">
        <v>1253</v>
      </c>
      <c r="B122" t="s">
        <v>767</v>
      </c>
      <c r="C122" t="s">
        <v>1181</v>
      </c>
      <c r="E122" t="e">
        <f>VLOOKUP(B122,#REF!,1,FALSE)</f>
        <v>#REF!</v>
      </c>
    </row>
    <row r="123" spans="1:5" x14ac:dyDescent="0.25">
      <c r="A123" t="s">
        <v>1253</v>
      </c>
      <c r="B123" t="s">
        <v>509</v>
      </c>
      <c r="C123" t="s">
        <v>1182</v>
      </c>
      <c r="E123" t="e">
        <f>VLOOKUP(B123,#REF!,1,FALSE)</f>
        <v>#REF!</v>
      </c>
    </row>
    <row r="124" spans="1:5" x14ac:dyDescent="0.25">
      <c r="A124" t="s">
        <v>1253</v>
      </c>
      <c r="B124" t="s">
        <v>900</v>
      </c>
      <c r="C124" t="s">
        <v>1124</v>
      </c>
      <c r="E124" t="e">
        <f>VLOOKUP(B124,#REF!,1,FALSE)</f>
        <v>#REF!</v>
      </c>
    </row>
    <row r="125" spans="1:5" x14ac:dyDescent="0.25">
      <c r="A125" t="s">
        <v>1253</v>
      </c>
      <c r="B125" t="s">
        <v>898</v>
      </c>
      <c r="C125" t="s">
        <v>1124</v>
      </c>
      <c r="E125" t="e">
        <f>VLOOKUP(B125,#REF!,1,FALSE)</f>
        <v>#REF!</v>
      </c>
    </row>
    <row r="126" spans="1:5" x14ac:dyDescent="0.25">
      <c r="A126" t="s">
        <v>1253</v>
      </c>
      <c r="B126" t="s">
        <v>769</v>
      </c>
      <c r="C126" t="s">
        <v>1184</v>
      </c>
      <c r="E126" t="e">
        <f>VLOOKUP(B126,#REF!,1,FALSE)</f>
        <v>#REF!</v>
      </c>
    </row>
    <row r="127" spans="1:5" x14ac:dyDescent="0.25">
      <c r="A127" t="s">
        <v>1253</v>
      </c>
      <c r="B127" t="s">
        <v>918</v>
      </c>
      <c r="C127" t="s">
        <v>1185</v>
      </c>
      <c r="E127" t="e">
        <f>VLOOKUP(B127,#REF!,1,FALSE)</f>
        <v>#REF!</v>
      </c>
    </row>
    <row r="128" spans="1:5" x14ac:dyDescent="0.25">
      <c r="A128" t="s">
        <v>1253</v>
      </c>
      <c r="B128" t="s">
        <v>771</v>
      </c>
      <c r="C128" t="s">
        <v>1124</v>
      </c>
      <c r="E128" t="e">
        <f>VLOOKUP(B128,#REF!,1,FALSE)</f>
        <v>#REF!</v>
      </c>
    </row>
    <row r="129" spans="1:5" x14ac:dyDescent="0.25">
      <c r="A129" t="s">
        <v>1253</v>
      </c>
      <c r="B129" t="s">
        <v>773</v>
      </c>
      <c r="C129" t="s">
        <v>1124</v>
      </c>
      <c r="E129" t="e">
        <f>VLOOKUP(B129,#REF!,1,FALSE)</f>
        <v>#REF!</v>
      </c>
    </row>
    <row r="130" spans="1:5" x14ac:dyDescent="0.25">
      <c r="A130" t="s">
        <v>1253</v>
      </c>
      <c r="B130" t="s">
        <v>777</v>
      </c>
      <c r="C130" t="s">
        <v>1187</v>
      </c>
      <c r="E130" t="e">
        <f>VLOOKUP(B130,#REF!,1,FALSE)</f>
        <v>#REF!</v>
      </c>
    </row>
    <row r="131" spans="1:5" x14ac:dyDescent="0.25">
      <c r="A131" t="s">
        <v>1253</v>
      </c>
      <c r="B131" t="s">
        <v>483</v>
      </c>
      <c r="C131" t="s">
        <v>1189</v>
      </c>
      <c r="E131" t="e">
        <f>VLOOKUP(B131,#REF!,1,FALSE)</f>
        <v>#REF!</v>
      </c>
    </row>
    <row r="132" spans="1:5" x14ac:dyDescent="0.25">
      <c r="A132" t="s">
        <v>1253</v>
      </c>
      <c r="B132" t="s">
        <v>485</v>
      </c>
      <c r="C132" t="s">
        <v>1190</v>
      </c>
      <c r="E132" t="e">
        <f>VLOOKUP(B132,#REF!,1,FALSE)</f>
        <v>#REF!</v>
      </c>
    </row>
    <row r="133" spans="1:5" x14ac:dyDescent="0.25">
      <c r="A133" t="s">
        <v>1253</v>
      </c>
      <c r="B133" t="s">
        <v>914</v>
      </c>
      <c r="C133" t="s">
        <v>914</v>
      </c>
      <c r="E133" t="e">
        <f>VLOOKUP(B133,#REF!,1,FALSE)</f>
        <v>#REF!</v>
      </c>
    </row>
    <row r="134" spans="1:5" x14ac:dyDescent="0.25">
      <c r="A134" t="s">
        <v>1253</v>
      </c>
      <c r="B134" t="s">
        <v>779</v>
      </c>
      <c r="C134" t="s">
        <v>1192</v>
      </c>
      <c r="E134" t="e">
        <f>VLOOKUP(B134,#REF!,1,FALSE)</f>
        <v>#REF!</v>
      </c>
    </row>
    <row r="135" spans="1:5" x14ac:dyDescent="0.25">
      <c r="A135" t="s">
        <v>1253</v>
      </c>
      <c r="B135" t="s">
        <v>497</v>
      </c>
      <c r="C135" t="s">
        <v>1196</v>
      </c>
      <c r="E135" t="e">
        <f>VLOOKUP(B135,#REF!,1,FALSE)</f>
        <v>#REF!</v>
      </c>
    </row>
    <row r="136" spans="1:5" x14ac:dyDescent="0.25">
      <c r="A136" t="s">
        <v>1253</v>
      </c>
      <c r="B136" t="s">
        <v>878</v>
      </c>
      <c r="C136" t="s">
        <v>1097</v>
      </c>
      <c r="E136" t="e">
        <f>VLOOKUP(B136,#REF!,1,FALSE)</f>
        <v>#REF!</v>
      </c>
    </row>
    <row r="137" spans="1:5" x14ac:dyDescent="0.25">
      <c r="A137" t="s">
        <v>1253</v>
      </c>
      <c r="B137" t="s">
        <v>910</v>
      </c>
      <c r="C137" t="s">
        <v>1199</v>
      </c>
      <c r="E137" t="e">
        <f>VLOOKUP(B137,#REF!,1,FALSE)</f>
        <v>#REF!</v>
      </c>
    </row>
    <row r="138" spans="1:5" x14ac:dyDescent="0.25">
      <c r="A138" t="s">
        <v>1253</v>
      </c>
      <c r="B138" t="s">
        <v>787</v>
      </c>
      <c r="C138" t="s">
        <v>1124</v>
      </c>
      <c r="E138" t="e">
        <f>VLOOKUP(B138,#REF!,1,FALSE)</f>
        <v>#REF!</v>
      </c>
    </row>
    <row r="139" spans="1:5" x14ac:dyDescent="0.25">
      <c r="A139" t="s">
        <v>1253</v>
      </c>
      <c r="B139" t="s">
        <v>841</v>
      </c>
      <c r="C139" t="s">
        <v>1202</v>
      </c>
      <c r="E139" t="e">
        <f>VLOOKUP(B139,#REF!,1,FALSE)</f>
        <v>#REF!</v>
      </c>
    </row>
    <row r="140" spans="1:5" x14ac:dyDescent="0.25">
      <c r="A140" t="s">
        <v>1253</v>
      </c>
      <c r="B140" t="s">
        <v>843</v>
      </c>
      <c r="C140" t="s">
        <v>1203</v>
      </c>
      <c r="E140" t="e">
        <f>VLOOKUP(B140,#REF!,1,FALSE)</f>
        <v>#REF!</v>
      </c>
    </row>
    <row r="141" spans="1:5" x14ac:dyDescent="0.25">
      <c r="A141" t="s">
        <v>1253</v>
      </c>
      <c r="B141" t="s">
        <v>511</v>
      </c>
      <c r="C141" t="s">
        <v>1204</v>
      </c>
      <c r="E141" t="e">
        <f>VLOOKUP(B141,#REF!,1,FALSE)</f>
        <v>#REF!</v>
      </c>
    </row>
    <row r="142" spans="1:5" x14ac:dyDescent="0.25">
      <c r="A142" t="s">
        <v>1253</v>
      </c>
      <c r="B142" t="s">
        <v>461</v>
      </c>
      <c r="C142" t="s">
        <v>461</v>
      </c>
      <c r="E142" t="e">
        <f>VLOOKUP(B142,#REF!,1,FALSE)</f>
        <v>#REF!</v>
      </c>
    </row>
    <row r="143" spans="1:5" x14ac:dyDescent="0.25">
      <c r="A143" t="s">
        <v>1253</v>
      </c>
      <c r="B143" t="s">
        <v>513</v>
      </c>
      <c r="C143" t="s">
        <v>1208</v>
      </c>
      <c r="E143" t="e">
        <f>VLOOKUP(B143,#REF!,1,FALSE)</f>
        <v>#REF!</v>
      </c>
    </row>
    <row r="145" spans="1:5" x14ac:dyDescent="0.25">
      <c r="A145" t="s">
        <v>1251</v>
      </c>
      <c r="B145" t="s">
        <v>1218</v>
      </c>
      <c r="C145" t="s">
        <v>1141</v>
      </c>
      <c r="E145" t="e">
        <f>VLOOKUP(B145,#REF!,1,FALSE)</f>
        <v>#REF!</v>
      </c>
    </row>
    <row r="146" spans="1:5" x14ac:dyDescent="0.25">
      <c r="A146" t="s">
        <v>1251</v>
      </c>
      <c r="B146" t="s">
        <v>1219</v>
      </c>
      <c r="C146" t="s">
        <v>1142</v>
      </c>
      <c r="E146" t="e">
        <f>VLOOKUP(B146,#REF!,1,FALSE)</f>
        <v>#REF!</v>
      </c>
    </row>
    <row r="147" spans="1:5" x14ac:dyDescent="0.25">
      <c r="A147" t="s">
        <v>1251</v>
      </c>
      <c r="B147" t="s">
        <v>1220</v>
      </c>
      <c r="C147" t="s">
        <v>1143</v>
      </c>
      <c r="E147" t="e">
        <f>VLOOKUP(B147,#REF!,1,FALSE)</f>
        <v>#REF!</v>
      </c>
    </row>
    <row r="148" spans="1:5" x14ac:dyDescent="0.25">
      <c r="A148" t="s">
        <v>1251</v>
      </c>
      <c r="B148" t="s">
        <v>1224</v>
      </c>
      <c r="C148" t="s">
        <v>1154</v>
      </c>
      <c r="E148" t="e">
        <f>VLOOKUP(B148,#REF!,1,FALSE)</f>
        <v>#REF!</v>
      </c>
    </row>
    <row r="149" spans="1:5" x14ac:dyDescent="0.25">
      <c r="A149" t="s">
        <v>1251</v>
      </c>
      <c r="B149" t="s">
        <v>1230</v>
      </c>
      <c r="C149" t="s">
        <v>1141</v>
      </c>
      <c r="E149" t="e">
        <f>VLOOKUP(B149,#REF!,1,FALSE)</f>
        <v>#REF!</v>
      </c>
    </row>
    <row r="150" spans="1:5" x14ac:dyDescent="0.25">
      <c r="A150" t="s">
        <v>1251</v>
      </c>
      <c r="B150" t="s">
        <v>1231</v>
      </c>
      <c r="C150" t="s">
        <v>1142</v>
      </c>
      <c r="E150" t="e">
        <f>VLOOKUP(B150,#REF!,1,FALSE)</f>
        <v>#REF!</v>
      </c>
    </row>
    <row r="151" spans="1:5" x14ac:dyDescent="0.25">
      <c r="A151" t="s">
        <v>1251</v>
      </c>
      <c r="B151" t="s">
        <v>1232</v>
      </c>
      <c r="C151" t="s">
        <v>1143</v>
      </c>
      <c r="E151" t="e">
        <f>VLOOKUP(B151,#REF!,1,FALSE)</f>
        <v>#REF!</v>
      </c>
    </row>
    <row r="152" spans="1:5" x14ac:dyDescent="0.25">
      <c r="A152" t="s">
        <v>1137</v>
      </c>
      <c r="B152" t="s">
        <v>1216</v>
      </c>
      <c r="C152" t="s">
        <v>1134</v>
      </c>
      <c r="E152" t="e">
        <f>VLOOKUP(B152,#REF!,1,FALSE)</f>
        <v>#REF!</v>
      </c>
    </row>
    <row r="153" spans="1:5" x14ac:dyDescent="0.25">
      <c r="A153" t="s">
        <v>1137</v>
      </c>
      <c r="B153" t="s">
        <v>1235</v>
      </c>
      <c r="C153" t="s">
        <v>1183</v>
      </c>
      <c r="E153" t="e">
        <f>VLOOKUP(B153,#REF!,1,FALSE)</f>
        <v>#REF!</v>
      </c>
    </row>
    <row r="154" spans="1:5" x14ac:dyDescent="0.25">
      <c r="A154" t="s">
        <v>1252</v>
      </c>
      <c r="B154" t="s">
        <v>1212</v>
      </c>
      <c r="C154" t="s">
        <v>1102</v>
      </c>
      <c r="E154" t="e">
        <f>VLOOKUP(B154,#REF!,1,FALSE)</f>
        <v>#REF!</v>
      </c>
    </row>
    <row r="155" spans="1:5" x14ac:dyDescent="0.25">
      <c r="A155" t="s">
        <v>1252</v>
      </c>
      <c r="B155" t="s">
        <v>1213</v>
      </c>
      <c r="C155" t="s">
        <v>1111</v>
      </c>
      <c r="E155" t="e">
        <f>VLOOKUP(B155,#REF!,1,FALSE)</f>
        <v>#REF!</v>
      </c>
    </row>
    <row r="156" spans="1:5" x14ac:dyDescent="0.25">
      <c r="A156" t="s">
        <v>1252</v>
      </c>
      <c r="B156" t="s">
        <v>1215</v>
      </c>
      <c r="C156" t="s">
        <v>1130</v>
      </c>
      <c r="E156" t="e">
        <f>VLOOKUP(B156,#REF!,1,FALSE)</f>
        <v>#REF!</v>
      </c>
    </row>
    <row r="157" spans="1:5" x14ac:dyDescent="0.25">
      <c r="A157" t="s">
        <v>1252</v>
      </c>
      <c r="B157" t="s">
        <v>1229</v>
      </c>
      <c r="C157" t="s">
        <v>1167</v>
      </c>
      <c r="E157" t="e">
        <f>VLOOKUP(B157,#REF!,1,FALSE)</f>
        <v>#REF!</v>
      </c>
    </row>
    <row r="158" spans="1:5" x14ac:dyDescent="0.25">
      <c r="A158" t="s">
        <v>1252</v>
      </c>
      <c r="B158" t="s">
        <v>1234</v>
      </c>
      <c r="C158" t="s">
        <v>1177</v>
      </c>
      <c r="E158" t="e">
        <f>VLOOKUP(B158,#REF!,1,FALSE)</f>
        <v>#REF!</v>
      </c>
    </row>
    <row r="159" spans="1:5" x14ac:dyDescent="0.25">
      <c r="A159" t="s">
        <v>1252</v>
      </c>
      <c r="B159" t="s">
        <v>1236</v>
      </c>
      <c r="C159" t="s">
        <v>1188</v>
      </c>
      <c r="E159" t="e">
        <f>VLOOKUP(B159,#REF!,1,FALSE)</f>
        <v>#REF!</v>
      </c>
    </row>
    <row r="160" spans="1:5" x14ac:dyDescent="0.25">
      <c r="A160" t="s">
        <v>1252</v>
      </c>
      <c r="B160" t="s">
        <v>1241</v>
      </c>
      <c r="C160" t="s">
        <v>1207</v>
      </c>
      <c r="E160" t="e">
        <f>VLOOKUP(B160,#REF!,1,FALSE)</f>
        <v>#REF!</v>
      </c>
    </row>
    <row r="161" spans="1:5" x14ac:dyDescent="0.25">
      <c r="A161" t="s">
        <v>1252</v>
      </c>
      <c r="B161" t="s">
        <v>1242</v>
      </c>
      <c r="C161" t="s">
        <v>1210</v>
      </c>
      <c r="E161" t="e">
        <f>VLOOKUP(B161,#REF!,1,FALSE)</f>
        <v>#REF!</v>
      </c>
    </row>
    <row r="162" spans="1:5" x14ac:dyDescent="0.25">
      <c r="A162" t="s">
        <v>1255</v>
      </c>
      <c r="B162" t="s">
        <v>1085</v>
      </c>
      <c r="C162" t="s">
        <v>1086</v>
      </c>
      <c r="E162" t="e">
        <f>VLOOKUP(B162,#REF!,1,FALSE)</f>
        <v>#REF!</v>
      </c>
    </row>
    <row r="163" spans="1:5" x14ac:dyDescent="0.25">
      <c r="A163" t="s">
        <v>1255</v>
      </c>
      <c r="B163" t="s">
        <v>1083</v>
      </c>
      <c r="C163" t="s">
        <v>1084</v>
      </c>
      <c r="E163" t="e">
        <f>VLOOKUP(B163,#REF!,1,FALSE)</f>
        <v>#REF!</v>
      </c>
    </row>
    <row r="164" spans="1:5" x14ac:dyDescent="0.25">
      <c r="A164" t="s">
        <v>1250</v>
      </c>
      <c r="B164" t="s">
        <v>1211</v>
      </c>
      <c r="C164" t="s">
        <v>1094</v>
      </c>
      <c r="E164" t="e">
        <f>VLOOKUP(B164,#REF!,1,FALSE)</f>
        <v>#REF!</v>
      </c>
    </row>
    <row r="165" spans="1:5" x14ac:dyDescent="0.25">
      <c r="A165" t="s">
        <v>1250</v>
      </c>
      <c r="B165" t="s">
        <v>1072</v>
      </c>
      <c r="C165" t="s">
        <v>1072</v>
      </c>
      <c r="E165" t="e">
        <f>VLOOKUP(B165,#REF!,1,FALSE)</f>
        <v>#REF!</v>
      </c>
    </row>
    <row r="166" spans="1:5" x14ac:dyDescent="0.25">
      <c r="A166" t="s">
        <v>1250</v>
      </c>
      <c r="B166" t="s">
        <v>1214</v>
      </c>
      <c r="C166" t="s">
        <v>1112</v>
      </c>
      <c r="E166" t="e">
        <f>VLOOKUP(B166,#REF!,1,FALSE)</f>
        <v>#REF!</v>
      </c>
    </row>
    <row r="167" spans="1:5" x14ac:dyDescent="0.25">
      <c r="A167" t="s">
        <v>1250</v>
      </c>
      <c r="B167" t="s">
        <v>1226</v>
      </c>
      <c r="C167" t="s">
        <v>1158</v>
      </c>
      <c r="E167" t="e">
        <f>VLOOKUP(B167,#REF!,1,FALSE)</f>
        <v>#REF!</v>
      </c>
    </row>
    <row r="168" spans="1:5" x14ac:dyDescent="0.25">
      <c r="A168" t="s">
        <v>1250</v>
      </c>
      <c r="B168" t="s">
        <v>1074</v>
      </c>
      <c r="C168" t="s">
        <v>1074</v>
      </c>
      <c r="E168" t="e">
        <f>VLOOKUP(B168,#REF!,1,FALSE)</f>
        <v>#REF!</v>
      </c>
    </row>
    <row r="169" spans="1:5" x14ac:dyDescent="0.25">
      <c r="A169" t="s">
        <v>1250</v>
      </c>
      <c r="B169" t="s">
        <v>1073</v>
      </c>
      <c r="C169" t="s">
        <v>1073</v>
      </c>
      <c r="E169" t="e">
        <f>VLOOKUP(B169,#REF!,1,FALSE)</f>
        <v>#REF!</v>
      </c>
    </row>
    <row r="170" spans="1:5" x14ac:dyDescent="0.25">
      <c r="A170" t="s">
        <v>1253</v>
      </c>
      <c r="B170" t="s">
        <v>1217</v>
      </c>
      <c r="C170" t="s">
        <v>1135</v>
      </c>
      <c r="E170" t="e">
        <f>VLOOKUP(B170,#REF!,1,FALSE)</f>
        <v>#REF!</v>
      </c>
    </row>
    <row r="171" spans="1:5" x14ac:dyDescent="0.25">
      <c r="A171" t="s">
        <v>1253</v>
      </c>
      <c r="B171" t="s">
        <v>1221</v>
      </c>
      <c r="C171" t="s">
        <v>1144</v>
      </c>
      <c r="E171" t="e">
        <f>VLOOKUP(B171,#REF!,1,FALSE)</f>
        <v>#REF!</v>
      </c>
    </row>
    <row r="172" spans="1:5" x14ac:dyDescent="0.25">
      <c r="A172" t="s">
        <v>1253</v>
      </c>
      <c r="B172" t="s">
        <v>1222</v>
      </c>
      <c r="C172" t="s">
        <v>1123</v>
      </c>
      <c r="E172" t="e">
        <f>VLOOKUP(B172,#REF!,1,FALSE)</f>
        <v>#REF!</v>
      </c>
    </row>
    <row r="173" spans="1:5" x14ac:dyDescent="0.25">
      <c r="A173" t="s">
        <v>1253</v>
      </c>
      <c r="B173" t="s">
        <v>1223</v>
      </c>
      <c r="C173" t="s">
        <v>1124</v>
      </c>
      <c r="E173" t="e">
        <f>VLOOKUP(B173,#REF!,1,FALSE)</f>
        <v>#REF!</v>
      </c>
    </row>
    <row r="174" spans="1:5" x14ac:dyDescent="0.25">
      <c r="A174" t="s">
        <v>1253</v>
      </c>
      <c r="B174" t="s">
        <v>1225</v>
      </c>
      <c r="C174" t="s">
        <v>1124</v>
      </c>
      <c r="E174" t="e">
        <f>VLOOKUP(B174,#REF!,1,FALSE)</f>
        <v>#REF!</v>
      </c>
    </row>
    <row r="175" spans="1:5" x14ac:dyDescent="0.25">
      <c r="A175" t="s">
        <v>1253</v>
      </c>
      <c r="B175" t="s">
        <v>1227</v>
      </c>
      <c r="C175" t="s">
        <v>1160</v>
      </c>
      <c r="E175" t="e">
        <f>VLOOKUP(B175,#REF!,1,FALSE)</f>
        <v>#REF!</v>
      </c>
    </row>
    <row r="176" spans="1:5" x14ac:dyDescent="0.25">
      <c r="A176" t="s">
        <v>1253</v>
      </c>
      <c r="B176" t="s">
        <v>1228</v>
      </c>
      <c r="C176" t="s">
        <v>1165</v>
      </c>
      <c r="E176" t="e">
        <f>VLOOKUP(B176,#REF!,1,FALSE)</f>
        <v>#REF!</v>
      </c>
    </row>
    <row r="177" spans="1:5" x14ac:dyDescent="0.25">
      <c r="A177" t="s">
        <v>1253</v>
      </c>
      <c r="B177" t="s">
        <v>1233</v>
      </c>
      <c r="C177" t="s">
        <v>1144</v>
      </c>
      <c r="E177" t="e">
        <f>VLOOKUP(B177,#REF!,1,FALSE)</f>
        <v>#REF!</v>
      </c>
    </row>
    <row r="178" spans="1:5" x14ac:dyDescent="0.25">
      <c r="A178" t="s">
        <v>1253</v>
      </c>
      <c r="B178" t="s">
        <v>1237</v>
      </c>
      <c r="C178" t="s">
        <v>1196</v>
      </c>
      <c r="E178" t="e">
        <f>VLOOKUP(B178,#REF!,1,FALSE)</f>
        <v>#REF!</v>
      </c>
    </row>
    <row r="179" spans="1:5" x14ac:dyDescent="0.25">
      <c r="A179" t="s">
        <v>1253</v>
      </c>
      <c r="B179" t="s">
        <v>1238</v>
      </c>
      <c r="C179" t="s">
        <v>1123</v>
      </c>
      <c r="E179" t="e">
        <f>VLOOKUP(B179,#REF!,1,FALSE)</f>
        <v>#REF!</v>
      </c>
    </row>
    <row r="180" spans="1:5" x14ac:dyDescent="0.25">
      <c r="A180" t="s">
        <v>1253</v>
      </c>
      <c r="B180" t="s">
        <v>1239</v>
      </c>
      <c r="C180" t="s">
        <v>1124</v>
      </c>
      <c r="E180" t="e">
        <f>VLOOKUP(B180,#REF!,1,FALSE)</f>
        <v>#REF!</v>
      </c>
    </row>
    <row r="181" spans="1:5" x14ac:dyDescent="0.25">
      <c r="A181" t="s">
        <v>1253</v>
      </c>
      <c r="B181" t="s">
        <v>1240</v>
      </c>
      <c r="C181" t="s">
        <v>1200</v>
      </c>
      <c r="E181" t="e">
        <f>VLOOKUP(B181,#REF!,1,FALSE)</f>
        <v>#REF!</v>
      </c>
    </row>
    <row r="182" spans="1:5" x14ac:dyDescent="0.25">
      <c r="A182" t="s">
        <v>1256</v>
      </c>
      <c r="B182" t="s">
        <v>1079</v>
      </c>
      <c r="C182" t="s">
        <v>1081</v>
      </c>
      <c r="E182" t="e">
        <f>VLOOKUP(B182,#REF!,1,FALSE)</f>
        <v>#REF!</v>
      </c>
    </row>
    <row r="183" spans="1:5" x14ac:dyDescent="0.25">
      <c r="A183" t="s">
        <v>1256</v>
      </c>
      <c r="B183" t="s">
        <v>1078</v>
      </c>
      <c r="C183" t="s">
        <v>1082</v>
      </c>
      <c r="E183" t="e">
        <f>VLOOKUP(B183,#REF!,1,FALSE)</f>
        <v>#REF!</v>
      </c>
    </row>
    <row r="184" spans="1:5" x14ac:dyDescent="0.25">
      <c r="B184" t="s">
        <v>1248</v>
      </c>
      <c r="C184" t="s">
        <v>1249</v>
      </c>
    </row>
  </sheetData>
  <phoneticPr fontId="4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X334"/>
  <sheetViews>
    <sheetView topLeftCell="A318" workbookViewId="0">
      <selection activeCell="C334" sqref="C3:K334"/>
    </sheetView>
  </sheetViews>
  <sheetFormatPr defaultRowHeight="15" x14ac:dyDescent="0.25"/>
  <cols>
    <col min="4" max="4" width="14.28515625" customWidth="1"/>
    <col min="5" max="5" width="7" customWidth="1"/>
    <col min="9" max="9" width="5.7109375" customWidth="1"/>
    <col min="10" max="10" width="38.5703125" customWidth="1"/>
  </cols>
  <sheetData>
    <row r="1" spans="3:24" x14ac:dyDescent="0.25">
      <c r="M1" s="6"/>
      <c r="N1" s="6"/>
      <c r="O1" s="8"/>
      <c r="P1" s="2"/>
      <c r="Q1" s="2"/>
      <c r="R1" s="7"/>
      <c r="S1" s="7"/>
      <c r="T1" s="4"/>
      <c r="U1" s="1"/>
      <c r="V1" s="1"/>
      <c r="W1" s="1"/>
      <c r="X1" s="9"/>
    </row>
    <row r="2" spans="3:24" x14ac:dyDescent="0.25">
      <c r="C2" t="s">
        <v>437</v>
      </c>
      <c r="D2" t="s">
        <v>5</v>
      </c>
      <c r="E2" t="s">
        <v>6</v>
      </c>
      <c r="F2" t="s">
        <v>6</v>
      </c>
      <c r="G2" t="s">
        <v>7</v>
      </c>
      <c r="H2" t="s">
        <v>1257</v>
      </c>
      <c r="I2" t="s">
        <v>137</v>
      </c>
      <c r="J2" t="s">
        <v>138</v>
      </c>
    </row>
    <row r="3" spans="3:24" x14ac:dyDescent="0.25">
      <c r="C3">
        <v>1</v>
      </c>
      <c r="D3" t="s">
        <v>449</v>
      </c>
      <c r="E3">
        <v>3</v>
      </c>
      <c r="F3">
        <v>1</v>
      </c>
      <c r="G3">
        <v>1</v>
      </c>
      <c r="H3" t="s">
        <v>447</v>
      </c>
      <c r="I3">
        <v>1</v>
      </c>
      <c r="J3" t="s">
        <v>450</v>
      </c>
      <c r="K3" t="s">
        <v>1348</v>
      </c>
    </row>
    <row r="4" spans="3:24" x14ac:dyDescent="0.25">
      <c r="C4">
        <v>1</v>
      </c>
      <c r="D4" t="s">
        <v>451</v>
      </c>
      <c r="E4">
        <v>1</v>
      </c>
      <c r="F4">
        <v>1</v>
      </c>
      <c r="G4">
        <v>1</v>
      </c>
      <c r="H4" t="s">
        <v>447</v>
      </c>
      <c r="I4">
        <v>1</v>
      </c>
      <c r="J4" t="s">
        <v>452</v>
      </c>
      <c r="K4" t="s">
        <v>1348</v>
      </c>
    </row>
    <row r="5" spans="3:24" x14ac:dyDescent="0.25">
      <c r="C5">
        <v>1</v>
      </c>
      <c r="D5" t="s">
        <v>453</v>
      </c>
      <c r="E5">
        <v>1</v>
      </c>
      <c r="F5">
        <v>1</v>
      </c>
      <c r="G5">
        <v>1</v>
      </c>
      <c r="H5" t="s">
        <v>447</v>
      </c>
      <c r="I5">
        <v>1</v>
      </c>
      <c r="J5" t="s">
        <v>454</v>
      </c>
      <c r="K5" t="s">
        <v>1348</v>
      </c>
    </row>
    <row r="6" spans="3:24" x14ac:dyDescent="0.25">
      <c r="C6">
        <v>1</v>
      </c>
      <c r="D6" t="s">
        <v>455</v>
      </c>
      <c r="E6">
        <v>1</v>
      </c>
      <c r="F6">
        <v>1</v>
      </c>
      <c r="G6">
        <v>1</v>
      </c>
      <c r="H6" t="s">
        <v>447</v>
      </c>
      <c r="I6">
        <v>1</v>
      </c>
      <c r="J6" t="s">
        <v>456</v>
      </c>
      <c r="K6" t="s">
        <v>1348</v>
      </c>
    </row>
    <row r="7" spans="3:24" x14ac:dyDescent="0.25">
      <c r="C7">
        <v>1</v>
      </c>
      <c r="D7" t="s">
        <v>457</v>
      </c>
      <c r="E7">
        <v>1</v>
      </c>
      <c r="F7">
        <v>1</v>
      </c>
      <c r="G7">
        <v>1</v>
      </c>
      <c r="H7" t="s">
        <v>447</v>
      </c>
      <c r="I7">
        <v>1</v>
      </c>
      <c r="J7" t="s">
        <v>458</v>
      </c>
      <c r="K7" t="s">
        <v>1348</v>
      </c>
    </row>
    <row r="8" spans="3:24" x14ac:dyDescent="0.25">
      <c r="C8">
        <v>1</v>
      </c>
      <c r="D8" t="s">
        <v>459</v>
      </c>
      <c r="E8">
        <v>1</v>
      </c>
      <c r="F8">
        <v>1</v>
      </c>
      <c r="G8">
        <v>1</v>
      </c>
      <c r="H8" t="s">
        <v>447</v>
      </c>
      <c r="I8">
        <v>1</v>
      </c>
      <c r="J8" t="s">
        <v>460</v>
      </c>
      <c r="K8" t="s">
        <v>1348</v>
      </c>
    </row>
    <row r="9" spans="3:24" x14ac:dyDescent="0.25">
      <c r="C9">
        <v>1</v>
      </c>
      <c r="D9" t="s">
        <v>461</v>
      </c>
      <c r="E9">
        <v>1</v>
      </c>
      <c r="F9">
        <v>1</v>
      </c>
      <c r="G9">
        <v>1</v>
      </c>
      <c r="H9" t="s">
        <v>447</v>
      </c>
      <c r="I9">
        <v>1</v>
      </c>
      <c r="J9" t="s">
        <v>462</v>
      </c>
      <c r="K9" t="s">
        <v>1348</v>
      </c>
    </row>
    <row r="10" spans="3:24" x14ac:dyDescent="0.25">
      <c r="C10">
        <v>1</v>
      </c>
      <c r="D10" t="s">
        <v>463</v>
      </c>
      <c r="E10">
        <v>1</v>
      </c>
      <c r="F10">
        <v>1</v>
      </c>
      <c r="G10">
        <v>1</v>
      </c>
      <c r="H10" t="s">
        <v>447</v>
      </c>
      <c r="I10">
        <v>1</v>
      </c>
      <c r="J10" t="s">
        <v>464</v>
      </c>
      <c r="K10" t="s">
        <v>1348</v>
      </c>
    </row>
    <row r="11" spans="3:24" x14ac:dyDescent="0.25">
      <c r="C11">
        <v>1</v>
      </c>
      <c r="D11" t="s">
        <v>465</v>
      </c>
      <c r="E11">
        <v>1</v>
      </c>
      <c r="F11">
        <v>1</v>
      </c>
      <c r="G11">
        <v>1</v>
      </c>
      <c r="H11" t="s">
        <v>447</v>
      </c>
      <c r="I11">
        <v>1</v>
      </c>
      <c r="J11" t="s">
        <v>466</v>
      </c>
      <c r="K11" t="s">
        <v>1348</v>
      </c>
    </row>
    <row r="12" spans="3:24" x14ac:dyDescent="0.25">
      <c r="C12">
        <v>1</v>
      </c>
      <c r="D12" t="s">
        <v>467</v>
      </c>
      <c r="E12">
        <v>1</v>
      </c>
      <c r="F12">
        <v>1</v>
      </c>
      <c r="G12">
        <v>1</v>
      </c>
      <c r="H12" t="s">
        <v>447</v>
      </c>
      <c r="I12">
        <v>1</v>
      </c>
      <c r="J12" t="s">
        <v>468</v>
      </c>
      <c r="K12" t="s">
        <v>1348</v>
      </c>
    </row>
    <row r="13" spans="3:24" x14ac:dyDescent="0.25">
      <c r="C13">
        <v>1</v>
      </c>
      <c r="D13" t="s">
        <v>469</v>
      </c>
      <c r="E13">
        <v>1</v>
      </c>
      <c r="F13">
        <v>1</v>
      </c>
      <c r="G13">
        <v>1</v>
      </c>
      <c r="H13" t="s">
        <v>447</v>
      </c>
      <c r="I13">
        <v>1</v>
      </c>
      <c r="J13" t="s">
        <v>470</v>
      </c>
      <c r="K13" t="s">
        <v>1348</v>
      </c>
    </row>
    <row r="14" spans="3:24" x14ac:dyDescent="0.25">
      <c r="C14">
        <v>1</v>
      </c>
      <c r="D14" t="s">
        <v>471</v>
      </c>
      <c r="E14">
        <v>1</v>
      </c>
      <c r="F14">
        <v>1</v>
      </c>
      <c r="G14">
        <v>1</v>
      </c>
      <c r="H14" t="s">
        <v>447</v>
      </c>
      <c r="I14">
        <v>1</v>
      </c>
      <c r="J14" t="s">
        <v>472</v>
      </c>
      <c r="K14" t="s">
        <v>1348</v>
      </c>
    </row>
    <row r="15" spans="3:24" x14ac:dyDescent="0.25">
      <c r="C15">
        <v>1</v>
      </c>
      <c r="D15" t="s">
        <v>473</v>
      </c>
      <c r="E15">
        <v>1</v>
      </c>
      <c r="F15">
        <v>1</v>
      </c>
      <c r="G15">
        <v>1</v>
      </c>
      <c r="H15" t="s">
        <v>447</v>
      </c>
      <c r="I15">
        <v>1</v>
      </c>
      <c r="J15" t="s">
        <v>474</v>
      </c>
      <c r="K15" t="s">
        <v>1348</v>
      </c>
    </row>
    <row r="16" spans="3:24" x14ac:dyDescent="0.25">
      <c r="C16">
        <v>1</v>
      </c>
      <c r="D16" t="s">
        <v>475</v>
      </c>
      <c r="E16">
        <v>1</v>
      </c>
      <c r="F16">
        <v>1</v>
      </c>
      <c r="G16">
        <v>1</v>
      </c>
      <c r="H16" t="s">
        <v>447</v>
      </c>
      <c r="I16">
        <v>1</v>
      </c>
      <c r="J16" t="s">
        <v>476</v>
      </c>
      <c r="K16" t="s">
        <v>1348</v>
      </c>
    </row>
    <row r="17" spans="3:11" x14ac:dyDescent="0.25">
      <c r="C17">
        <v>1</v>
      </c>
      <c r="D17" t="s">
        <v>477</v>
      </c>
      <c r="E17">
        <v>1</v>
      </c>
      <c r="F17">
        <v>1</v>
      </c>
      <c r="G17">
        <v>1</v>
      </c>
      <c r="H17" t="s">
        <v>447</v>
      </c>
      <c r="I17">
        <v>1</v>
      </c>
      <c r="J17" t="s">
        <v>478</v>
      </c>
      <c r="K17" t="s">
        <v>1348</v>
      </c>
    </row>
    <row r="18" spans="3:11" x14ac:dyDescent="0.25">
      <c r="C18">
        <v>1</v>
      </c>
      <c r="D18" t="s">
        <v>479</v>
      </c>
      <c r="E18">
        <v>1</v>
      </c>
      <c r="F18">
        <v>1</v>
      </c>
      <c r="G18">
        <v>1</v>
      </c>
      <c r="H18" t="s">
        <v>447</v>
      </c>
      <c r="I18">
        <v>1</v>
      </c>
      <c r="J18" t="s">
        <v>480</v>
      </c>
      <c r="K18" t="s">
        <v>1348</v>
      </c>
    </row>
    <row r="19" spans="3:11" x14ac:dyDescent="0.25">
      <c r="C19">
        <v>1</v>
      </c>
      <c r="D19" t="s">
        <v>481</v>
      </c>
      <c r="E19">
        <v>1</v>
      </c>
      <c r="F19">
        <v>1</v>
      </c>
      <c r="G19">
        <v>1</v>
      </c>
      <c r="H19" t="s">
        <v>447</v>
      </c>
      <c r="I19">
        <v>1</v>
      </c>
      <c r="J19" t="s">
        <v>139</v>
      </c>
      <c r="K19" t="s">
        <v>1348</v>
      </c>
    </row>
    <row r="20" spans="3:11" x14ac:dyDescent="0.25">
      <c r="C20">
        <v>1</v>
      </c>
      <c r="D20" t="s">
        <v>483</v>
      </c>
      <c r="E20">
        <v>3</v>
      </c>
      <c r="F20">
        <v>2</v>
      </c>
      <c r="G20">
        <v>1</v>
      </c>
      <c r="H20" t="s">
        <v>447</v>
      </c>
      <c r="I20">
        <v>2</v>
      </c>
      <c r="J20" t="s">
        <v>484</v>
      </c>
      <c r="K20" t="s">
        <v>1348</v>
      </c>
    </row>
    <row r="21" spans="3:11" x14ac:dyDescent="0.25">
      <c r="C21">
        <v>1</v>
      </c>
      <c r="D21" t="s">
        <v>485</v>
      </c>
      <c r="E21">
        <v>2</v>
      </c>
      <c r="F21">
        <v>1</v>
      </c>
      <c r="G21">
        <v>1</v>
      </c>
      <c r="H21" t="s">
        <v>447</v>
      </c>
      <c r="I21">
        <v>2</v>
      </c>
      <c r="J21" t="s">
        <v>486</v>
      </c>
      <c r="K21" t="s">
        <v>1348</v>
      </c>
    </row>
    <row r="22" spans="3:11" x14ac:dyDescent="0.25">
      <c r="C22">
        <v>1</v>
      </c>
      <c r="D22" t="s">
        <v>487</v>
      </c>
      <c r="E22">
        <v>2</v>
      </c>
      <c r="F22">
        <v>1</v>
      </c>
      <c r="G22">
        <v>1</v>
      </c>
      <c r="H22" t="s">
        <v>447</v>
      </c>
      <c r="I22">
        <v>2</v>
      </c>
      <c r="J22" t="s">
        <v>488</v>
      </c>
      <c r="K22" t="s">
        <v>1348</v>
      </c>
    </row>
    <row r="23" spans="3:11" x14ac:dyDescent="0.25">
      <c r="C23">
        <v>1</v>
      </c>
      <c r="D23" t="s">
        <v>489</v>
      </c>
      <c r="E23">
        <v>11</v>
      </c>
      <c r="F23">
        <v>2</v>
      </c>
      <c r="G23">
        <v>1</v>
      </c>
      <c r="H23" t="s">
        <v>447</v>
      </c>
      <c r="I23">
        <v>2</v>
      </c>
      <c r="J23" t="s">
        <v>140</v>
      </c>
      <c r="K23" t="s">
        <v>1348</v>
      </c>
    </row>
    <row r="24" spans="3:11" x14ac:dyDescent="0.25">
      <c r="C24">
        <v>1</v>
      </c>
      <c r="D24" t="s">
        <v>491</v>
      </c>
      <c r="E24">
        <v>11</v>
      </c>
      <c r="F24">
        <v>2</v>
      </c>
      <c r="G24">
        <v>1</v>
      </c>
      <c r="H24" t="s">
        <v>447</v>
      </c>
      <c r="I24">
        <v>2</v>
      </c>
      <c r="J24" t="s">
        <v>492</v>
      </c>
      <c r="K24" t="s">
        <v>1348</v>
      </c>
    </row>
    <row r="25" spans="3:11" x14ac:dyDescent="0.25">
      <c r="C25">
        <v>1</v>
      </c>
      <c r="D25" t="s">
        <v>493</v>
      </c>
      <c r="E25">
        <v>11</v>
      </c>
      <c r="F25">
        <v>2</v>
      </c>
      <c r="G25">
        <v>2</v>
      </c>
      <c r="H25" t="s">
        <v>447</v>
      </c>
      <c r="I25">
        <v>2</v>
      </c>
      <c r="J25" t="s">
        <v>494</v>
      </c>
      <c r="K25" t="s">
        <v>1348</v>
      </c>
    </row>
    <row r="26" spans="3:11" x14ac:dyDescent="0.25">
      <c r="C26">
        <v>1</v>
      </c>
      <c r="D26" t="s">
        <v>495</v>
      </c>
      <c r="E26">
        <v>11</v>
      </c>
      <c r="F26">
        <v>2</v>
      </c>
      <c r="G26">
        <v>2</v>
      </c>
      <c r="H26" t="s">
        <v>447</v>
      </c>
      <c r="I26">
        <v>2</v>
      </c>
      <c r="J26" t="s">
        <v>496</v>
      </c>
      <c r="K26" t="s">
        <v>1348</v>
      </c>
    </row>
    <row r="27" spans="3:11" x14ac:dyDescent="0.25">
      <c r="C27">
        <v>1</v>
      </c>
      <c r="D27" t="s">
        <v>497</v>
      </c>
      <c r="E27">
        <v>2</v>
      </c>
      <c r="F27">
        <v>14</v>
      </c>
      <c r="G27">
        <v>1</v>
      </c>
      <c r="H27" t="s">
        <v>447</v>
      </c>
      <c r="I27">
        <v>2</v>
      </c>
      <c r="J27" t="s">
        <v>498</v>
      </c>
      <c r="K27" t="s">
        <v>1348</v>
      </c>
    </row>
    <row r="28" spans="3:11" x14ac:dyDescent="0.25">
      <c r="C28">
        <v>1</v>
      </c>
      <c r="D28" t="s">
        <v>499</v>
      </c>
      <c r="E28">
        <v>4</v>
      </c>
      <c r="F28">
        <v>1</v>
      </c>
      <c r="G28">
        <v>1</v>
      </c>
      <c r="H28" t="s">
        <v>447</v>
      </c>
      <c r="I28">
        <v>2</v>
      </c>
      <c r="J28" t="s">
        <v>500</v>
      </c>
      <c r="K28" t="s">
        <v>1348</v>
      </c>
    </row>
    <row r="29" spans="3:11" x14ac:dyDescent="0.25">
      <c r="C29">
        <v>1</v>
      </c>
      <c r="D29" t="s">
        <v>501</v>
      </c>
      <c r="E29">
        <v>15</v>
      </c>
      <c r="F29">
        <v>1</v>
      </c>
      <c r="G29">
        <v>1</v>
      </c>
      <c r="H29" t="s">
        <v>447</v>
      </c>
      <c r="I29">
        <v>2</v>
      </c>
      <c r="J29" t="s">
        <v>502</v>
      </c>
      <c r="K29" t="s">
        <v>1348</v>
      </c>
    </row>
    <row r="30" spans="3:11" x14ac:dyDescent="0.25">
      <c r="C30">
        <v>1</v>
      </c>
      <c r="D30" t="s">
        <v>503</v>
      </c>
      <c r="E30">
        <v>3</v>
      </c>
      <c r="F30">
        <v>1</v>
      </c>
      <c r="G30">
        <v>1</v>
      </c>
      <c r="H30" t="s">
        <v>447</v>
      </c>
      <c r="I30">
        <v>2</v>
      </c>
      <c r="J30" t="s">
        <v>504</v>
      </c>
      <c r="K30" t="s">
        <v>1348</v>
      </c>
    </row>
    <row r="31" spans="3:11" x14ac:dyDescent="0.25">
      <c r="C31">
        <v>1</v>
      </c>
      <c r="D31" t="s">
        <v>505</v>
      </c>
      <c r="E31">
        <v>3</v>
      </c>
      <c r="F31">
        <v>1</v>
      </c>
      <c r="G31">
        <v>1</v>
      </c>
      <c r="H31" t="s">
        <v>447</v>
      </c>
      <c r="I31">
        <v>2</v>
      </c>
      <c r="J31" t="s">
        <v>506</v>
      </c>
      <c r="K31" t="s">
        <v>1348</v>
      </c>
    </row>
    <row r="32" spans="3:11" x14ac:dyDescent="0.25">
      <c r="C32">
        <v>1</v>
      </c>
      <c r="D32" t="s">
        <v>507</v>
      </c>
      <c r="E32">
        <v>3</v>
      </c>
      <c r="F32">
        <v>1</v>
      </c>
      <c r="G32">
        <v>1</v>
      </c>
      <c r="H32" t="s">
        <v>447</v>
      </c>
      <c r="I32">
        <v>2</v>
      </c>
      <c r="J32" t="s">
        <v>508</v>
      </c>
      <c r="K32" t="s">
        <v>1348</v>
      </c>
    </row>
    <row r="33" spans="3:11" x14ac:dyDescent="0.25">
      <c r="C33">
        <v>1</v>
      </c>
      <c r="D33" t="s">
        <v>509</v>
      </c>
      <c r="E33">
        <v>2</v>
      </c>
      <c r="F33">
        <v>1</v>
      </c>
      <c r="G33">
        <v>1</v>
      </c>
      <c r="H33" t="s">
        <v>447</v>
      </c>
      <c r="I33">
        <v>2</v>
      </c>
      <c r="J33" t="s">
        <v>510</v>
      </c>
      <c r="K33" t="s">
        <v>1348</v>
      </c>
    </row>
    <row r="34" spans="3:11" x14ac:dyDescent="0.25">
      <c r="C34">
        <v>1</v>
      </c>
      <c r="D34" t="s">
        <v>511</v>
      </c>
      <c r="E34">
        <v>2</v>
      </c>
      <c r="F34">
        <v>1</v>
      </c>
      <c r="G34">
        <v>1</v>
      </c>
      <c r="H34" t="s">
        <v>447</v>
      </c>
      <c r="I34">
        <v>2</v>
      </c>
      <c r="J34" t="s">
        <v>512</v>
      </c>
      <c r="K34" t="s">
        <v>1348</v>
      </c>
    </row>
    <row r="35" spans="3:11" x14ac:dyDescent="0.25">
      <c r="C35">
        <v>1</v>
      </c>
      <c r="D35" t="s">
        <v>513</v>
      </c>
      <c r="E35">
        <v>2</v>
      </c>
      <c r="F35">
        <v>1</v>
      </c>
      <c r="G35">
        <v>1</v>
      </c>
      <c r="H35" t="s">
        <v>447</v>
      </c>
      <c r="I35">
        <v>2</v>
      </c>
      <c r="J35" t="s">
        <v>514</v>
      </c>
      <c r="K35" t="s">
        <v>1348</v>
      </c>
    </row>
    <row r="36" spans="3:11" x14ac:dyDescent="0.25">
      <c r="C36">
        <v>1</v>
      </c>
      <c r="D36" t="s">
        <v>515</v>
      </c>
      <c r="E36">
        <v>3</v>
      </c>
      <c r="F36">
        <v>1</v>
      </c>
      <c r="G36">
        <v>1</v>
      </c>
      <c r="H36" t="s">
        <v>447</v>
      </c>
      <c r="I36">
        <v>2</v>
      </c>
      <c r="J36" t="s">
        <v>516</v>
      </c>
      <c r="K36" t="s">
        <v>1348</v>
      </c>
    </row>
    <row r="37" spans="3:11" x14ac:dyDescent="0.25">
      <c r="C37">
        <v>1</v>
      </c>
      <c r="D37" t="s">
        <v>517</v>
      </c>
      <c r="E37">
        <v>2</v>
      </c>
      <c r="F37">
        <v>15</v>
      </c>
      <c r="G37">
        <v>1</v>
      </c>
      <c r="H37" t="s">
        <v>447</v>
      </c>
      <c r="I37">
        <v>2</v>
      </c>
      <c r="J37" t="s">
        <v>518</v>
      </c>
      <c r="K37" t="s">
        <v>1348</v>
      </c>
    </row>
    <row r="38" spans="3:11" x14ac:dyDescent="0.25">
      <c r="C38">
        <v>1</v>
      </c>
      <c r="D38" t="s">
        <v>519</v>
      </c>
      <c r="E38">
        <v>1</v>
      </c>
      <c r="F38">
        <v>1</v>
      </c>
      <c r="G38">
        <v>1</v>
      </c>
      <c r="H38" t="s">
        <v>447</v>
      </c>
      <c r="I38">
        <v>2</v>
      </c>
      <c r="J38" t="s">
        <v>520</v>
      </c>
      <c r="K38" t="s">
        <v>1348</v>
      </c>
    </row>
    <row r="39" spans="3:11" x14ac:dyDescent="0.25">
      <c r="C39">
        <v>1</v>
      </c>
      <c r="D39" t="s">
        <v>521</v>
      </c>
      <c r="E39">
        <v>2</v>
      </c>
      <c r="F39">
        <v>1</v>
      </c>
      <c r="G39">
        <v>1</v>
      </c>
      <c r="H39" t="s">
        <v>447</v>
      </c>
      <c r="I39">
        <v>3</v>
      </c>
      <c r="J39" t="s">
        <v>522</v>
      </c>
      <c r="K39" t="s">
        <v>1348</v>
      </c>
    </row>
    <row r="40" spans="3:11" x14ac:dyDescent="0.25">
      <c r="C40">
        <v>1</v>
      </c>
      <c r="D40" t="s">
        <v>525</v>
      </c>
      <c r="E40">
        <v>2</v>
      </c>
      <c r="F40">
        <v>1</v>
      </c>
      <c r="G40">
        <v>1</v>
      </c>
      <c r="H40" t="s">
        <v>447</v>
      </c>
      <c r="I40">
        <v>4</v>
      </c>
      <c r="J40" t="s">
        <v>526</v>
      </c>
      <c r="K40" t="s">
        <v>1348</v>
      </c>
    </row>
    <row r="41" spans="3:11" x14ac:dyDescent="0.25">
      <c r="C41">
        <v>1</v>
      </c>
      <c r="D41" t="s">
        <v>527</v>
      </c>
      <c r="E41">
        <v>1</v>
      </c>
      <c r="F41">
        <v>1</v>
      </c>
      <c r="G41">
        <v>1</v>
      </c>
      <c r="H41" t="s">
        <v>447</v>
      </c>
      <c r="I41">
        <v>4</v>
      </c>
      <c r="J41" t="s">
        <v>528</v>
      </c>
      <c r="K41" t="s">
        <v>1348</v>
      </c>
    </row>
    <row r="42" spans="3:11" x14ac:dyDescent="0.25">
      <c r="C42">
        <v>1</v>
      </c>
      <c r="D42" t="s">
        <v>529</v>
      </c>
      <c r="E42">
        <v>1</v>
      </c>
      <c r="F42">
        <v>1</v>
      </c>
      <c r="G42">
        <v>1</v>
      </c>
      <c r="H42" t="s">
        <v>447</v>
      </c>
      <c r="I42">
        <v>4</v>
      </c>
      <c r="J42" t="s">
        <v>530</v>
      </c>
      <c r="K42" t="s">
        <v>1348</v>
      </c>
    </row>
    <row r="43" spans="3:11" x14ac:dyDescent="0.25">
      <c r="C43">
        <v>1</v>
      </c>
      <c r="D43" t="s">
        <v>141</v>
      </c>
      <c r="E43">
        <v>2</v>
      </c>
      <c r="F43">
        <v>1</v>
      </c>
      <c r="G43">
        <v>1</v>
      </c>
      <c r="H43" t="s">
        <v>447</v>
      </c>
      <c r="I43">
        <v>4</v>
      </c>
      <c r="J43" t="s">
        <v>142</v>
      </c>
      <c r="K43" t="s">
        <v>1348</v>
      </c>
    </row>
    <row r="44" spans="3:11" x14ac:dyDescent="0.25">
      <c r="C44">
        <v>1</v>
      </c>
      <c r="D44" t="s">
        <v>143</v>
      </c>
      <c r="E44">
        <v>2</v>
      </c>
      <c r="F44">
        <v>1</v>
      </c>
      <c r="G44">
        <v>1</v>
      </c>
      <c r="H44" t="s">
        <v>447</v>
      </c>
      <c r="I44">
        <v>4</v>
      </c>
      <c r="J44" t="s">
        <v>142</v>
      </c>
      <c r="K44" t="s">
        <v>1348</v>
      </c>
    </row>
    <row r="45" spans="3:11" x14ac:dyDescent="0.25">
      <c r="C45">
        <v>1</v>
      </c>
      <c r="D45" t="s">
        <v>144</v>
      </c>
      <c r="E45">
        <v>1</v>
      </c>
      <c r="F45">
        <v>1</v>
      </c>
      <c r="G45">
        <v>1</v>
      </c>
      <c r="H45" t="s">
        <v>447</v>
      </c>
      <c r="I45">
        <v>4</v>
      </c>
      <c r="J45" t="s">
        <v>145</v>
      </c>
      <c r="K45" t="s">
        <v>1348</v>
      </c>
    </row>
    <row r="46" spans="3:11" x14ac:dyDescent="0.25">
      <c r="C46">
        <v>1</v>
      </c>
      <c r="D46" t="s">
        <v>146</v>
      </c>
      <c r="E46">
        <v>1</v>
      </c>
      <c r="F46">
        <v>1</v>
      </c>
      <c r="G46">
        <v>1</v>
      </c>
      <c r="H46" t="s">
        <v>447</v>
      </c>
      <c r="I46">
        <v>4</v>
      </c>
      <c r="J46" t="s">
        <v>145</v>
      </c>
      <c r="K46" t="s">
        <v>1348</v>
      </c>
    </row>
    <row r="47" spans="3:11" x14ac:dyDescent="0.25">
      <c r="C47">
        <v>1</v>
      </c>
      <c r="D47" t="s">
        <v>541</v>
      </c>
      <c r="E47">
        <v>3</v>
      </c>
      <c r="F47">
        <v>2</v>
      </c>
      <c r="G47">
        <v>1</v>
      </c>
      <c r="H47" t="s">
        <v>447</v>
      </c>
      <c r="I47">
        <v>4</v>
      </c>
      <c r="J47" t="s">
        <v>542</v>
      </c>
      <c r="K47" t="s">
        <v>1348</v>
      </c>
    </row>
    <row r="48" spans="3:11" x14ac:dyDescent="0.25">
      <c r="C48">
        <v>1</v>
      </c>
      <c r="D48" t="s">
        <v>558</v>
      </c>
      <c r="E48">
        <v>2</v>
      </c>
      <c r="F48">
        <v>1</v>
      </c>
      <c r="G48">
        <v>1</v>
      </c>
      <c r="H48" t="s">
        <v>544</v>
      </c>
      <c r="I48">
        <v>2</v>
      </c>
      <c r="J48" t="s">
        <v>147</v>
      </c>
      <c r="K48" t="s">
        <v>1348</v>
      </c>
    </row>
    <row r="49" spans="3:11" x14ac:dyDescent="0.25">
      <c r="C49">
        <v>1</v>
      </c>
      <c r="D49" t="s">
        <v>560</v>
      </c>
      <c r="E49">
        <v>1</v>
      </c>
      <c r="F49">
        <v>1</v>
      </c>
      <c r="G49">
        <v>1</v>
      </c>
      <c r="H49" t="s">
        <v>544</v>
      </c>
      <c r="I49">
        <v>2</v>
      </c>
      <c r="J49" t="s">
        <v>561</v>
      </c>
      <c r="K49" t="s">
        <v>1348</v>
      </c>
    </row>
    <row r="50" spans="3:11" x14ac:dyDescent="0.25">
      <c r="C50">
        <v>1</v>
      </c>
      <c r="D50" t="s">
        <v>562</v>
      </c>
      <c r="E50">
        <v>31</v>
      </c>
      <c r="F50">
        <v>1</v>
      </c>
      <c r="G50">
        <v>1</v>
      </c>
      <c r="H50" t="s">
        <v>544</v>
      </c>
      <c r="I50">
        <v>2</v>
      </c>
      <c r="J50" t="s">
        <v>563</v>
      </c>
      <c r="K50" t="s">
        <v>1348</v>
      </c>
    </row>
    <row r="51" spans="3:11" x14ac:dyDescent="0.25">
      <c r="C51">
        <v>1</v>
      </c>
      <c r="D51" t="s">
        <v>564</v>
      </c>
      <c r="E51">
        <v>1</v>
      </c>
      <c r="F51">
        <v>1</v>
      </c>
      <c r="G51">
        <v>1</v>
      </c>
      <c r="H51" t="s">
        <v>544</v>
      </c>
      <c r="I51">
        <v>4</v>
      </c>
      <c r="J51" t="s">
        <v>565</v>
      </c>
      <c r="K51" t="s">
        <v>1348</v>
      </c>
    </row>
    <row r="52" spans="3:11" x14ac:dyDescent="0.25">
      <c r="C52">
        <v>1</v>
      </c>
      <c r="D52" t="s">
        <v>148</v>
      </c>
      <c r="E52">
        <v>1</v>
      </c>
      <c r="F52">
        <v>1</v>
      </c>
      <c r="G52">
        <v>1</v>
      </c>
      <c r="H52" t="s">
        <v>544</v>
      </c>
      <c r="I52">
        <v>4</v>
      </c>
      <c r="J52" t="s">
        <v>149</v>
      </c>
      <c r="K52" t="s">
        <v>1348</v>
      </c>
    </row>
    <row r="53" spans="3:11" x14ac:dyDescent="0.25">
      <c r="C53">
        <v>1</v>
      </c>
      <c r="D53" t="s">
        <v>150</v>
      </c>
      <c r="E53">
        <v>1</v>
      </c>
      <c r="F53">
        <v>1</v>
      </c>
      <c r="G53">
        <v>1</v>
      </c>
      <c r="H53" t="s">
        <v>544</v>
      </c>
      <c r="I53">
        <v>4</v>
      </c>
      <c r="J53" t="s">
        <v>149</v>
      </c>
      <c r="K53" t="s">
        <v>1348</v>
      </c>
    </row>
    <row r="54" spans="3:11" x14ac:dyDescent="0.25">
      <c r="C54">
        <v>1</v>
      </c>
      <c r="D54" t="s">
        <v>151</v>
      </c>
      <c r="E54">
        <v>1</v>
      </c>
      <c r="F54">
        <v>1</v>
      </c>
      <c r="G54">
        <v>1</v>
      </c>
      <c r="H54" t="s">
        <v>544</v>
      </c>
      <c r="I54">
        <v>4</v>
      </c>
      <c r="J54" t="s">
        <v>152</v>
      </c>
      <c r="K54" t="s">
        <v>1348</v>
      </c>
    </row>
    <row r="55" spans="3:11" x14ac:dyDescent="0.25">
      <c r="C55">
        <v>1</v>
      </c>
      <c r="D55" t="s">
        <v>153</v>
      </c>
      <c r="E55">
        <v>1</v>
      </c>
      <c r="F55">
        <v>1</v>
      </c>
      <c r="G55">
        <v>1</v>
      </c>
      <c r="H55" t="s">
        <v>544</v>
      </c>
      <c r="I55">
        <v>4</v>
      </c>
      <c r="J55" t="s">
        <v>152</v>
      </c>
      <c r="K55" t="s">
        <v>1348</v>
      </c>
    </row>
    <row r="56" spans="3:11" x14ac:dyDescent="0.25">
      <c r="C56">
        <v>1</v>
      </c>
      <c r="D56" t="s">
        <v>572</v>
      </c>
      <c r="E56">
        <v>4</v>
      </c>
      <c r="F56">
        <v>1</v>
      </c>
      <c r="G56">
        <v>1</v>
      </c>
      <c r="H56" t="s">
        <v>544</v>
      </c>
      <c r="I56">
        <v>4</v>
      </c>
      <c r="J56" t="s">
        <v>573</v>
      </c>
      <c r="K56" t="s">
        <v>1348</v>
      </c>
    </row>
    <row r="57" spans="3:11" x14ac:dyDescent="0.25">
      <c r="C57">
        <v>1</v>
      </c>
      <c r="D57" t="s">
        <v>574</v>
      </c>
      <c r="E57">
        <v>14</v>
      </c>
      <c r="F57">
        <v>1</v>
      </c>
      <c r="G57">
        <v>1</v>
      </c>
      <c r="H57" t="s">
        <v>544</v>
      </c>
      <c r="I57">
        <v>4</v>
      </c>
      <c r="J57" t="s">
        <v>575</v>
      </c>
      <c r="K57" t="s">
        <v>1348</v>
      </c>
    </row>
    <row r="58" spans="3:11" x14ac:dyDescent="0.25">
      <c r="C58">
        <v>1</v>
      </c>
      <c r="D58" t="s">
        <v>578</v>
      </c>
      <c r="E58">
        <v>2</v>
      </c>
      <c r="F58">
        <v>1</v>
      </c>
      <c r="G58">
        <v>1</v>
      </c>
      <c r="H58" t="s">
        <v>544</v>
      </c>
      <c r="I58">
        <v>4</v>
      </c>
      <c r="J58" t="s">
        <v>579</v>
      </c>
      <c r="K58" t="s">
        <v>1348</v>
      </c>
    </row>
    <row r="59" spans="3:11" x14ac:dyDescent="0.25">
      <c r="C59">
        <v>1</v>
      </c>
      <c r="D59" t="s">
        <v>580</v>
      </c>
      <c r="E59">
        <v>7</v>
      </c>
      <c r="F59">
        <v>2</v>
      </c>
      <c r="G59">
        <v>1</v>
      </c>
      <c r="H59" t="s">
        <v>544</v>
      </c>
      <c r="I59">
        <v>4</v>
      </c>
      <c r="J59" t="s">
        <v>581</v>
      </c>
      <c r="K59" t="s">
        <v>1348</v>
      </c>
    </row>
    <row r="60" spans="3:11" x14ac:dyDescent="0.25">
      <c r="C60">
        <v>1</v>
      </c>
      <c r="D60" t="s">
        <v>582</v>
      </c>
      <c r="E60">
        <v>1</v>
      </c>
      <c r="F60">
        <v>1</v>
      </c>
      <c r="G60">
        <v>1</v>
      </c>
      <c r="H60" t="s">
        <v>544</v>
      </c>
      <c r="I60">
        <v>4</v>
      </c>
      <c r="J60" t="s">
        <v>583</v>
      </c>
      <c r="K60" t="s">
        <v>1348</v>
      </c>
    </row>
    <row r="61" spans="3:11" x14ac:dyDescent="0.25">
      <c r="C61">
        <v>1</v>
      </c>
      <c r="D61" t="s">
        <v>584</v>
      </c>
      <c r="E61">
        <v>2</v>
      </c>
      <c r="F61">
        <v>1</v>
      </c>
      <c r="G61">
        <v>1</v>
      </c>
      <c r="H61" t="s">
        <v>544</v>
      </c>
      <c r="I61">
        <v>4</v>
      </c>
      <c r="J61" t="s">
        <v>585</v>
      </c>
      <c r="K61" t="s">
        <v>1348</v>
      </c>
    </row>
    <row r="62" spans="3:11" x14ac:dyDescent="0.25">
      <c r="C62">
        <v>1</v>
      </c>
      <c r="D62" t="s">
        <v>586</v>
      </c>
      <c r="E62">
        <v>1</v>
      </c>
      <c r="F62">
        <v>1</v>
      </c>
      <c r="G62">
        <v>1</v>
      </c>
      <c r="H62" t="s">
        <v>544</v>
      </c>
      <c r="I62">
        <v>4</v>
      </c>
      <c r="J62" t="s">
        <v>587</v>
      </c>
      <c r="K62" t="s">
        <v>1348</v>
      </c>
    </row>
    <row r="63" spans="3:11" x14ac:dyDescent="0.25">
      <c r="C63">
        <v>1</v>
      </c>
      <c r="D63" t="s">
        <v>605</v>
      </c>
      <c r="E63">
        <v>40</v>
      </c>
      <c r="F63">
        <v>1</v>
      </c>
      <c r="G63">
        <v>1</v>
      </c>
      <c r="H63" t="s">
        <v>589</v>
      </c>
      <c r="I63">
        <v>1</v>
      </c>
      <c r="J63" t="s">
        <v>606</v>
      </c>
      <c r="K63" t="s">
        <v>1348</v>
      </c>
    </row>
    <row r="64" spans="3:11" x14ac:dyDescent="0.25">
      <c r="C64">
        <v>1</v>
      </c>
      <c r="D64" t="s">
        <v>611</v>
      </c>
      <c r="E64">
        <v>40</v>
      </c>
      <c r="F64">
        <v>1</v>
      </c>
      <c r="G64">
        <v>1</v>
      </c>
      <c r="H64" t="s">
        <v>589</v>
      </c>
      <c r="I64">
        <v>2</v>
      </c>
      <c r="J64" t="s">
        <v>612</v>
      </c>
      <c r="K64" t="s">
        <v>1348</v>
      </c>
    </row>
    <row r="65" spans="3:11" x14ac:dyDescent="0.25">
      <c r="C65">
        <v>1</v>
      </c>
      <c r="D65" t="s">
        <v>613</v>
      </c>
      <c r="E65">
        <v>40</v>
      </c>
      <c r="F65">
        <v>1</v>
      </c>
      <c r="G65">
        <v>1</v>
      </c>
      <c r="H65" t="s">
        <v>589</v>
      </c>
      <c r="I65">
        <v>2</v>
      </c>
      <c r="J65" t="s">
        <v>614</v>
      </c>
      <c r="K65" t="s">
        <v>1348</v>
      </c>
    </row>
    <row r="66" spans="3:11" x14ac:dyDescent="0.25">
      <c r="C66">
        <v>1</v>
      </c>
      <c r="D66" t="s">
        <v>615</v>
      </c>
      <c r="E66">
        <v>40</v>
      </c>
      <c r="F66">
        <v>1</v>
      </c>
      <c r="G66">
        <v>1</v>
      </c>
      <c r="H66" t="s">
        <v>589</v>
      </c>
      <c r="I66">
        <v>2</v>
      </c>
      <c r="J66" t="s">
        <v>616</v>
      </c>
      <c r="K66" t="s">
        <v>1348</v>
      </c>
    </row>
    <row r="67" spans="3:11" x14ac:dyDescent="0.25">
      <c r="C67">
        <v>1</v>
      </c>
      <c r="D67" t="s">
        <v>617</v>
      </c>
      <c r="E67">
        <v>40</v>
      </c>
      <c r="F67">
        <v>1</v>
      </c>
      <c r="G67">
        <v>1</v>
      </c>
      <c r="H67" t="s">
        <v>589</v>
      </c>
      <c r="I67">
        <v>2</v>
      </c>
      <c r="J67" t="s">
        <v>618</v>
      </c>
      <c r="K67" t="s">
        <v>1348</v>
      </c>
    </row>
    <row r="68" spans="3:11" x14ac:dyDescent="0.25">
      <c r="C68">
        <v>1</v>
      </c>
      <c r="D68" t="s">
        <v>619</v>
      </c>
      <c r="E68">
        <v>40</v>
      </c>
      <c r="F68">
        <v>1</v>
      </c>
      <c r="G68">
        <v>1</v>
      </c>
      <c r="H68" t="s">
        <v>589</v>
      </c>
      <c r="I68">
        <v>2</v>
      </c>
      <c r="J68" t="s">
        <v>620</v>
      </c>
      <c r="K68" t="s">
        <v>1348</v>
      </c>
    </row>
    <row r="69" spans="3:11" x14ac:dyDescent="0.25">
      <c r="C69">
        <v>1</v>
      </c>
      <c r="D69" t="s">
        <v>621</v>
      </c>
      <c r="E69">
        <v>40</v>
      </c>
      <c r="F69">
        <v>1</v>
      </c>
      <c r="G69">
        <v>1</v>
      </c>
      <c r="H69" t="s">
        <v>589</v>
      </c>
      <c r="I69">
        <v>2</v>
      </c>
      <c r="J69" t="s">
        <v>622</v>
      </c>
      <c r="K69" t="s">
        <v>1348</v>
      </c>
    </row>
    <row r="70" spans="3:11" x14ac:dyDescent="0.25">
      <c r="C70">
        <v>1</v>
      </c>
      <c r="D70" t="s">
        <v>623</v>
      </c>
      <c r="E70">
        <v>40</v>
      </c>
      <c r="F70">
        <v>1</v>
      </c>
      <c r="G70">
        <v>1</v>
      </c>
      <c r="H70" t="s">
        <v>589</v>
      </c>
      <c r="I70">
        <v>2</v>
      </c>
      <c r="J70" t="s">
        <v>624</v>
      </c>
      <c r="K70" t="s">
        <v>1348</v>
      </c>
    </row>
    <row r="71" spans="3:11" x14ac:dyDescent="0.25">
      <c r="C71">
        <v>1</v>
      </c>
      <c r="D71" t="s">
        <v>625</v>
      </c>
      <c r="E71">
        <v>40</v>
      </c>
      <c r="F71">
        <v>1</v>
      </c>
      <c r="G71">
        <v>1</v>
      </c>
      <c r="H71" t="s">
        <v>589</v>
      </c>
      <c r="I71">
        <v>2</v>
      </c>
      <c r="J71" t="s">
        <v>626</v>
      </c>
      <c r="K71" t="s">
        <v>1348</v>
      </c>
    </row>
    <row r="72" spans="3:11" x14ac:dyDescent="0.25">
      <c r="C72">
        <v>1</v>
      </c>
      <c r="D72" t="s">
        <v>627</v>
      </c>
      <c r="E72">
        <v>40</v>
      </c>
      <c r="F72">
        <v>1</v>
      </c>
      <c r="G72">
        <v>1</v>
      </c>
      <c r="H72" t="s">
        <v>589</v>
      </c>
      <c r="I72">
        <v>2</v>
      </c>
      <c r="J72" t="s">
        <v>628</v>
      </c>
      <c r="K72" t="s">
        <v>1348</v>
      </c>
    </row>
    <row r="73" spans="3:11" x14ac:dyDescent="0.25">
      <c r="C73">
        <v>1</v>
      </c>
      <c r="D73" t="s">
        <v>629</v>
      </c>
      <c r="E73">
        <v>40</v>
      </c>
      <c r="F73">
        <v>1</v>
      </c>
      <c r="G73">
        <v>1</v>
      </c>
      <c r="H73" t="s">
        <v>589</v>
      </c>
      <c r="I73">
        <v>2</v>
      </c>
      <c r="J73" t="s">
        <v>630</v>
      </c>
      <c r="K73" t="s">
        <v>1348</v>
      </c>
    </row>
    <row r="74" spans="3:11" x14ac:dyDescent="0.25">
      <c r="C74">
        <v>1</v>
      </c>
      <c r="D74" t="s">
        <v>631</v>
      </c>
      <c r="E74">
        <v>40</v>
      </c>
      <c r="F74">
        <v>1</v>
      </c>
      <c r="G74">
        <v>1</v>
      </c>
      <c r="H74" t="s">
        <v>589</v>
      </c>
      <c r="I74">
        <v>2</v>
      </c>
      <c r="J74" t="s">
        <v>632</v>
      </c>
      <c r="K74" t="s">
        <v>1348</v>
      </c>
    </row>
    <row r="75" spans="3:11" x14ac:dyDescent="0.25">
      <c r="C75">
        <v>1</v>
      </c>
      <c r="D75" t="s">
        <v>633</v>
      </c>
      <c r="E75">
        <v>40</v>
      </c>
      <c r="F75">
        <v>1</v>
      </c>
      <c r="G75">
        <v>1</v>
      </c>
      <c r="H75" t="s">
        <v>589</v>
      </c>
      <c r="I75">
        <v>2</v>
      </c>
      <c r="J75" t="s">
        <v>634</v>
      </c>
      <c r="K75" t="s">
        <v>1348</v>
      </c>
    </row>
    <row r="76" spans="3:11" x14ac:dyDescent="0.25">
      <c r="C76">
        <v>1</v>
      </c>
      <c r="D76" t="s">
        <v>635</v>
      </c>
      <c r="E76">
        <v>40</v>
      </c>
      <c r="F76">
        <v>1</v>
      </c>
      <c r="G76">
        <v>1</v>
      </c>
      <c r="H76" t="s">
        <v>589</v>
      </c>
      <c r="I76">
        <v>2</v>
      </c>
      <c r="J76" t="s">
        <v>636</v>
      </c>
      <c r="K76" t="s">
        <v>1348</v>
      </c>
    </row>
    <row r="77" spans="3:11" x14ac:dyDescent="0.25">
      <c r="C77">
        <v>1</v>
      </c>
      <c r="D77" t="s">
        <v>637</v>
      </c>
      <c r="E77">
        <v>40</v>
      </c>
      <c r="F77">
        <v>1</v>
      </c>
      <c r="G77">
        <v>1</v>
      </c>
      <c r="H77" t="s">
        <v>589</v>
      </c>
      <c r="I77">
        <v>2</v>
      </c>
      <c r="J77" t="s">
        <v>638</v>
      </c>
      <c r="K77" t="s">
        <v>1348</v>
      </c>
    </row>
    <row r="78" spans="3:11" x14ac:dyDescent="0.25">
      <c r="C78">
        <v>1</v>
      </c>
      <c r="D78" t="s">
        <v>639</v>
      </c>
      <c r="E78">
        <v>40</v>
      </c>
      <c r="F78">
        <v>1</v>
      </c>
      <c r="G78">
        <v>1</v>
      </c>
      <c r="H78" t="s">
        <v>589</v>
      </c>
      <c r="I78">
        <v>2</v>
      </c>
      <c r="J78" t="s">
        <v>640</v>
      </c>
      <c r="K78" t="s">
        <v>1348</v>
      </c>
    </row>
    <row r="79" spans="3:11" x14ac:dyDescent="0.25">
      <c r="C79">
        <v>1</v>
      </c>
      <c r="D79" t="s">
        <v>641</v>
      </c>
      <c r="E79">
        <v>40</v>
      </c>
      <c r="F79">
        <v>1</v>
      </c>
      <c r="G79">
        <v>1</v>
      </c>
      <c r="H79" t="s">
        <v>589</v>
      </c>
      <c r="I79">
        <v>2</v>
      </c>
      <c r="J79" t="s">
        <v>642</v>
      </c>
      <c r="K79" t="s">
        <v>1348</v>
      </c>
    </row>
    <row r="80" spans="3:11" x14ac:dyDescent="0.25">
      <c r="C80">
        <v>1</v>
      </c>
      <c r="D80" t="s">
        <v>643</v>
      </c>
      <c r="E80">
        <v>2</v>
      </c>
      <c r="F80">
        <v>2</v>
      </c>
      <c r="G80">
        <v>1</v>
      </c>
      <c r="H80" t="s">
        <v>589</v>
      </c>
      <c r="I80">
        <v>2</v>
      </c>
      <c r="J80" t="s">
        <v>154</v>
      </c>
      <c r="K80" t="s">
        <v>1348</v>
      </c>
    </row>
    <row r="81" spans="3:11" x14ac:dyDescent="0.25">
      <c r="C81">
        <v>1</v>
      </c>
      <c r="D81" t="s">
        <v>645</v>
      </c>
      <c r="E81">
        <v>2</v>
      </c>
      <c r="F81">
        <v>2</v>
      </c>
      <c r="G81">
        <v>1</v>
      </c>
      <c r="H81" t="s">
        <v>589</v>
      </c>
      <c r="I81">
        <v>2</v>
      </c>
      <c r="J81" t="s">
        <v>155</v>
      </c>
      <c r="K81" t="s">
        <v>1348</v>
      </c>
    </row>
    <row r="82" spans="3:11" x14ac:dyDescent="0.25">
      <c r="C82">
        <v>1</v>
      </c>
      <c r="D82" t="s">
        <v>647</v>
      </c>
      <c r="E82">
        <v>40</v>
      </c>
      <c r="F82">
        <v>1</v>
      </c>
      <c r="G82">
        <v>1</v>
      </c>
      <c r="H82" t="s">
        <v>589</v>
      </c>
      <c r="I82">
        <v>2</v>
      </c>
      <c r="J82" t="s">
        <v>648</v>
      </c>
      <c r="K82" t="s">
        <v>1348</v>
      </c>
    </row>
    <row r="83" spans="3:11" x14ac:dyDescent="0.25">
      <c r="C83">
        <v>1</v>
      </c>
      <c r="D83" t="s">
        <v>649</v>
      </c>
      <c r="E83">
        <v>40</v>
      </c>
      <c r="F83">
        <v>1</v>
      </c>
      <c r="G83">
        <v>1</v>
      </c>
      <c r="H83" t="s">
        <v>589</v>
      </c>
      <c r="I83">
        <v>2</v>
      </c>
      <c r="J83" t="s">
        <v>650</v>
      </c>
      <c r="K83" t="s">
        <v>1348</v>
      </c>
    </row>
    <row r="84" spans="3:11" x14ac:dyDescent="0.25">
      <c r="C84">
        <v>1</v>
      </c>
      <c r="D84" t="s">
        <v>651</v>
      </c>
      <c r="E84">
        <v>10</v>
      </c>
      <c r="F84">
        <v>14</v>
      </c>
      <c r="G84">
        <v>1</v>
      </c>
      <c r="H84" t="s">
        <v>589</v>
      </c>
      <c r="I84">
        <v>2</v>
      </c>
      <c r="J84" t="s">
        <v>652</v>
      </c>
      <c r="K84" t="s">
        <v>1348</v>
      </c>
    </row>
    <row r="85" spans="3:11" x14ac:dyDescent="0.25">
      <c r="C85">
        <v>1</v>
      </c>
      <c r="D85" t="s">
        <v>653</v>
      </c>
      <c r="E85">
        <v>40</v>
      </c>
      <c r="F85">
        <v>1</v>
      </c>
      <c r="G85">
        <v>1</v>
      </c>
      <c r="H85" t="s">
        <v>589</v>
      </c>
      <c r="I85">
        <v>2</v>
      </c>
      <c r="J85" t="s">
        <v>654</v>
      </c>
      <c r="K85" t="s">
        <v>1348</v>
      </c>
    </row>
    <row r="86" spans="3:11" x14ac:dyDescent="0.25">
      <c r="C86">
        <v>1</v>
      </c>
      <c r="D86" t="s">
        <v>655</v>
      </c>
      <c r="E86">
        <v>40</v>
      </c>
      <c r="F86">
        <v>1</v>
      </c>
      <c r="G86">
        <v>1</v>
      </c>
      <c r="H86" t="s">
        <v>589</v>
      </c>
      <c r="I86">
        <v>2</v>
      </c>
      <c r="J86" t="s">
        <v>656</v>
      </c>
      <c r="K86" t="s">
        <v>1348</v>
      </c>
    </row>
    <row r="87" spans="3:11" x14ac:dyDescent="0.25">
      <c r="C87">
        <v>1</v>
      </c>
      <c r="D87" t="s">
        <v>657</v>
      </c>
      <c r="E87">
        <v>30</v>
      </c>
      <c r="F87">
        <v>1</v>
      </c>
      <c r="G87">
        <v>1</v>
      </c>
      <c r="H87" t="s">
        <v>589</v>
      </c>
      <c r="I87">
        <v>2</v>
      </c>
      <c r="J87" t="s">
        <v>658</v>
      </c>
      <c r="K87" t="s">
        <v>1348</v>
      </c>
    </row>
    <row r="88" spans="3:11" x14ac:dyDescent="0.25">
      <c r="C88">
        <v>1</v>
      </c>
      <c r="D88" t="s">
        <v>659</v>
      </c>
      <c r="E88">
        <v>40</v>
      </c>
      <c r="F88">
        <v>1</v>
      </c>
      <c r="G88">
        <v>1</v>
      </c>
      <c r="H88" t="s">
        <v>589</v>
      </c>
      <c r="I88">
        <v>2</v>
      </c>
      <c r="J88" t="s">
        <v>156</v>
      </c>
      <c r="K88" t="s">
        <v>1348</v>
      </c>
    </row>
    <row r="89" spans="3:11" x14ac:dyDescent="0.25">
      <c r="C89">
        <v>1</v>
      </c>
      <c r="D89" t="s">
        <v>661</v>
      </c>
      <c r="E89">
        <v>4</v>
      </c>
      <c r="F89">
        <v>1</v>
      </c>
      <c r="G89">
        <v>1</v>
      </c>
      <c r="H89" t="s">
        <v>589</v>
      </c>
      <c r="I89">
        <v>2</v>
      </c>
      <c r="J89" t="s">
        <v>157</v>
      </c>
      <c r="K89" t="s">
        <v>1348</v>
      </c>
    </row>
    <row r="90" spans="3:11" x14ac:dyDescent="0.25">
      <c r="C90">
        <v>1</v>
      </c>
      <c r="D90" t="s">
        <v>663</v>
      </c>
      <c r="E90">
        <v>40</v>
      </c>
      <c r="F90">
        <v>1</v>
      </c>
      <c r="G90">
        <v>1</v>
      </c>
      <c r="H90" t="s">
        <v>589</v>
      </c>
      <c r="I90">
        <v>2</v>
      </c>
      <c r="J90" t="s">
        <v>664</v>
      </c>
      <c r="K90" t="s">
        <v>1348</v>
      </c>
    </row>
    <row r="91" spans="3:11" x14ac:dyDescent="0.25">
      <c r="C91">
        <v>1</v>
      </c>
      <c r="D91" t="s">
        <v>665</v>
      </c>
      <c r="E91">
        <v>30</v>
      </c>
      <c r="F91">
        <v>1</v>
      </c>
      <c r="G91">
        <v>1</v>
      </c>
      <c r="H91" t="s">
        <v>589</v>
      </c>
      <c r="I91">
        <v>2</v>
      </c>
      <c r="J91" t="s">
        <v>666</v>
      </c>
      <c r="K91" t="s">
        <v>1348</v>
      </c>
    </row>
    <row r="92" spans="3:11" x14ac:dyDescent="0.25">
      <c r="C92">
        <v>1</v>
      </c>
      <c r="D92" t="s">
        <v>667</v>
      </c>
      <c r="E92">
        <v>40</v>
      </c>
      <c r="F92">
        <v>1</v>
      </c>
      <c r="G92">
        <v>1</v>
      </c>
      <c r="H92" t="s">
        <v>589</v>
      </c>
      <c r="I92">
        <v>2</v>
      </c>
      <c r="J92" t="s">
        <v>668</v>
      </c>
      <c r="K92" t="s">
        <v>1348</v>
      </c>
    </row>
    <row r="93" spans="3:11" x14ac:dyDescent="0.25">
      <c r="C93">
        <v>1</v>
      </c>
      <c r="D93" t="s">
        <v>669</v>
      </c>
      <c r="E93">
        <v>40</v>
      </c>
      <c r="F93">
        <v>1</v>
      </c>
      <c r="G93">
        <v>1</v>
      </c>
      <c r="H93" t="s">
        <v>589</v>
      </c>
      <c r="I93">
        <v>2</v>
      </c>
      <c r="J93" t="s">
        <v>670</v>
      </c>
      <c r="K93" t="s">
        <v>1348</v>
      </c>
    </row>
    <row r="94" spans="3:11" x14ac:dyDescent="0.25">
      <c r="C94">
        <v>1</v>
      </c>
      <c r="D94" t="s">
        <v>671</v>
      </c>
      <c r="E94">
        <v>40</v>
      </c>
      <c r="F94">
        <v>1</v>
      </c>
      <c r="G94">
        <v>1</v>
      </c>
      <c r="H94" t="s">
        <v>589</v>
      </c>
      <c r="I94">
        <v>2</v>
      </c>
      <c r="J94" t="s">
        <v>672</v>
      </c>
      <c r="K94" t="s">
        <v>1348</v>
      </c>
    </row>
    <row r="95" spans="3:11" x14ac:dyDescent="0.25">
      <c r="C95">
        <v>1</v>
      </c>
      <c r="D95" t="s">
        <v>673</v>
      </c>
      <c r="E95">
        <v>40</v>
      </c>
      <c r="F95">
        <v>1</v>
      </c>
      <c r="G95">
        <v>1</v>
      </c>
      <c r="H95" t="s">
        <v>589</v>
      </c>
      <c r="I95">
        <v>2</v>
      </c>
      <c r="J95" t="s">
        <v>674</v>
      </c>
      <c r="K95" t="s">
        <v>1348</v>
      </c>
    </row>
    <row r="96" spans="3:11" x14ac:dyDescent="0.25">
      <c r="C96">
        <v>1</v>
      </c>
      <c r="D96" t="s">
        <v>675</v>
      </c>
      <c r="E96">
        <v>40</v>
      </c>
      <c r="F96">
        <v>1</v>
      </c>
      <c r="G96">
        <v>1</v>
      </c>
      <c r="H96" t="s">
        <v>589</v>
      </c>
      <c r="I96">
        <v>2</v>
      </c>
      <c r="J96" t="s">
        <v>676</v>
      </c>
      <c r="K96" t="s">
        <v>1348</v>
      </c>
    </row>
    <row r="97" spans="3:11" x14ac:dyDescent="0.25">
      <c r="C97">
        <v>1</v>
      </c>
      <c r="D97" t="s">
        <v>677</v>
      </c>
      <c r="E97">
        <v>40</v>
      </c>
      <c r="F97">
        <v>1</v>
      </c>
      <c r="G97">
        <v>1</v>
      </c>
      <c r="H97" t="s">
        <v>589</v>
      </c>
      <c r="I97">
        <v>2</v>
      </c>
      <c r="J97" t="s">
        <v>678</v>
      </c>
      <c r="K97" t="s">
        <v>1348</v>
      </c>
    </row>
    <row r="98" spans="3:11" x14ac:dyDescent="0.25">
      <c r="C98">
        <v>1</v>
      </c>
      <c r="D98" t="s">
        <v>679</v>
      </c>
      <c r="E98">
        <v>40</v>
      </c>
      <c r="F98">
        <v>1</v>
      </c>
      <c r="G98">
        <v>1</v>
      </c>
      <c r="H98" t="s">
        <v>589</v>
      </c>
      <c r="I98">
        <v>2</v>
      </c>
      <c r="J98" t="s">
        <v>680</v>
      </c>
      <c r="K98" t="s">
        <v>1348</v>
      </c>
    </row>
    <row r="99" spans="3:11" x14ac:dyDescent="0.25">
      <c r="C99">
        <v>1</v>
      </c>
      <c r="D99" t="s">
        <v>158</v>
      </c>
      <c r="E99">
        <v>64</v>
      </c>
      <c r="F99">
        <v>1</v>
      </c>
      <c r="G99">
        <v>1</v>
      </c>
      <c r="H99" t="s">
        <v>589</v>
      </c>
      <c r="I99">
        <v>2</v>
      </c>
      <c r="J99" t="s">
        <v>159</v>
      </c>
      <c r="K99" t="s">
        <v>1348</v>
      </c>
    </row>
    <row r="100" spans="3:11" x14ac:dyDescent="0.25">
      <c r="C100">
        <v>1</v>
      </c>
      <c r="D100" t="s">
        <v>681</v>
      </c>
      <c r="E100">
        <v>40</v>
      </c>
      <c r="F100">
        <v>1</v>
      </c>
      <c r="G100">
        <v>1</v>
      </c>
      <c r="H100" t="s">
        <v>589</v>
      </c>
      <c r="I100">
        <v>2</v>
      </c>
      <c r="J100" t="s">
        <v>682</v>
      </c>
      <c r="K100" t="s">
        <v>1348</v>
      </c>
    </row>
    <row r="101" spans="3:11" x14ac:dyDescent="0.25">
      <c r="C101">
        <v>1</v>
      </c>
      <c r="D101" t="s">
        <v>683</v>
      </c>
      <c r="E101">
        <v>30</v>
      </c>
      <c r="F101">
        <v>1</v>
      </c>
      <c r="G101">
        <v>1</v>
      </c>
      <c r="H101" t="s">
        <v>589</v>
      </c>
      <c r="I101">
        <v>2</v>
      </c>
      <c r="J101" t="s">
        <v>684</v>
      </c>
      <c r="K101" t="s">
        <v>1348</v>
      </c>
    </row>
    <row r="102" spans="3:11" x14ac:dyDescent="0.25">
      <c r="C102">
        <v>1</v>
      </c>
      <c r="D102" t="s">
        <v>685</v>
      </c>
      <c r="E102">
        <v>2</v>
      </c>
      <c r="F102">
        <v>31</v>
      </c>
      <c r="G102">
        <v>1</v>
      </c>
      <c r="H102" t="s">
        <v>589</v>
      </c>
      <c r="I102">
        <v>2</v>
      </c>
      <c r="J102" t="s">
        <v>686</v>
      </c>
      <c r="K102" t="s">
        <v>1348</v>
      </c>
    </row>
    <row r="103" spans="3:11" x14ac:dyDescent="0.25">
      <c r="C103">
        <v>1</v>
      </c>
      <c r="D103" t="s">
        <v>687</v>
      </c>
      <c r="E103">
        <v>40</v>
      </c>
      <c r="F103">
        <v>1</v>
      </c>
      <c r="G103">
        <v>1</v>
      </c>
      <c r="H103" t="s">
        <v>589</v>
      </c>
      <c r="I103">
        <v>2</v>
      </c>
      <c r="J103" t="s">
        <v>688</v>
      </c>
      <c r="K103" t="s">
        <v>1348</v>
      </c>
    </row>
    <row r="104" spans="3:11" x14ac:dyDescent="0.25">
      <c r="C104">
        <v>1</v>
      </c>
      <c r="D104" t="s">
        <v>689</v>
      </c>
      <c r="E104">
        <v>40</v>
      </c>
      <c r="F104">
        <v>1</v>
      </c>
      <c r="G104">
        <v>1</v>
      </c>
      <c r="H104" t="s">
        <v>589</v>
      </c>
      <c r="I104">
        <v>2</v>
      </c>
      <c r="J104" t="s">
        <v>650</v>
      </c>
      <c r="K104" t="s">
        <v>1348</v>
      </c>
    </row>
    <row r="105" spans="3:11" x14ac:dyDescent="0.25">
      <c r="C105">
        <v>1</v>
      </c>
      <c r="D105" t="s">
        <v>160</v>
      </c>
      <c r="E105">
        <v>4</v>
      </c>
      <c r="F105">
        <v>2</v>
      </c>
      <c r="G105">
        <v>1</v>
      </c>
      <c r="H105" t="s">
        <v>589</v>
      </c>
      <c r="I105">
        <v>3</v>
      </c>
      <c r="J105" t="s">
        <v>161</v>
      </c>
      <c r="K105" t="s">
        <v>1348</v>
      </c>
    </row>
    <row r="106" spans="3:11" x14ac:dyDescent="0.25">
      <c r="C106">
        <v>1</v>
      </c>
      <c r="D106" t="s">
        <v>694</v>
      </c>
      <c r="E106">
        <v>4</v>
      </c>
      <c r="F106">
        <v>2</v>
      </c>
      <c r="G106">
        <v>1</v>
      </c>
      <c r="H106" t="s">
        <v>589</v>
      </c>
      <c r="I106">
        <v>4</v>
      </c>
      <c r="J106" t="s">
        <v>695</v>
      </c>
      <c r="K106" t="s">
        <v>1348</v>
      </c>
    </row>
    <row r="107" spans="3:11" x14ac:dyDescent="0.25">
      <c r="C107">
        <v>1</v>
      </c>
      <c r="D107" t="s">
        <v>696</v>
      </c>
      <c r="E107">
        <v>8</v>
      </c>
      <c r="F107">
        <v>1</v>
      </c>
      <c r="G107">
        <v>1</v>
      </c>
      <c r="H107" t="s">
        <v>589</v>
      </c>
      <c r="I107">
        <v>4</v>
      </c>
      <c r="J107" t="s">
        <v>697</v>
      </c>
      <c r="K107" t="s">
        <v>1348</v>
      </c>
    </row>
    <row r="108" spans="3:11" x14ac:dyDescent="0.25">
      <c r="C108">
        <v>1</v>
      </c>
      <c r="D108" t="s">
        <v>702</v>
      </c>
      <c r="E108">
        <v>1</v>
      </c>
      <c r="F108">
        <v>1</v>
      </c>
      <c r="G108">
        <v>1</v>
      </c>
      <c r="H108" t="s">
        <v>589</v>
      </c>
      <c r="I108">
        <v>4</v>
      </c>
      <c r="J108" t="s">
        <v>703</v>
      </c>
      <c r="K108" t="s">
        <v>1348</v>
      </c>
    </row>
    <row r="109" spans="3:11" x14ac:dyDescent="0.25">
      <c r="C109">
        <v>1</v>
      </c>
      <c r="D109" t="s">
        <v>704</v>
      </c>
      <c r="E109">
        <v>1</v>
      </c>
      <c r="F109">
        <v>1</v>
      </c>
      <c r="G109">
        <v>1</v>
      </c>
      <c r="H109" t="s">
        <v>589</v>
      </c>
      <c r="I109">
        <v>4</v>
      </c>
      <c r="J109" t="s">
        <v>705</v>
      </c>
      <c r="K109" t="s">
        <v>1348</v>
      </c>
    </row>
    <row r="110" spans="3:11" x14ac:dyDescent="0.25">
      <c r="C110">
        <v>1</v>
      </c>
      <c r="D110" t="s">
        <v>706</v>
      </c>
      <c r="E110">
        <v>2</v>
      </c>
      <c r="F110">
        <v>1</v>
      </c>
      <c r="G110">
        <v>1</v>
      </c>
      <c r="H110" t="s">
        <v>589</v>
      </c>
      <c r="I110">
        <v>4</v>
      </c>
      <c r="J110" t="s">
        <v>707</v>
      </c>
      <c r="K110" t="s">
        <v>1348</v>
      </c>
    </row>
    <row r="111" spans="3:11" x14ac:dyDescent="0.25">
      <c r="C111">
        <v>1</v>
      </c>
      <c r="D111" t="s">
        <v>1216</v>
      </c>
      <c r="E111">
        <v>4</v>
      </c>
      <c r="F111">
        <v>2</v>
      </c>
      <c r="G111">
        <v>1</v>
      </c>
      <c r="H111" t="s">
        <v>589</v>
      </c>
      <c r="I111">
        <v>4</v>
      </c>
      <c r="J111" t="s">
        <v>162</v>
      </c>
      <c r="K111" t="s">
        <v>1348</v>
      </c>
    </row>
    <row r="112" spans="3:11" x14ac:dyDescent="0.25">
      <c r="C112">
        <v>1</v>
      </c>
      <c r="D112" t="s">
        <v>716</v>
      </c>
      <c r="E112">
        <v>4</v>
      </c>
      <c r="F112">
        <v>2</v>
      </c>
      <c r="G112">
        <v>1</v>
      </c>
      <c r="H112" t="s">
        <v>589</v>
      </c>
      <c r="I112">
        <v>4</v>
      </c>
      <c r="J112" t="s">
        <v>717</v>
      </c>
      <c r="K112" t="s">
        <v>1348</v>
      </c>
    </row>
    <row r="113" spans="3:11" x14ac:dyDescent="0.25">
      <c r="C113">
        <v>1</v>
      </c>
      <c r="D113" t="s">
        <v>718</v>
      </c>
      <c r="E113">
        <v>4</v>
      </c>
      <c r="F113">
        <v>6</v>
      </c>
      <c r="G113">
        <v>1</v>
      </c>
      <c r="H113" t="s">
        <v>589</v>
      </c>
      <c r="I113">
        <v>4</v>
      </c>
      <c r="J113" t="s">
        <v>719</v>
      </c>
      <c r="K113" t="s">
        <v>1348</v>
      </c>
    </row>
    <row r="114" spans="3:11" x14ac:dyDescent="0.25">
      <c r="C114">
        <v>1</v>
      </c>
      <c r="D114" t="s">
        <v>720</v>
      </c>
      <c r="E114">
        <v>4</v>
      </c>
      <c r="F114">
        <v>8</v>
      </c>
      <c r="G114">
        <v>1</v>
      </c>
      <c r="H114" t="s">
        <v>589</v>
      </c>
      <c r="I114">
        <v>4</v>
      </c>
      <c r="J114" t="s">
        <v>721</v>
      </c>
      <c r="K114" t="s">
        <v>1348</v>
      </c>
    </row>
    <row r="115" spans="3:11" x14ac:dyDescent="0.25">
      <c r="C115">
        <v>1</v>
      </c>
      <c r="D115" t="s">
        <v>722</v>
      </c>
      <c r="E115">
        <v>4</v>
      </c>
      <c r="F115">
        <v>15</v>
      </c>
      <c r="G115">
        <v>1</v>
      </c>
      <c r="H115" t="s">
        <v>589</v>
      </c>
      <c r="I115">
        <v>4</v>
      </c>
      <c r="J115" t="s">
        <v>723</v>
      </c>
      <c r="K115" t="s">
        <v>1348</v>
      </c>
    </row>
    <row r="116" spans="3:11" x14ac:dyDescent="0.25">
      <c r="C116">
        <v>1</v>
      </c>
      <c r="D116" t="s">
        <v>724</v>
      </c>
      <c r="E116">
        <v>4</v>
      </c>
      <c r="F116">
        <v>14</v>
      </c>
      <c r="G116">
        <v>1</v>
      </c>
      <c r="H116" t="s">
        <v>589</v>
      </c>
      <c r="I116">
        <v>4</v>
      </c>
      <c r="J116" t="s">
        <v>725</v>
      </c>
      <c r="K116" t="s">
        <v>1348</v>
      </c>
    </row>
    <row r="117" spans="3:11" x14ac:dyDescent="0.25">
      <c r="C117">
        <v>1</v>
      </c>
      <c r="D117" t="s">
        <v>726</v>
      </c>
      <c r="E117">
        <v>9</v>
      </c>
      <c r="F117">
        <v>2</v>
      </c>
      <c r="G117">
        <v>1</v>
      </c>
      <c r="H117" t="s">
        <v>589</v>
      </c>
      <c r="I117">
        <v>4</v>
      </c>
      <c r="J117" t="s">
        <v>727</v>
      </c>
      <c r="K117" t="s">
        <v>1348</v>
      </c>
    </row>
    <row r="118" spans="3:11" x14ac:dyDescent="0.25">
      <c r="C118">
        <v>1</v>
      </c>
      <c r="D118" t="s">
        <v>728</v>
      </c>
      <c r="E118">
        <v>2</v>
      </c>
      <c r="F118">
        <v>1</v>
      </c>
      <c r="G118">
        <v>1</v>
      </c>
      <c r="H118" t="s">
        <v>589</v>
      </c>
      <c r="I118">
        <v>4</v>
      </c>
      <c r="J118" t="s">
        <v>729</v>
      </c>
      <c r="K118" t="s">
        <v>1348</v>
      </c>
    </row>
    <row r="119" spans="3:11" x14ac:dyDescent="0.25">
      <c r="C119">
        <v>1</v>
      </c>
      <c r="D119" t="s">
        <v>531</v>
      </c>
      <c r="E119">
        <v>1</v>
      </c>
      <c r="F119">
        <v>1</v>
      </c>
      <c r="G119">
        <v>1</v>
      </c>
      <c r="H119" t="s">
        <v>447</v>
      </c>
      <c r="I119">
        <v>5</v>
      </c>
      <c r="J119" t="s">
        <v>532</v>
      </c>
      <c r="K119" t="s">
        <v>1348</v>
      </c>
    </row>
    <row r="120" spans="3:11" x14ac:dyDescent="0.25">
      <c r="C120">
        <v>1</v>
      </c>
      <c r="D120" t="s">
        <v>535</v>
      </c>
      <c r="E120">
        <v>1</v>
      </c>
      <c r="F120">
        <v>1</v>
      </c>
      <c r="G120">
        <v>1</v>
      </c>
      <c r="H120" t="s">
        <v>447</v>
      </c>
      <c r="I120">
        <v>5</v>
      </c>
      <c r="J120" t="s">
        <v>536</v>
      </c>
      <c r="K120" t="s">
        <v>1348</v>
      </c>
    </row>
    <row r="121" spans="3:11" x14ac:dyDescent="0.25">
      <c r="C121">
        <v>1</v>
      </c>
      <c r="D121" t="s">
        <v>708</v>
      </c>
      <c r="E121">
        <v>4</v>
      </c>
      <c r="F121">
        <v>1</v>
      </c>
      <c r="G121">
        <v>1</v>
      </c>
      <c r="H121" t="s">
        <v>589</v>
      </c>
      <c r="I121">
        <v>5</v>
      </c>
      <c r="J121" t="s">
        <v>709</v>
      </c>
      <c r="K121" t="s">
        <v>1348</v>
      </c>
    </row>
    <row r="122" spans="3:11" x14ac:dyDescent="0.25">
      <c r="C122">
        <v>1</v>
      </c>
      <c r="D122" t="s">
        <v>698</v>
      </c>
      <c r="E122">
        <v>8</v>
      </c>
      <c r="F122">
        <v>10</v>
      </c>
      <c r="G122">
        <v>1</v>
      </c>
      <c r="H122" t="s">
        <v>589</v>
      </c>
      <c r="I122">
        <v>5</v>
      </c>
      <c r="J122" t="s">
        <v>699</v>
      </c>
      <c r="K122" t="s">
        <v>1348</v>
      </c>
    </row>
    <row r="123" spans="3:11" x14ac:dyDescent="0.25">
      <c r="C123">
        <v>1</v>
      </c>
      <c r="D123" t="s">
        <v>533</v>
      </c>
      <c r="E123">
        <v>1</v>
      </c>
      <c r="F123">
        <v>1</v>
      </c>
      <c r="G123">
        <v>1</v>
      </c>
      <c r="H123" t="s">
        <v>447</v>
      </c>
      <c r="I123">
        <v>4</v>
      </c>
      <c r="J123" t="s">
        <v>534</v>
      </c>
      <c r="K123" t="s">
        <v>1348</v>
      </c>
    </row>
    <row r="124" spans="3:11" x14ac:dyDescent="0.25">
      <c r="C124">
        <v>1</v>
      </c>
      <c r="D124" t="s">
        <v>568</v>
      </c>
      <c r="E124">
        <v>1</v>
      </c>
      <c r="F124">
        <v>1</v>
      </c>
      <c r="G124">
        <v>1</v>
      </c>
      <c r="H124" t="s">
        <v>544</v>
      </c>
      <c r="I124">
        <v>4</v>
      </c>
      <c r="J124" t="s">
        <v>569</v>
      </c>
      <c r="K124" t="s">
        <v>1348</v>
      </c>
    </row>
    <row r="125" spans="3:11" x14ac:dyDescent="0.25">
      <c r="C125">
        <v>1</v>
      </c>
      <c r="D125" t="s">
        <v>570</v>
      </c>
      <c r="E125">
        <v>1</v>
      </c>
      <c r="F125">
        <v>1</v>
      </c>
      <c r="G125">
        <v>1</v>
      </c>
      <c r="H125" t="s">
        <v>544</v>
      </c>
      <c r="I125">
        <v>4</v>
      </c>
      <c r="J125" t="s">
        <v>571</v>
      </c>
      <c r="K125" t="s">
        <v>1348</v>
      </c>
    </row>
    <row r="126" spans="3:11" x14ac:dyDescent="0.25">
      <c r="C126">
        <v>1</v>
      </c>
      <c r="D126" t="s">
        <v>712</v>
      </c>
      <c r="E126">
        <v>4</v>
      </c>
      <c r="F126">
        <v>1</v>
      </c>
      <c r="G126">
        <v>1</v>
      </c>
      <c r="H126" t="s">
        <v>589</v>
      </c>
      <c r="I126">
        <v>4</v>
      </c>
      <c r="J126" t="s">
        <v>713</v>
      </c>
      <c r="K126" t="s">
        <v>1348</v>
      </c>
    </row>
    <row r="127" spans="3:11" x14ac:dyDescent="0.25">
      <c r="C127">
        <v>1</v>
      </c>
      <c r="D127" t="s">
        <v>163</v>
      </c>
      <c r="E127">
        <v>4</v>
      </c>
      <c r="F127">
        <v>6</v>
      </c>
      <c r="G127">
        <v>1</v>
      </c>
      <c r="H127" t="s">
        <v>589</v>
      </c>
      <c r="I127">
        <v>4</v>
      </c>
      <c r="J127" t="s">
        <v>164</v>
      </c>
      <c r="K127" t="s">
        <v>1348</v>
      </c>
    </row>
    <row r="128" spans="3:11" x14ac:dyDescent="0.25">
      <c r="C128">
        <v>1</v>
      </c>
      <c r="D128" t="s">
        <v>165</v>
      </c>
      <c r="E128">
        <v>4</v>
      </c>
      <c r="F128">
        <v>6</v>
      </c>
      <c r="G128">
        <v>1</v>
      </c>
      <c r="H128" t="s">
        <v>589</v>
      </c>
      <c r="I128">
        <v>4</v>
      </c>
      <c r="J128" t="s">
        <v>166</v>
      </c>
      <c r="K128" t="s">
        <v>1348</v>
      </c>
    </row>
    <row r="129" spans="3:11" x14ac:dyDescent="0.25">
      <c r="C129">
        <v>1</v>
      </c>
      <c r="D129" t="s">
        <v>167</v>
      </c>
      <c r="E129">
        <v>2</v>
      </c>
      <c r="F129">
        <v>1</v>
      </c>
      <c r="G129">
        <v>1</v>
      </c>
      <c r="H129" t="s">
        <v>447</v>
      </c>
      <c r="I129">
        <v>1</v>
      </c>
      <c r="J129" t="s">
        <v>168</v>
      </c>
      <c r="K129" t="s">
        <v>1348</v>
      </c>
    </row>
    <row r="130" spans="3:11" x14ac:dyDescent="0.25">
      <c r="C130">
        <v>1</v>
      </c>
      <c r="D130" t="s">
        <v>169</v>
      </c>
      <c r="E130">
        <v>1</v>
      </c>
      <c r="F130">
        <v>1</v>
      </c>
      <c r="G130">
        <v>1</v>
      </c>
      <c r="H130" t="s">
        <v>447</v>
      </c>
      <c r="I130">
        <v>1</v>
      </c>
      <c r="J130" t="s">
        <v>170</v>
      </c>
      <c r="K130" t="s">
        <v>1348</v>
      </c>
    </row>
    <row r="131" spans="3:11" x14ac:dyDescent="0.25">
      <c r="C131">
        <v>1</v>
      </c>
      <c r="D131" t="s">
        <v>171</v>
      </c>
      <c r="E131">
        <v>1</v>
      </c>
      <c r="F131">
        <v>1</v>
      </c>
      <c r="G131">
        <v>1</v>
      </c>
      <c r="H131" t="s">
        <v>447</v>
      </c>
      <c r="I131">
        <v>1</v>
      </c>
      <c r="J131" t="s">
        <v>172</v>
      </c>
      <c r="K131" t="s">
        <v>1348</v>
      </c>
    </row>
    <row r="132" spans="3:11" x14ac:dyDescent="0.25">
      <c r="C132">
        <v>1</v>
      </c>
      <c r="D132" t="s">
        <v>173</v>
      </c>
      <c r="E132">
        <v>1</v>
      </c>
      <c r="F132">
        <v>1</v>
      </c>
      <c r="G132">
        <v>1</v>
      </c>
      <c r="H132" t="s">
        <v>447</v>
      </c>
      <c r="I132">
        <v>1</v>
      </c>
      <c r="J132" t="s">
        <v>174</v>
      </c>
      <c r="K132" t="s">
        <v>1348</v>
      </c>
    </row>
    <row r="133" spans="3:11" x14ac:dyDescent="0.25">
      <c r="C133">
        <v>1</v>
      </c>
      <c r="D133" t="s">
        <v>175</v>
      </c>
      <c r="E133">
        <v>1</v>
      </c>
      <c r="F133">
        <v>1</v>
      </c>
      <c r="G133">
        <v>1</v>
      </c>
      <c r="H133" t="s">
        <v>447</v>
      </c>
      <c r="I133">
        <v>1</v>
      </c>
      <c r="J133" t="s">
        <v>176</v>
      </c>
      <c r="K133" t="s">
        <v>1348</v>
      </c>
    </row>
    <row r="134" spans="3:11" x14ac:dyDescent="0.25">
      <c r="C134">
        <v>1</v>
      </c>
      <c r="D134" t="s">
        <v>177</v>
      </c>
      <c r="E134">
        <v>1</v>
      </c>
      <c r="F134">
        <v>1</v>
      </c>
      <c r="G134">
        <v>1</v>
      </c>
      <c r="H134" t="s">
        <v>447</v>
      </c>
      <c r="I134">
        <v>1</v>
      </c>
      <c r="J134" t="s">
        <v>178</v>
      </c>
      <c r="K134" t="s">
        <v>1348</v>
      </c>
    </row>
    <row r="135" spans="3:11" x14ac:dyDescent="0.25">
      <c r="C135">
        <v>1</v>
      </c>
      <c r="D135" t="s">
        <v>179</v>
      </c>
      <c r="E135">
        <v>1</v>
      </c>
      <c r="F135">
        <v>1</v>
      </c>
      <c r="G135">
        <v>1</v>
      </c>
      <c r="H135" t="s">
        <v>544</v>
      </c>
      <c r="I135">
        <v>1</v>
      </c>
      <c r="J135" t="s">
        <v>180</v>
      </c>
      <c r="K135" t="s">
        <v>1348</v>
      </c>
    </row>
    <row r="136" spans="3:11" x14ac:dyDescent="0.25">
      <c r="C136">
        <v>1</v>
      </c>
      <c r="D136" t="s">
        <v>1230</v>
      </c>
      <c r="E136">
        <v>4</v>
      </c>
      <c r="F136">
        <v>1</v>
      </c>
      <c r="G136">
        <v>1</v>
      </c>
      <c r="H136" t="s">
        <v>447</v>
      </c>
      <c r="I136">
        <v>2</v>
      </c>
      <c r="J136" t="s">
        <v>181</v>
      </c>
      <c r="K136" t="s">
        <v>1348</v>
      </c>
    </row>
    <row r="137" spans="3:11" x14ac:dyDescent="0.25">
      <c r="C137">
        <v>1</v>
      </c>
      <c r="D137" t="s">
        <v>1231</v>
      </c>
      <c r="E137">
        <v>15</v>
      </c>
      <c r="F137">
        <v>1</v>
      </c>
      <c r="G137">
        <v>1</v>
      </c>
      <c r="H137" t="s">
        <v>447</v>
      </c>
      <c r="I137">
        <v>2</v>
      </c>
      <c r="J137" t="s">
        <v>182</v>
      </c>
      <c r="K137" t="s">
        <v>1348</v>
      </c>
    </row>
    <row r="138" spans="3:11" x14ac:dyDescent="0.25">
      <c r="C138">
        <v>1</v>
      </c>
      <c r="D138" t="s">
        <v>1232</v>
      </c>
      <c r="E138">
        <v>3</v>
      </c>
      <c r="F138">
        <v>1</v>
      </c>
      <c r="G138">
        <v>1</v>
      </c>
      <c r="H138" t="s">
        <v>447</v>
      </c>
      <c r="I138">
        <v>2</v>
      </c>
      <c r="J138" t="s">
        <v>183</v>
      </c>
      <c r="K138" t="s">
        <v>1348</v>
      </c>
    </row>
    <row r="139" spans="3:11" x14ac:dyDescent="0.25">
      <c r="C139">
        <v>1</v>
      </c>
      <c r="D139" t="s">
        <v>1233</v>
      </c>
      <c r="E139">
        <v>2</v>
      </c>
      <c r="F139">
        <v>15</v>
      </c>
      <c r="G139">
        <v>1</v>
      </c>
      <c r="H139" t="s">
        <v>447</v>
      </c>
      <c r="I139">
        <v>2</v>
      </c>
      <c r="J139" t="s">
        <v>184</v>
      </c>
      <c r="K139" t="s">
        <v>1348</v>
      </c>
    </row>
    <row r="140" spans="3:11" x14ac:dyDescent="0.25">
      <c r="C140">
        <v>1</v>
      </c>
      <c r="D140" t="s">
        <v>185</v>
      </c>
      <c r="E140">
        <v>40</v>
      </c>
      <c r="F140">
        <v>1</v>
      </c>
      <c r="G140">
        <v>1</v>
      </c>
      <c r="H140" t="s">
        <v>589</v>
      </c>
      <c r="I140">
        <v>2</v>
      </c>
      <c r="J140" t="s">
        <v>186</v>
      </c>
      <c r="K140" t="s">
        <v>1348</v>
      </c>
    </row>
    <row r="141" spans="3:11" x14ac:dyDescent="0.25">
      <c r="C141">
        <v>1</v>
      </c>
      <c r="D141" t="s">
        <v>187</v>
      </c>
      <c r="E141">
        <v>40</v>
      </c>
      <c r="F141">
        <v>1</v>
      </c>
      <c r="G141">
        <v>1</v>
      </c>
      <c r="H141" t="s">
        <v>589</v>
      </c>
      <c r="I141">
        <v>2</v>
      </c>
      <c r="J141" t="s">
        <v>188</v>
      </c>
      <c r="K141" t="s">
        <v>1348</v>
      </c>
    </row>
    <row r="142" spans="3:11" x14ac:dyDescent="0.25">
      <c r="C142">
        <v>1</v>
      </c>
      <c r="D142" t="s">
        <v>1218</v>
      </c>
      <c r="E142">
        <v>4</v>
      </c>
      <c r="F142">
        <v>1</v>
      </c>
      <c r="G142">
        <v>1</v>
      </c>
      <c r="H142" t="s">
        <v>447</v>
      </c>
      <c r="I142">
        <v>1</v>
      </c>
      <c r="J142" t="s">
        <v>189</v>
      </c>
      <c r="K142" t="s">
        <v>1348</v>
      </c>
    </row>
    <row r="143" spans="3:11" x14ac:dyDescent="0.25">
      <c r="C143">
        <v>1</v>
      </c>
      <c r="D143" t="s">
        <v>1219</v>
      </c>
      <c r="E143">
        <v>15</v>
      </c>
      <c r="F143">
        <v>1</v>
      </c>
      <c r="G143">
        <v>1</v>
      </c>
      <c r="H143" t="s">
        <v>447</v>
      </c>
      <c r="I143">
        <v>1</v>
      </c>
      <c r="J143" t="s">
        <v>190</v>
      </c>
      <c r="K143" t="s">
        <v>1348</v>
      </c>
    </row>
    <row r="144" spans="3:11" x14ac:dyDescent="0.25">
      <c r="C144">
        <v>1</v>
      </c>
      <c r="D144" t="s">
        <v>1220</v>
      </c>
      <c r="E144">
        <v>3</v>
      </c>
      <c r="F144">
        <v>1</v>
      </c>
      <c r="G144">
        <v>1</v>
      </c>
      <c r="H144" t="s">
        <v>447</v>
      </c>
      <c r="I144">
        <v>1</v>
      </c>
      <c r="J144" t="s">
        <v>191</v>
      </c>
      <c r="K144" t="s">
        <v>1348</v>
      </c>
    </row>
    <row r="145" spans="3:11" x14ac:dyDescent="0.25">
      <c r="C145">
        <v>1</v>
      </c>
      <c r="D145" t="s">
        <v>1221</v>
      </c>
      <c r="E145">
        <v>2</v>
      </c>
      <c r="F145">
        <v>15</v>
      </c>
      <c r="G145">
        <v>1</v>
      </c>
      <c r="H145" t="s">
        <v>447</v>
      </c>
      <c r="I145">
        <v>1</v>
      </c>
      <c r="J145" t="s">
        <v>192</v>
      </c>
      <c r="K145" t="s">
        <v>1348</v>
      </c>
    </row>
    <row r="146" spans="3:11" x14ac:dyDescent="0.25">
      <c r="C146">
        <v>1</v>
      </c>
      <c r="D146" t="s">
        <v>193</v>
      </c>
      <c r="E146">
        <v>40</v>
      </c>
      <c r="F146">
        <v>1</v>
      </c>
      <c r="G146">
        <v>1</v>
      </c>
      <c r="H146" t="s">
        <v>589</v>
      </c>
      <c r="I146">
        <v>1</v>
      </c>
      <c r="J146" t="s">
        <v>194</v>
      </c>
      <c r="K146" t="s">
        <v>1348</v>
      </c>
    </row>
    <row r="147" spans="3:11" x14ac:dyDescent="0.25">
      <c r="C147">
        <v>1</v>
      </c>
      <c r="D147" t="s">
        <v>195</v>
      </c>
      <c r="E147">
        <v>40</v>
      </c>
      <c r="F147">
        <v>1</v>
      </c>
      <c r="G147">
        <v>1</v>
      </c>
      <c r="H147" t="s">
        <v>589</v>
      </c>
      <c r="I147">
        <v>1</v>
      </c>
      <c r="J147" t="s">
        <v>196</v>
      </c>
      <c r="K147" t="s">
        <v>1348</v>
      </c>
    </row>
    <row r="148" spans="3:11" x14ac:dyDescent="0.25">
      <c r="C148">
        <v>1</v>
      </c>
      <c r="D148" t="s">
        <v>197</v>
      </c>
      <c r="E148">
        <v>2</v>
      </c>
      <c r="F148">
        <v>2</v>
      </c>
      <c r="G148">
        <v>1</v>
      </c>
      <c r="H148" t="s">
        <v>447</v>
      </c>
      <c r="I148">
        <v>2</v>
      </c>
      <c r="J148" t="s">
        <v>198</v>
      </c>
      <c r="K148" t="s">
        <v>1348</v>
      </c>
    </row>
    <row r="149" spans="3:11" x14ac:dyDescent="0.25">
      <c r="C149">
        <v>1</v>
      </c>
      <c r="D149" t="s">
        <v>199</v>
      </c>
      <c r="E149">
        <v>2</v>
      </c>
      <c r="F149">
        <v>2</v>
      </c>
      <c r="G149">
        <v>1</v>
      </c>
      <c r="H149" t="s">
        <v>447</v>
      </c>
      <c r="I149">
        <v>2</v>
      </c>
      <c r="J149" t="s">
        <v>200</v>
      </c>
      <c r="K149" t="s">
        <v>1348</v>
      </c>
    </row>
    <row r="150" spans="3:11" x14ac:dyDescent="0.25">
      <c r="C150">
        <v>1</v>
      </c>
      <c r="D150" t="s">
        <v>201</v>
      </c>
      <c r="E150">
        <v>2</v>
      </c>
      <c r="F150">
        <v>2</v>
      </c>
      <c r="G150">
        <v>1</v>
      </c>
      <c r="H150" t="s">
        <v>447</v>
      </c>
      <c r="I150">
        <v>2</v>
      </c>
      <c r="J150" t="s">
        <v>202</v>
      </c>
      <c r="K150" t="s">
        <v>1348</v>
      </c>
    </row>
    <row r="151" spans="3:11" x14ac:dyDescent="0.25">
      <c r="C151">
        <v>1</v>
      </c>
      <c r="D151" t="s">
        <v>203</v>
      </c>
      <c r="E151">
        <v>2</v>
      </c>
      <c r="F151">
        <v>2</v>
      </c>
      <c r="G151">
        <v>1</v>
      </c>
      <c r="H151" t="s">
        <v>447</v>
      </c>
      <c r="I151">
        <v>2</v>
      </c>
      <c r="J151" t="s">
        <v>204</v>
      </c>
      <c r="K151" t="s">
        <v>1348</v>
      </c>
    </row>
    <row r="152" spans="3:11" x14ac:dyDescent="0.25">
      <c r="C152">
        <v>1</v>
      </c>
      <c r="D152" t="s">
        <v>205</v>
      </c>
      <c r="E152">
        <v>2</v>
      </c>
      <c r="F152">
        <v>2</v>
      </c>
      <c r="G152">
        <v>1</v>
      </c>
      <c r="H152" t="s">
        <v>447</v>
      </c>
      <c r="I152">
        <v>2</v>
      </c>
      <c r="J152" t="s">
        <v>206</v>
      </c>
      <c r="K152" t="s">
        <v>1348</v>
      </c>
    </row>
    <row r="153" spans="3:11" x14ac:dyDescent="0.25">
      <c r="C153">
        <v>1</v>
      </c>
      <c r="D153" t="s">
        <v>207</v>
      </c>
      <c r="E153">
        <v>2</v>
      </c>
      <c r="F153">
        <v>2</v>
      </c>
      <c r="G153">
        <v>1</v>
      </c>
      <c r="H153" t="s">
        <v>447</v>
      </c>
      <c r="I153">
        <v>2</v>
      </c>
      <c r="J153" t="s">
        <v>208</v>
      </c>
      <c r="K153" t="s">
        <v>1348</v>
      </c>
    </row>
    <row r="154" spans="3:11" x14ac:dyDescent="0.25">
      <c r="C154">
        <v>1</v>
      </c>
      <c r="D154" t="s">
        <v>209</v>
      </c>
      <c r="E154">
        <v>40</v>
      </c>
      <c r="F154">
        <v>1</v>
      </c>
      <c r="G154">
        <v>1</v>
      </c>
      <c r="H154" t="s">
        <v>589</v>
      </c>
      <c r="I154">
        <v>2</v>
      </c>
      <c r="J154" t="s">
        <v>210</v>
      </c>
      <c r="K154" t="s">
        <v>1348</v>
      </c>
    </row>
    <row r="155" spans="3:11" x14ac:dyDescent="0.25">
      <c r="C155">
        <v>1</v>
      </c>
      <c r="D155" t="s">
        <v>211</v>
      </c>
      <c r="E155">
        <v>5</v>
      </c>
      <c r="F155">
        <v>1</v>
      </c>
      <c r="G155">
        <v>1</v>
      </c>
      <c r="H155" t="s">
        <v>589</v>
      </c>
      <c r="I155">
        <v>5</v>
      </c>
      <c r="J155" t="s">
        <v>212</v>
      </c>
      <c r="K155" t="s">
        <v>1348</v>
      </c>
    </row>
    <row r="156" spans="3:11" x14ac:dyDescent="0.25">
      <c r="C156">
        <v>1</v>
      </c>
      <c r="D156" t="s">
        <v>1217</v>
      </c>
      <c r="E156">
        <v>2</v>
      </c>
      <c r="F156">
        <v>28</v>
      </c>
      <c r="G156">
        <v>1</v>
      </c>
      <c r="H156" t="s">
        <v>447</v>
      </c>
      <c r="I156">
        <v>4</v>
      </c>
      <c r="J156" t="s">
        <v>213</v>
      </c>
      <c r="K156" t="s">
        <v>1348</v>
      </c>
    </row>
    <row r="157" spans="3:11" x14ac:dyDescent="0.25">
      <c r="C157">
        <v>1</v>
      </c>
      <c r="D157" t="s">
        <v>214</v>
      </c>
      <c r="E157">
        <v>2</v>
      </c>
      <c r="F157">
        <v>1</v>
      </c>
      <c r="G157">
        <v>1</v>
      </c>
      <c r="H157" t="s">
        <v>447</v>
      </c>
      <c r="I157">
        <v>4</v>
      </c>
      <c r="J157" t="s">
        <v>142</v>
      </c>
      <c r="K157" t="s">
        <v>1348</v>
      </c>
    </row>
    <row r="158" spans="3:11" x14ac:dyDescent="0.25">
      <c r="C158">
        <v>1</v>
      </c>
      <c r="D158" t="s">
        <v>215</v>
      </c>
      <c r="E158">
        <v>1</v>
      </c>
      <c r="F158">
        <v>1</v>
      </c>
      <c r="G158">
        <v>1</v>
      </c>
      <c r="H158" t="s">
        <v>447</v>
      </c>
      <c r="I158">
        <v>4</v>
      </c>
      <c r="J158" t="s">
        <v>145</v>
      </c>
      <c r="K158" t="s">
        <v>1348</v>
      </c>
    </row>
    <row r="159" spans="3:11" x14ac:dyDescent="0.25">
      <c r="C159">
        <v>1</v>
      </c>
      <c r="D159" t="s">
        <v>216</v>
      </c>
      <c r="E159">
        <v>1</v>
      </c>
      <c r="F159">
        <v>1</v>
      </c>
      <c r="G159">
        <v>1</v>
      </c>
      <c r="H159" t="s">
        <v>544</v>
      </c>
      <c r="I159">
        <v>4</v>
      </c>
      <c r="J159" t="s">
        <v>149</v>
      </c>
      <c r="K159" t="s">
        <v>1348</v>
      </c>
    </row>
    <row r="160" spans="3:11" x14ac:dyDescent="0.25">
      <c r="C160">
        <v>1</v>
      </c>
      <c r="D160" t="s">
        <v>217</v>
      </c>
      <c r="E160">
        <v>1</v>
      </c>
      <c r="F160">
        <v>1</v>
      </c>
      <c r="G160">
        <v>1</v>
      </c>
      <c r="H160" t="s">
        <v>544</v>
      </c>
      <c r="I160">
        <v>4</v>
      </c>
      <c r="J160" t="s">
        <v>152</v>
      </c>
      <c r="K160" t="s">
        <v>1348</v>
      </c>
    </row>
    <row r="161" spans="3:11" x14ac:dyDescent="0.25">
      <c r="C161">
        <v>1</v>
      </c>
      <c r="D161" t="s">
        <v>218</v>
      </c>
      <c r="E161">
        <v>2</v>
      </c>
      <c r="F161">
        <v>6</v>
      </c>
      <c r="G161">
        <v>1</v>
      </c>
      <c r="H161" t="s">
        <v>447</v>
      </c>
      <c r="I161">
        <v>1</v>
      </c>
      <c r="J161" t="s">
        <v>219</v>
      </c>
      <c r="K161" t="s">
        <v>1348</v>
      </c>
    </row>
    <row r="162" spans="3:11" x14ac:dyDescent="0.25">
      <c r="C162">
        <v>1</v>
      </c>
      <c r="D162" t="s">
        <v>220</v>
      </c>
      <c r="E162">
        <v>2</v>
      </c>
      <c r="F162">
        <v>2</v>
      </c>
      <c r="G162">
        <v>6</v>
      </c>
      <c r="H162" t="s">
        <v>447</v>
      </c>
      <c r="I162">
        <v>1</v>
      </c>
      <c r="J162" t="s">
        <v>222</v>
      </c>
      <c r="K162" t="s">
        <v>1348</v>
      </c>
    </row>
    <row r="163" spans="3:11" x14ac:dyDescent="0.25">
      <c r="C163">
        <v>1</v>
      </c>
      <c r="D163" t="s">
        <v>1212</v>
      </c>
      <c r="E163">
        <v>1</v>
      </c>
      <c r="F163">
        <v>16</v>
      </c>
      <c r="G163">
        <v>1</v>
      </c>
      <c r="H163" t="s">
        <v>544</v>
      </c>
      <c r="I163">
        <v>4</v>
      </c>
      <c r="J163" t="s">
        <v>223</v>
      </c>
      <c r="K163" t="s">
        <v>1348</v>
      </c>
    </row>
    <row r="164" spans="3:11" x14ac:dyDescent="0.25">
      <c r="C164">
        <v>1</v>
      </c>
      <c r="D164" t="s">
        <v>1213</v>
      </c>
      <c r="E164">
        <v>1</v>
      </c>
      <c r="F164">
        <v>1</v>
      </c>
      <c r="G164">
        <v>1</v>
      </c>
      <c r="H164" t="s">
        <v>544</v>
      </c>
      <c r="I164">
        <v>5</v>
      </c>
      <c r="J164" t="s">
        <v>713</v>
      </c>
      <c r="K164" t="s">
        <v>1348</v>
      </c>
    </row>
    <row r="165" spans="3:11" x14ac:dyDescent="0.25">
      <c r="C165">
        <v>1</v>
      </c>
      <c r="D165" t="s">
        <v>224</v>
      </c>
      <c r="E165">
        <v>49</v>
      </c>
      <c r="F165">
        <v>1</v>
      </c>
      <c r="G165">
        <v>1</v>
      </c>
      <c r="H165" t="s">
        <v>447</v>
      </c>
      <c r="I165">
        <v>8</v>
      </c>
      <c r="J165" t="s">
        <v>145</v>
      </c>
      <c r="K165" t="s">
        <v>1348</v>
      </c>
    </row>
    <row r="166" spans="3:11" x14ac:dyDescent="0.25">
      <c r="C166">
        <v>1</v>
      </c>
      <c r="D166" t="s">
        <v>225</v>
      </c>
      <c r="E166">
        <v>49</v>
      </c>
      <c r="F166">
        <v>1</v>
      </c>
      <c r="G166">
        <v>1</v>
      </c>
      <c r="H166" t="s">
        <v>447</v>
      </c>
      <c r="I166">
        <v>8</v>
      </c>
      <c r="J166" t="s">
        <v>145</v>
      </c>
      <c r="K166" t="s">
        <v>1348</v>
      </c>
    </row>
    <row r="167" spans="3:11" x14ac:dyDescent="0.25">
      <c r="C167">
        <v>1</v>
      </c>
      <c r="D167" t="s">
        <v>226</v>
      </c>
      <c r="E167">
        <v>49</v>
      </c>
      <c r="F167">
        <v>1</v>
      </c>
      <c r="G167">
        <v>1</v>
      </c>
      <c r="H167" t="s">
        <v>544</v>
      </c>
      <c r="I167">
        <v>8</v>
      </c>
      <c r="J167" t="s">
        <v>152</v>
      </c>
      <c r="K167" t="s">
        <v>1348</v>
      </c>
    </row>
    <row r="168" spans="3:11" x14ac:dyDescent="0.25">
      <c r="C168">
        <v>1</v>
      </c>
      <c r="D168" t="s">
        <v>227</v>
      </c>
      <c r="E168">
        <v>49</v>
      </c>
      <c r="F168">
        <v>1</v>
      </c>
      <c r="G168">
        <v>1</v>
      </c>
      <c r="H168" t="s">
        <v>544</v>
      </c>
      <c r="I168">
        <v>8</v>
      </c>
      <c r="J168" t="s">
        <v>152</v>
      </c>
      <c r="K168" t="s">
        <v>1348</v>
      </c>
    </row>
    <row r="169" spans="3:11" x14ac:dyDescent="0.25">
      <c r="C169">
        <v>1</v>
      </c>
      <c r="D169" t="s">
        <v>228</v>
      </c>
      <c r="E169">
        <v>2</v>
      </c>
      <c r="F169">
        <v>1</v>
      </c>
      <c r="G169">
        <v>1</v>
      </c>
      <c r="H169" t="s">
        <v>447</v>
      </c>
      <c r="I169">
        <v>3</v>
      </c>
      <c r="J169" t="s">
        <v>142</v>
      </c>
      <c r="K169" t="s">
        <v>1348</v>
      </c>
    </row>
    <row r="170" spans="3:11" x14ac:dyDescent="0.25">
      <c r="C170">
        <v>1</v>
      </c>
      <c r="D170" t="s">
        <v>229</v>
      </c>
      <c r="E170">
        <v>1</v>
      </c>
      <c r="F170">
        <v>1</v>
      </c>
      <c r="G170">
        <v>1</v>
      </c>
      <c r="H170" t="s">
        <v>544</v>
      </c>
      <c r="I170">
        <v>3</v>
      </c>
      <c r="J170" t="s">
        <v>149</v>
      </c>
      <c r="K170" t="s">
        <v>1348</v>
      </c>
    </row>
    <row r="171" spans="3:11" x14ac:dyDescent="0.25">
      <c r="C171">
        <v>1</v>
      </c>
      <c r="D171" t="s">
        <v>230</v>
      </c>
      <c r="E171">
        <v>1</v>
      </c>
      <c r="F171">
        <v>1</v>
      </c>
      <c r="G171">
        <v>1</v>
      </c>
      <c r="H171" t="s">
        <v>447</v>
      </c>
      <c r="I171">
        <v>7</v>
      </c>
      <c r="J171" t="s">
        <v>231</v>
      </c>
      <c r="K171" t="s">
        <v>1348</v>
      </c>
    </row>
    <row r="172" spans="3:11" x14ac:dyDescent="0.25">
      <c r="C172">
        <v>1</v>
      </c>
      <c r="D172" t="s">
        <v>232</v>
      </c>
      <c r="E172">
        <v>2</v>
      </c>
      <c r="F172">
        <v>1</v>
      </c>
      <c r="G172">
        <v>1</v>
      </c>
      <c r="H172" t="s">
        <v>447</v>
      </c>
      <c r="I172">
        <v>4</v>
      </c>
      <c r="J172" t="s">
        <v>142</v>
      </c>
      <c r="K172" t="s">
        <v>1348</v>
      </c>
    </row>
    <row r="173" spans="3:11" x14ac:dyDescent="0.25">
      <c r="C173">
        <v>1</v>
      </c>
      <c r="D173" t="s">
        <v>233</v>
      </c>
      <c r="E173">
        <v>1</v>
      </c>
      <c r="F173">
        <v>1</v>
      </c>
      <c r="G173">
        <v>1</v>
      </c>
      <c r="H173" t="s">
        <v>544</v>
      </c>
      <c r="I173">
        <v>4</v>
      </c>
      <c r="J173" t="s">
        <v>149</v>
      </c>
      <c r="K173" t="s">
        <v>1348</v>
      </c>
    </row>
    <row r="174" spans="3:11" x14ac:dyDescent="0.25">
      <c r="C174">
        <v>1</v>
      </c>
      <c r="D174" t="s">
        <v>234</v>
      </c>
      <c r="E174">
        <v>40</v>
      </c>
      <c r="F174">
        <v>1</v>
      </c>
      <c r="G174">
        <v>1</v>
      </c>
      <c r="H174" t="s">
        <v>589</v>
      </c>
      <c r="I174">
        <v>3</v>
      </c>
      <c r="J174" t="s">
        <v>235</v>
      </c>
      <c r="K174" t="s">
        <v>1348</v>
      </c>
    </row>
    <row r="175" spans="3:11" x14ac:dyDescent="0.25">
      <c r="C175">
        <v>1</v>
      </c>
      <c r="D175" t="s">
        <v>236</v>
      </c>
      <c r="E175">
        <v>40</v>
      </c>
      <c r="F175">
        <v>1</v>
      </c>
      <c r="G175">
        <v>1</v>
      </c>
      <c r="H175" t="s">
        <v>589</v>
      </c>
      <c r="I175">
        <v>3</v>
      </c>
      <c r="J175" t="s">
        <v>237</v>
      </c>
      <c r="K175" t="s">
        <v>1348</v>
      </c>
    </row>
    <row r="176" spans="3:11" x14ac:dyDescent="0.25">
      <c r="C176">
        <v>1</v>
      </c>
      <c r="D176" t="s">
        <v>238</v>
      </c>
      <c r="E176">
        <v>2</v>
      </c>
      <c r="F176">
        <v>1</v>
      </c>
      <c r="G176">
        <v>1</v>
      </c>
      <c r="H176" t="s">
        <v>447</v>
      </c>
      <c r="I176">
        <v>4</v>
      </c>
      <c r="J176" t="s">
        <v>142</v>
      </c>
      <c r="K176" t="s">
        <v>1348</v>
      </c>
    </row>
    <row r="177" spans="3:11" x14ac:dyDescent="0.25">
      <c r="C177">
        <v>1</v>
      </c>
      <c r="D177" t="s">
        <v>239</v>
      </c>
      <c r="E177">
        <v>1</v>
      </c>
      <c r="F177">
        <v>1</v>
      </c>
      <c r="G177">
        <v>1</v>
      </c>
      <c r="H177" t="s">
        <v>447</v>
      </c>
      <c r="I177">
        <v>4</v>
      </c>
      <c r="J177" t="s">
        <v>145</v>
      </c>
      <c r="K177" t="s">
        <v>1348</v>
      </c>
    </row>
    <row r="178" spans="3:11" x14ac:dyDescent="0.25">
      <c r="C178">
        <v>1</v>
      </c>
      <c r="D178" t="s">
        <v>240</v>
      </c>
      <c r="E178">
        <v>1</v>
      </c>
      <c r="F178">
        <v>1</v>
      </c>
      <c r="G178">
        <v>1</v>
      </c>
      <c r="H178" t="s">
        <v>544</v>
      </c>
      <c r="I178">
        <v>4</v>
      </c>
      <c r="J178" t="s">
        <v>149</v>
      </c>
      <c r="K178" t="s">
        <v>1348</v>
      </c>
    </row>
    <row r="179" spans="3:11" x14ac:dyDescent="0.25">
      <c r="C179">
        <v>1</v>
      </c>
      <c r="D179" t="s">
        <v>241</v>
      </c>
      <c r="E179">
        <v>1</v>
      </c>
      <c r="F179">
        <v>1</v>
      </c>
      <c r="G179">
        <v>1</v>
      </c>
      <c r="H179" t="s">
        <v>544</v>
      </c>
      <c r="I179">
        <v>4</v>
      </c>
      <c r="J179" t="s">
        <v>152</v>
      </c>
      <c r="K179" t="s">
        <v>1348</v>
      </c>
    </row>
    <row r="180" spans="3:11" x14ac:dyDescent="0.25">
      <c r="C180">
        <v>1</v>
      </c>
      <c r="D180" t="s">
        <v>242</v>
      </c>
      <c r="E180">
        <v>11</v>
      </c>
      <c r="F180">
        <v>2</v>
      </c>
      <c r="G180">
        <v>1</v>
      </c>
      <c r="H180" t="s">
        <v>447</v>
      </c>
      <c r="I180">
        <v>1</v>
      </c>
      <c r="J180" t="s">
        <v>243</v>
      </c>
      <c r="K180" t="s">
        <v>1348</v>
      </c>
    </row>
    <row r="181" spans="3:11" x14ac:dyDescent="0.25">
      <c r="C181">
        <v>1</v>
      </c>
      <c r="D181" t="s">
        <v>244</v>
      </c>
      <c r="E181">
        <v>11</v>
      </c>
      <c r="F181">
        <v>2</v>
      </c>
      <c r="G181">
        <v>1</v>
      </c>
      <c r="H181" t="s">
        <v>447</v>
      </c>
      <c r="I181">
        <v>1</v>
      </c>
      <c r="J181" t="s">
        <v>245</v>
      </c>
      <c r="K181" t="s">
        <v>1348</v>
      </c>
    </row>
    <row r="182" spans="3:11" x14ac:dyDescent="0.25">
      <c r="C182">
        <v>1</v>
      </c>
      <c r="D182" t="s">
        <v>246</v>
      </c>
      <c r="E182">
        <v>11</v>
      </c>
      <c r="F182">
        <v>2</v>
      </c>
      <c r="G182">
        <v>1</v>
      </c>
      <c r="H182" t="s">
        <v>447</v>
      </c>
      <c r="I182">
        <v>1</v>
      </c>
      <c r="J182" t="s">
        <v>247</v>
      </c>
      <c r="K182" t="s">
        <v>1348</v>
      </c>
    </row>
    <row r="183" spans="3:11" x14ac:dyDescent="0.25">
      <c r="C183">
        <v>1</v>
      </c>
      <c r="D183" t="s">
        <v>248</v>
      </c>
      <c r="E183">
        <v>11</v>
      </c>
      <c r="F183">
        <v>2</v>
      </c>
      <c r="G183">
        <v>1</v>
      </c>
      <c r="H183" t="s">
        <v>447</v>
      </c>
      <c r="I183">
        <v>1</v>
      </c>
      <c r="J183" t="s">
        <v>249</v>
      </c>
      <c r="K183" t="s">
        <v>1348</v>
      </c>
    </row>
    <row r="184" spans="3:11" x14ac:dyDescent="0.25">
      <c r="C184">
        <v>1</v>
      </c>
      <c r="D184" t="s">
        <v>250</v>
      </c>
      <c r="E184">
        <v>11</v>
      </c>
      <c r="F184">
        <v>2</v>
      </c>
      <c r="G184">
        <v>1</v>
      </c>
      <c r="H184" t="s">
        <v>447</v>
      </c>
      <c r="I184">
        <v>1</v>
      </c>
      <c r="J184" t="s">
        <v>251</v>
      </c>
      <c r="K184" t="s">
        <v>1348</v>
      </c>
    </row>
    <row r="185" spans="3:11" x14ac:dyDescent="0.25">
      <c r="C185">
        <v>1</v>
      </c>
      <c r="D185" t="s">
        <v>252</v>
      </c>
      <c r="E185">
        <v>11</v>
      </c>
      <c r="F185">
        <v>2</v>
      </c>
      <c r="G185">
        <v>1</v>
      </c>
      <c r="H185" t="s">
        <v>447</v>
      </c>
      <c r="I185">
        <v>1</v>
      </c>
      <c r="J185" t="s">
        <v>253</v>
      </c>
      <c r="K185" t="s">
        <v>1348</v>
      </c>
    </row>
    <row r="186" spans="3:11" x14ac:dyDescent="0.25">
      <c r="C186">
        <v>1</v>
      </c>
      <c r="D186" t="s">
        <v>254</v>
      </c>
      <c r="E186">
        <v>2</v>
      </c>
      <c r="F186">
        <v>1</v>
      </c>
      <c r="G186">
        <v>1</v>
      </c>
      <c r="H186" t="s">
        <v>447</v>
      </c>
      <c r="I186">
        <v>10</v>
      </c>
      <c r="J186" t="s">
        <v>142</v>
      </c>
      <c r="K186" t="s">
        <v>1348</v>
      </c>
    </row>
    <row r="187" spans="3:11" x14ac:dyDescent="0.25">
      <c r="C187">
        <v>1</v>
      </c>
      <c r="D187" t="s">
        <v>255</v>
      </c>
      <c r="E187">
        <v>1</v>
      </c>
      <c r="F187">
        <v>1</v>
      </c>
      <c r="G187">
        <v>1</v>
      </c>
      <c r="H187" t="s">
        <v>447</v>
      </c>
      <c r="I187">
        <v>10</v>
      </c>
      <c r="J187" t="s">
        <v>145</v>
      </c>
      <c r="K187" t="s">
        <v>1348</v>
      </c>
    </row>
    <row r="188" spans="3:11" x14ac:dyDescent="0.25">
      <c r="C188">
        <v>1</v>
      </c>
      <c r="D188" t="s">
        <v>256</v>
      </c>
      <c r="E188">
        <v>1</v>
      </c>
      <c r="F188">
        <v>1</v>
      </c>
      <c r="G188">
        <v>1</v>
      </c>
      <c r="H188" t="s">
        <v>544</v>
      </c>
      <c r="I188">
        <v>10</v>
      </c>
      <c r="J188" t="s">
        <v>149</v>
      </c>
      <c r="K188" t="s">
        <v>1348</v>
      </c>
    </row>
    <row r="189" spans="3:11" x14ac:dyDescent="0.25">
      <c r="C189">
        <v>1</v>
      </c>
      <c r="D189" t="s">
        <v>257</v>
      </c>
      <c r="E189">
        <v>1</v>
      </c>
      <c r="F189">
        <v>1</v>
      </c>
      <c r="G189">
        <v>1</v>
      </c>
      <c r="H189" t="s">
        <v>544</v>
      </c>
      <c r="I189">
        <v>10</v>
      </c>
      <c r="J189" t="s">
        <v>152</v>
      </c>
      <c r="K189" t="s">
        <v>1348</v>
      </c>
    </row>
    <row r="190" spans="3:11" x14ac:dyDescent="0.25">
      <c r="C190">
        <v>1</v>
      </c>
      <c r="D190" t="s">
        <v>258</v>
      </c>
      <c r="E190">
        <v>40</v>
      </c>
      <c r="F190">
        <v>1</v>
      </c>
      <c r="G190">
        <v>1</v>
      </c>
      <c r="H190" t="s">
        <v>589</v>
      </c>
      <c r="I190">
        <v>3</v>
      </c>
      <c r="J190" t="s">
        <v>259</v>
      </c>
      <c r="K190" t="s">
        <v>1348</v>
      </c>
    </row>
    <row r="191" spans="3:11" x14ac:dyDescent="0.25">
      <c r="C191">
        <v>1</v>
      </c>
      <c r="D191" t="s">
        <v>260</v>
      </c>
      <c r="E191">
        <v>40</v>
      </c>
      <c r="F191">
        <v>1</v>
      </c>
      <c r="G191">
        <v>1</v>
      </c>
      <c r="H191" t="s">
        <v>589</v>
      </c>
      <c r="I191">
        <v>3</v>
      </c>
      <c r="J191" t="s">
        <v>261</v>
      </c>
      <c r="K191" t="s">
        <v>1348</v>
      </c>
    </row>
    <row r="192" spans="3:11" x14ac:dyDescent="0.25">
      <c r="C192">
        <v>1</v>
      </c>
      <c r="D192" t="s">
        <v>262</v>
      </c>
      <c r="E192">
        <v>40</v>
      </c>
      <c r="F192">
        <v>1</v>
      </c>
      <c r="G192">
        <v>1</v>
      </c>
      <c r="H192" t="s">
        <v>589</v>
      </c>
      <c r="I192">
        <v>3</v>
      </c>
      <c r="J192" t="s">
        <v>263</v>
      </c>
      <c r="K192" t="s">
        <v>1348</v>
      </c>
    </row>
    <row r="193" spans="3:11" x14ac:dyDescent="0.25">
      <c r="C193">
        <v>1</v>
      </c>
      <c r="D193" t="s">
        <v>264</v>
      </c>
      <c r="E193">
        <v>40</v>
      </c>
      <c r="F193">
        <v>1</v>
      </c>
      <c r="G193">
        <v>1</v>
      </c>
      <c r="H193" t="s">
        <v>589</v>
      </c>
      <c r="I193">
        <v>3</v>
      </c>
      <c r="J193" t="s">
        <v>265</v>
      </c>
      <c r="K193" t="s">
        <v>1348</v>
      </c>
    </row>
    <row r="194" spans="3:11" x14ac:dyDescent="0.25">
      <c r="C194">
        <v>1</v>
      </c>
      <c r="D194" t="s">
        <v>1214</v>
      </c>
      <c r="E194">
        <v>5</v>
      </c>
      <c r="F194">
        <v>1</v>
      </c>
      <c r="G194">
        <v>1</v>
      </c>
      <c r="H194" t="s">
        <v>731</v>
      </c>
      <c r="I194">
        <v>4</v>
      </c>
      <c r="J194" t="s">
        <v>266</v>
      </c>
      <c r="K194" t="s">
        <v>1348</v>
      </c>
    </row>
    <row r="195" spans="3:11" x14ac:dyDescent="0.25">
      <c r="C195">
        <v>1</v>
      </c>
      <c r="D195" t="s">
        <v>1237</v>
      </c>
      <c r="E195">
        <v>2</v>
      </c>
      <c r="F195">
        <v>14</v>
      </c>
      <c r="G195">
        <v>1</v>
      </c>
      <c r="H195" t="s">
        <v>447</v>
      </c>
      <c r="I195">
        <v>2</v>
      </c>
      <c r="J195" t="s">
        <v>267</v>
      </c>
      <c r="K195" t="s">
        <v>1348</v>
      </c>
    </row>
    <row r="196" spans="3:11" x14ac:dyDescent="0.25">
      <c r="C196">
        <v>1</v>
      </c>
      <c r="D196" t="s">
        <v>268</v>
      </c>
      <c r="E196">
        <v>1</v>
      </c>
      <c r="F196">
        <v>1</v>
      </c>
      <c r="G196">
        <v>1</v>
      </c>
      <c r="H196" t="s">
        <v>544</v>
      </c>
      <c r="I196">
        <v>1</v>
      </c>
      <c r="J196" t="s">
        <v>269</v>
      </c>
      <c r="K196" t="s">
        <v>1348</v>
      </c>
    </row>
    <row r="197" spans="3:11" x14ac:dyDescent="0.25">
      <c r="C197">
        <v>1</v>
      </c>
      <c r="D197" t="s">
        <v>270</v>
      </c>
      <c r="E197">
        <v>3</v>
      </c>
      <c r="F197">
        <v>1</v>
      </c>
      <c r="G197">
        <v>1</v>
      </c>
      <c r="H197" t="s">
        <v>544</v>
      </c>
      <c r="I197">
        <v>1</v>
      </c>
      <c r="J197" t="s">
        <v>271</v>
      </c>
      <c r="K197" t="s">
        <v>1348</v>
      </c>
    </row>
    <row r="198" spans="3:11" x14ac:dyDescent="0.25">
      <c r="C198">
        <v>1</v>
      </c>
      <c r="D198" t="s">
        <v>272</v>
      </c>
      <c r="E198">
        <v>40</v>
      </c>
      <c r="F198">
        <v>1</v>
      </c>
      <c r="G198">
        <v>1</v>
      </c>
      <c r="H198" t="s">
        <v>589</v>
      </c>
      <c r="I198">
        <v>1</v>
      </c>
      <c r="J198" t="s">
        <v>273</v>
      </c>
      <c r="K198" t="s">
        <v>1348</v>
      </c>
    </row>
    <row r="199" spans="3:11" x14ac:dyDescent="0.25">
      <c r="C199">
        <v>1</v>
      </c>
      <c r="D199" t="s">
        <v>274</v>
      </c>
      <c r="E199">
        <v>2</v>
      </c>
      <c r="F199">
        <v>1</v>
      </c>
      <c r="G199">
        <v>1</v>
      </c>
      <c r="H199" t="s">
        <v>447</v>
      </c>
      <c r="I199">
        <v>17</v>
      </c>
      <c r="J199" t="s">
        <v>142</v>
      </c>
      <c r="K199" t="s">
        <v>1348</v>
      </c>
    </row>
    <row r="200" spans="3:11" x14ac:dyDescent="0.25">
      <c r="C200">
        <v>1</v>
      </c>
      <c r="D200" t="s">
        <v>275</v>
      </c>
      <c r="E200">
        <v>1</v>
      </c>
      <c r="F200">
        <v>1</v>
      </c>
      <c r="G200">
        <v>1</v>
      </c>
      <c r="H200" t="s">
        <v>447</v>
      </c>
      <c r="I200">
        <v>17</v>
      </c>
      <c r="J200" t="s">
        <v>145</v>
      </c>
      <c r="K200" t="s">
        <v>1348</v>
      </c>
    </row>
    <row r="201" spans="3:11" x14ac:dyDescent="0.25">
      <c r="C201">
        <v>1</v>
      </c>
      <c r="D201" t="s">
        <v>276</v>
      </c>
      <c r="E201">
        <v>1</v>
      </c>
      <c r="F201">
        <v>1</v>
      </c>
      <c r="G201">
        <v>1</v>
      </c>
      <c r="H201" t="s">
        <v>544</v>
      </c>
      <c r="I201">
        <v>17</v>
      </c>
      <c r="J201" t="s">
        <v>149</v>
      </c>
      <c r="K201" t="s">
        <v>1348</v>
      </c>
    </row>
    <row r="202" spans="3:11" x14ac:dyDescent="0.25">
      <c r="C202">
        <v>1</v>
      </c>
      <c r="D202" t="s">
        <v>277</v>
      </c>
      <c r="E202">
        <v>1</v>
      </c>
      <c r="F202">
        <v>1</v>
      </c>
      <c r="G202">
        <v>1</v>
      </c>
      <c r="H202" t="s">
        <v>544</v>
      </c>
      <c r="I202">
        <v>17</v>
      </c>
      <c r="J202" t="s">
        <v>152</v>
      </c>
      <c r="K202" t="s">
        <v>1348</v>
      </c>
    </row>
    <row r="203" spans="3:11" x14ac:dyDescent="0.25">
      <c r="C203">
        <v>1</v>
      </c>
      <c r="D203" t="s">
        <v>278</v>
      </c>
      <c r="E203">
        <v>1</v>
      </c>
      <c r="F203">
        <v>1</v>
      </c>
      <c r="G203">
        <v>1</v>
      </c>
      <c r="H203" t="s">
        <v>447</v>
      </c>
      <c r="I203">
        <v>12</v>
      </c>
      <c r="J203" t="s">
        <v>279</v>
      </c>
      <c r="K203" t="s">
        <v>1348</v>
      </c>
    </row>
    <row r="204" spans="3:11" x14ac:dyDescent="0.25">
      <c r="C204">
        <v>1</v>
      </c>
      <c r="D204" t="s">
        <v>280</v>
      </c>
      <c r="E204">
        <v>50</v>
      </c>
      <c r="F204">
        <v>1</v>
      </c>
      <c r="G204">
        <v>1</v>
      </c>
      <c r="H204" t="s">
        <v>589</v>
      </c>
      <c r="I204">
        <v>1</v>
      </c>
      <c r="J204" t="s">
        <v>281</v>
      </c>
      <c r="K204" t="s">
        <v>1348</v>
      </c>
    </row>
    <row r="205" spans="3:11" x14ac:dyDescent="0.25">
      <c r="C205">
        <v>1</v>
      </c>
      <c r="D205" t="s">
        <v>282</v>
      </c>
      <c r="E205">
        <v>2</v>
      </c>
      <c r="F205">
        <v>1</v>
      </c>
      <c r="G205">
        <v>1</v>
      </c>
      <c r="H205" t="s">
        <v>447</v>
      </c>
      <c r="I205">
        <v>1</v>
      </c>
      <c r="J205" t="s">
        <v>283</v>
      </c>
      <c r="K205" t="s">
        <v>1348</v>
      </c>
    </row>
    <row r="206" spans="3:11" x14ac:dyDescent="0.25">
      <c r="C206">
        <v>1</v>
      </c>
      <c r="D206" t="s">
        <v>284</v>
      </c>
      <c r="E206">
        <v>3</v>
      </c>
      <c r="F206">
        <v>1</v>
      </c>
      <c r="G206">
        <v>1</v>
      </c>
      <c r="H206" t="s">
        <v>544</v>
      </c>
      <c r="I206">
        <v>1</v>
      </c>
      <c r="J206" t="s">
        <v>271</v>
      </c>
      <c r="K206" t="s">
        <v>1348</v>
      </c>
    </row>
    <row r="207" spans="3:11" x14ac:dyDescent="0.25">
      <c r="C207">
        <v>1</v>
      </c>
      <c r="D207" t="s">
        <v>285</v>
      </c>
      <c r="E207">
        <v>3</v>
      </c>
      <c r="F207">
        <v>1</v>
      </c>
      <c r="G207">
        <v>1</v>
      </c>
      <c r="H207" t="s">
        <v>544</v>
      </c>
      <c r="I207">
        <v>1</v>
      </c>
      <c r="J207" t="s">
        <v>271</v>
      </c>
      <c r="K207" t="s">
        <v>1348</v>
      </c>
    </row>
    <row r="208" spans="3:11" x14ac:dyDescent="0.25">
      <c r="C208">
        <v>1</v>
      </c>
      <c r="D208" t="s">
        <v>286</v>
      </c>
      <c r="E208">
        <v>40</v>
      </c>
      <c r="F208">
        <v>1</v>
      </c>
      <c r="G208">
        <v>1</v>
      </c>
      <c r="H208" t="s">
        <v>589</v>
      </c>
      <c r="I208">
        <v>1</v>
      </c>
      <c r="J208" t="s">
        <v>273</v>
      </c>
      <c r="K208" t="s">
        <v>1348</v>
      </c>
    </row>
    <row r="209" spans="3:11" x14ac:dyDescent="0.25">
      <c r="C209">
        <v>1</v>
      </c>
      <c r="D209" t="s">
        <v>287</v>
      </c>
      <c r="E209">
        <v>40</v>
      </c>
      <c r="F209">
        <v>1</v>
      </c>
      <c r="G209">
        <v>1</v>
      </c>
      <c r="H209" t="s">
        <v>589</v>
      </c>
      <c r="I209">
        <v>1</v>
      </c>
      <c r="J209" t="s">
        <v>273</v>
      </c>
      <c r="K209" t="s">
        <v>1348</v>
      </c>
    </row>
    <row r="211" spans="3:11" x14ac:dyDescent="0.25">
      <c r="D211" t="s">
        <v>5</v>
      </c>
      <c r="E211" t="s">
        <v>6</v>
      </c>
      <c r="F211" t="s">
        <v>6</v>
      </c>
      <c r="G211" t="s">
        <v>7</v>
      </c>
      <c r="H211" t="s">
        <v>288</v>
      </c>
      <c r="I211" t="s">
        <v>289</v>
      </c>
      <c r="J211" t="s">
        <v>23</v>
      </c>
      <c r="K211" t="s">
        <v>447</v>
      </c>
    </row>
    <row r="212" spans="3:11" x14ac:dyDescent="0.25">
      <c r="C212">
        <v>2</v>
      </c>
      <c r="D212" t="s">
        <v>793</v>
      </c>
      <c r="E212">
        <v>2</v>
      </c>
      <c r="F212">
        <v>2</v>
      </c>
      <c r="G212">
        <v>1</v>
      </c>
      <c r="H212" t="s">
        <v>447</v>
      </c>
      <c r="I212">
        <v>2</v>
      </c>
      <c r="J212" t="s">
        <v>794</v>
      </c>
      <c r="K212" t="s">
        <v>1348</v>
      </c>
    </row>
    <row r="213" spans="3:11" x14ac:dyDescent="0.25">
      <c r="C213">
        <v>2</v>
      </c>
      <c r="D213" t="s">
        <v>795</v>
      </c>
      <c r="E213">
        <v>2</v>
      </c>
      <c r="F213">
        <v>2</v>
      </c>
      <c r="G213">
        <v>1</v>
      </c>
      <c r="H213" t="s">
        <v>447</v>
      </c>
      <c r="I213">
        <v>2</v>
      </c>
      <c r="J213" t="s">
        <v>796</v>
      </c>
      <c r="K213" t="s">
        <v>1348</v>
      </c>
    </row>
    <row r="214" spans="3:11" x14ac:dyDescent="0.25">
      <c r="C214">
        <v>2</v>
      </c>
      <c r="D214" t="s">
        <v>797</v>
      </c>
      <c r="E214">
        <v>2</v>
      </c>
      <c r="F214">
        <v>2</v>
      </c>
      <c r="G214">
        <v>1</v>
      </c>
      <c r="H214" t="s">
        <v>447</v>
      </c>
      <c r="I214">
        <v>2</v>
      </c>
      <c r="J214" t="s">
        <v>798</v>
      </c>
      <c r="K214" t="s">
        <v>1348</v>
      </c>
    </row>
    <row r="215" spans="3:11" x14ac:dyDescent="0.25">
      <c r="C215">
        <v>2</v>
      </c>
      <c r="D215" t="s">
        <v>799</v>
      </c>
      <c r="E215">
        <v>2</v>
      </c>
      <c r="F215">
        <v>2</v>
      </c>
      <c r="G215">
        <v>1</v>
      </c>
      <c r="H215" t="s">
        <v>447</v>
      </c>
      <c r="I215">
        <v>2</v>
      </c>
      <c r="J215" t="s">
        <v>800</v>
      </c>
      <c r="K215" t="s">
        <v>1348</v>
      </c>
    </row>
    <row r="216" spans="3:11" x14ac:dyDescent="0.25">
      <c r="C216">
        <v>2</v>
      </c>
      <c r="D216" t="s">
        <v>801</v>
      </c>
      <c r="E216">
        <v>2</v>
      </c>
      <c r="F216">
        <v>2</v>
      </c>
      <c r="G216">
        <v>2</v>
      </c>
      <c r="H216" t="s">
        <v>447</v>
      </c>
      <c r="I216">
        <v>2</v>
      </c>
      <c r="J216" t="s">
        <v>802</v>
      </c>
      <c r="K216" t="s">
        <v>1348</v>
      </c>
    </row>
    <row r="217" spans="3:11" x14ac:dyDescent="0.25">
      <c r="C217">
        <v>2</v>
      </c>
      <c r="D217" t="s">
        <v>886</v>
      </c>
      <c r="E217">
        <v>2</v>
      </c>
      <c r="F217">
        <v>2</v>
      </c>
      <c r="G217">
        <v>1</v>
      </c>
      <c r="H217" t="s">
        <v>447</v>
      </c>
      <c r="I217">
        <v>3</v>
      </c>
      <c r="J217" t="s">
        <v>887</v>
      </c>
      <c r="K217" t="s">
        <v>1348</v>
      </c>
    </row>
    <row r="218" spans="3:11" x14ac:dyDescent="0.25">
      <c r="C218">
        <v>2</v>
      </c>
      <c r="D218" t="s">
        <v>962</v>
      </c>
      <c r="E218">
        <v>2</v>
      </c>
      <c r="F218">
        <v>2</v>
      </c>
      <c r="G218">
        <v>1</v>
      </c>
      <c r="H218" t="s">
        <v>544</v>
      </c>
      <c r="I218">
        <v>3</v>
      </c>
      <c r="J218" t="s">
        <v>963</v>
      </c>
      <c r="K218" t="s">
        <v>1348</v>
      </c>
    </row>
    <row r="219" spans="3:11" x14ac:dyDescent="0.25">
      <c r="C219">
        <v>2</v>
      </c>
      <c r="D219" t="s">
        <v>968</v>
      </c>
      <c r="E219">
        <v>1</v>
      </c>
      <c r="F219">
        <v>1</v>
      </c>
      <c r="G219">
        <v>1</v>
      </c>
      <c r="H219" t="s">
        <v>544</v>
      </c>
      <c r="I219">
        <v>4</v>
      </c>
      <c r="J219" t="s">
        <v>969</v>
      </c>
      <c r="K219" t="s">
        <v>1348</v>
      </c>
    </row>
    <row r="220" spans="3:11" x14ac:dyDescent="0.25">
      <c r="C220">
        <v>2</v>
      </c>
      <c r="D220" t="s">
        <v>972</v>
      </c>
      <c r="E220">
        <v>1</v>
      </c>
      <c r="F220">
        <v>1</v>
      </c>
      <c r="G220">
        <v>1</v>
      </c>
      <c r="H220" t="s">
        <v>544</v>
      </c>
      <c r="I220">
        <v>4</v>
      </c>
      <c r="J220" t="s">
        <v>973</v>
      </c>
      <c r="K220" t="s">
        <v>1348</v>
      </c>
    </row>
    <row r="221" spans="3:11" x14ac:dyDescent="0.25">
      <c r="C221">
        <v>2</v>
      </c>
      <c r="D221" t="s">
        <v>803</v>
      </c>
      <c r="E221">
        <v>2</v>
      </c>
      <c r="F221">
        <v>2</v>
      </c>
      <c r="G221">
        <v>1</v>
      </c>
      <c r="H221" t="s">
        <v>447</v>
      </c>
      <c r="I221">
        <v>2</v>
      </c>
      <c r="J221" t="s">
        <v>804</v>
      </c>
      <c r="K221" t="s">
        <v>1348</v>
      </c>
    </row>
    <row r="222" spans="3:11" x14ac:dyDescent="0.25">
      <c r="C222">
        <v>2</v>
      </c>
      <c r="D222" t="s">
        <v>805</v>
      </c>
      <c r="E222">
        <v>2</v>
      </c>
      <c r="F222">
        <v>2</v>
      </c>
      <c r="G222">
        <v>1</v>
      </c>
      <c r="H222" t="s">
        <v>447</v>
      </c>
      <c r="I222">
        <v>2</v>
      </c>
      <c r="J222" t="s">
        <v>806</v>
      </c>
      <c r="K222" t="s">
        <v>1348</v>
      </c>
    </row>
    <row r="223" spans="3:11" x14ac:dyDescent="0.25">
      <c r="C223">
        <v>2</v>
      </c>
      <c r="D223" t="s">
        <v>807</v>
      </c>
      <c r="E223">
        <v>2</v>
      </c>
      <c r="F223">
        <v>2</v>
      </c>
      <c r="G223">
        <v>1</v>
      </c>
      <c r="H223" t="s">
        <v>447</v>
      </c>
      <c r="I223">
        <v>2</v>
      </c>
      <c r="J223" t="s">
        <v>808</v>
      </c>
      <c r="K223" t="s">
        <v>1348</v>
      </c>
    </row>
    <row r="224" spans="3:11" x14ac:dyDescent="0.25">
      <c r="C224">
        <v>2</v>
      </c>
      <c r="D224" t="s">
        <v>809</v>
      </c>
      <c r="E224">
        <v>2</v>
      </c>
      <c r="F224">
        <v>2</v>
      </c>
      <c r="G224">
        <v>1</v>
      </c>
      <c r="H224" t="s">
        <v>447</v>
      </c>
      <c r="I224">
        <v>2</v>
      </c>
      <c r="J224" t="s">
        <v>810</v>
      </c>
      <c r="K224" t="s">
        <v>1348</v>
      </c>
    </row>
    <row r="225" spans="3:11" x14ac:dyDescent="0.25">
      <c r="C225">
        <v>2</v>
      </c>
      <c r="D225" t="s">
        <v>290</v>
      </c>
      <c r="E225">
        <v>2</v>
      </c>
      <c r="F225">
        <v>1</v>
      </c>
      <c r="G225">
        <v>1</v>
      </c>
      <c r="H225" t="s">
        <v>447</v>
      </c>
      <c r="I225">
        <v>2</v>
      </c>
      <c r="J225" t="s">
        <v>291</v>
      </c>
      <c r="K225" t="s">
        <v>1348</v>
      </c>
    </row>
    <row r="226" spans="3:11" x14ac:dyDescent="0.25">
      <c r="C226">
        <v>2</v>
      </c>
      <c r="D226" t="s">
        <v>813</v>
      </c>
      <c r="E226">
        <v>2</v>
      </c>
      <c r="F226">
        <v>1</v>
      </c>
      <c r="G226">
        <v>1</v>
      </c>
      <c r="H226" t="s">
        <v>447</v>
      </c>
      <c r="I226">
        <v>2</v>
      </c>
      <c r="J226" t="s">
        <v>814</v>
      </c>
      <c r="K226" t="s">
        <v>1348</v>
      </c>
    </row>
    <row r="227" spans="3:11" x14ac:dyDescent="0.25">
      <c r="C227">
        <v>2</v>
      </c>
      <c r="D227" t="s">
        <v>815</v>
      </c>
      <c r="E227">
        <v>2</v>
      </c>
      <c r="F227">
        <v>1</v>
      </c>
      <c r="G227">
        <v>1</v>
      </c>
      <c r="H227" t="s">
        <v>447</v>
      </c>
      <c r="I227">
        <v>2</v>
      </c>
      <c r="J227" t="s">
        <v>816</v>
      </c>
      <c r="K227" t="s">
        <v>1348</v>
      </c>
    </row>
    <row r="228" spans="3:11" x14ac:dyDescent="0.25">
      <c r="C228">
        <v>2</v>
      </c>
      <c r="D228" t="s">
        <v>292</v>
      </c>
      <c r="E228">
        <v>2</v>
      </c>
      <c r="F228">
        <v>4</v>
      </c>
      <c r="G228">
        <v>6</v>
      </c>
      <c r="H228" t="s">
        <v>447</v>
      </c>
      <c r="I228">
        <v>2</v>
      </c>
      <c r="J228" t="s">
        <v>293</v>
      </c>
      <c r="K228" t="s">
        <v>1348</v>
      </c>
    </row>
    <row r="229" spans="3:11" x14ac:dyDescent="0.25">
      <c r="C229">
        <v>2</v>
      </c>
      <c r="D229" t="s">
        <v>294</v>
      </c>
      <c r="E229">
        <v>2</v>
      </c>
      <c r="F229">
        <v>1</v>
      </c>
      <c r="G229">
        <v>1</v>
      </c>
      <c r="H229" t="s">
        <v>447</v>
      </c>
      <c r="I229">
        <v>2</v>
      </c>
      <c r="J229" t="s">
        <v>295</v>
      </c>
      <c r="K229" t="s">
        <v>1348</v>
      </c>
    </row>
    <row r="230" spans="3:11" x14ac:dyDescent="0.25">
      <c r="C230">
        <v>2</v>
      </c>
      <c r="D230" t="s">
        <v>296</v>
      </c>
      <c r="E230">
        <v>2</v>
      </c>
      <c r="F230">
        <v>1</v>
      </c>
      <c r="G230">
        <v>1</v>
      </c>
      <c r="H230" t="s">
        <v>447</v>
      </c>
      <c r="I230">
        <v>2</v>
      </c>
      <c r="J230" t="s">
        <v>297</v>
      </c>
      <c r="K230" t="s">
        <v>1348</v>
      </c>
    </row>
    <row r="231" spans="3:11" x14ac:dyDescent="0.25">
      <c r="C231">
        <v>2</v>
      </c>
      <c r="D231" t="s">
        <v>298</v>
      </c>
      <c r="E231">
        <v>2</v>
      </c>
      <c r="F231">
        <v>1</v>
      </c>
      <c r="G231">
        <v>1</v>
      </c>
      <c r="H231" t="s">
        <v>447</v>
      </c>
      <c r="I231">
        <v>2</v>
      </c>
      <c r="J231" t="s">
        <v>299</v>
      </c>
      <c r="K231" t="s">
        <v>1348</v>
      </c>
    </row>
    <row r="232" spans="3:11" x14ac:dyDescent="0.25">
      <c r="C232">
        <v>2</v>
      </c>
      <c r="D232" t="s">
        <v>817</v>
      </c>
      <c r="E232">
        <v>2</v>
      </c>
      <c r="F232">
        <v>1</v>
      </c>
      <c r="G232">
        <v>1</v>
      </c>
      <c r="H232" t="s">
        <v>447</v>
      </c>
      <c r="I232">
        <v>2</v>
      </c>
      <c r="J232" t="s">
        <v>818</v>
      </c>
      <c r="K232" t="s">
        <v>1348</v>
      </c>
    </row>
    <row r="233" spans="3:11" x14ac:dyDescent="0.25">
      <c r="C233">
        <v>2</v>
      </c>
      <c r="D233" t="s">
        <v>819</v>
      </c>
      <c r="E233">
        <v>2</v>
      </c>
      <c r="F233">
        <v>2</v>
      </c>
      <c r="G233">
        <v>1</v>
      </c>
      <c r="H233" t="s">
        <v>447</v>
      </c>
      <c r="I233">
        <v>2</v>
      </c>
      <c r="J233" t="s">
        <v>820</v>
      </c>
      <c r="K233" t="s">
        <v>1348</v>
      </c>
    </row>
    <row r="234" spans="3:11" x14ac:dyDescent="0.25">
      <c r="C234">
        <v>2</v>
      </c>
      <c r="D234" t="s">
        <v>821</v>
      </c>
      <c r="E234">
        <v>2</v>
      </c>
      <c r="F234">
        <v>1</v>
      </c>
      <c r="G234">
        <v>1</v>
      </c>
      <c r="H234" t="s">
        <v>447</v>
      </c>
      <c r="I234">
        <v>2</v>
      </c>
      <c r="J234" t="s">
        <v>822</v>
      </c>
      <c r="K234" t="s">
        <v>1348</v>
      </c>
    </row>
    <row r="235" spans="3:11" x14ac:dyDescent="0.25">
      <c r="C235">
        <v>2</v>
      </c>
      <c r="D235" t="s">
        <v>1227</v>
      </c>
      <c r="E235">
        <v>2</v>
      </c>
      <c r="F235">
        <v>2</v>
      </c>
      <c r="G235">
        <v>1</v>
      </c>
      <c r="H235" t="s">
        <v>447</v>
      </c>
      <c r="I235">
        <v>2</v>
      </c>
      <c r="J235" t="s">
        <v>300</v>
      </c>
      <c r="K235" t="s">
        <v>1348</v>
      </c>
    </row>
    <row r="236" spans="3:11" x14ac:dyDescent="0.25">
      <c r="C236">
        <v>2</v>
      </c>
      <c r="D236" t="s">
        <v>823</v>
      </c>
      <c r="E236">
        <v>2</v>
      </c>
      <c r="F236">
        <v>2</v>
      </c>
      <c r="G236">
        <v>1</v>
      </c>
      <c r="H236" t="s">
        <v>447</v>
      </c>
      <c r="I236">
        <v>2</v>
      </c>
      <c r="J236" t="s">
        <v>824</v>
      </c>
      <c r="K236" t="s">
        <v>1348</v>
      </c>
    </row>
    <row r="237" spans="3:11" x14ac:dyDescent="0.25">
      <c r="C237">
        <v>2</v>
      </c>
      <c r="D237" t="s">
        <v>825</v>
      </c>
      <c r="E237">
        <v>2</v>
      </c>
      <c r="F237">
        <v>1</v>
      </c>
      <c r="G237">
        <v>1</v>
      </c>
      <c r="H237" t="s">
        <v>447</v>
      </c>
      <c r="I237">
        <v>2</v>
      </c>
      <c r="J237" t="s">
        <v>301</v>
      </c>
      <c r="K237" t="s">
        <v>1348</v>
      </c>
    </row>
    <row r="238" spans="3:11" x14ac:dyDescent="0.25">
      <c r="C238">
        <v>2</v>
      </c>
      <c r="D238" t="s">
        <v>302</v>
      </c>
      <c r="E238">
        <v>5</v>
      </c>
      <c r="F238">
        <v>2</v>
      </c>
      <c r="G238">
        <v>1</v>
      </c>
      <c r="H238" t="s">
        <v>447</v>
      </c>
      <c r="I238">
        <v>2</v>
      </c>
      <c r="J238" t="s">
        <v>303</v>
      </c>
      <c r="K238" t="s">
        <v>1348</v>
      </c>
    </row>
    <row r="239" spans="3:11" x14ac:dyDescent="0.25">
      <c r="C239">
        <v>2</v>
      </c>
      <c r="D239" t="s">
        <v>304</v>
      </c>
      <c r="E239">
        <v>2</v>
      </c>
      <c r="F239">
        <v>2</v>
      </c>
      <c r="G239">
        <v>1</v>
      </c>
      <c r="H239" t="s">
        <v>447</v>
      </c>
      <c r="I239">
        <v>2</v>
      </c>
      <c r="J239" t="s">
        <v>305</v>
      </c>
      <c r="K239" t="s">
        <v>1348</v>
      </c>
    </row>
    <row r="240" spans="3:11" x14ac:dyDescent="0.25">
      <c r="C240">
        <v>2</v>
      </c>
      <c r="D240" t="s">
        <v>306</v>
      </c>
      <c r="E240">
        <v>2</v>
      </c>
      <c r="F240">
        <v>1</v>
      </c>
      <c r="G240">
        <v>1</v>
      </c>
      <c r="H240" t="s">
        <v>447</v>
      </c>
      <c r="I240">
        <v>2</v>
      </c>
      <c r="J240" t="s">
        <v>307</v>
      </c>
      <c r="K240" t="s">
        <v>1348</v>
      </c>
    </row>
    <row r="241" spans="3:11" x14ac:dyDescent="0.25">
      <c r="C241">
        <v>2</v>
      </c>
      <c r="D241" t="s">
        <v>827</v>
      </c>
      <c r="E241">
        <v>2</v>
      </c>
      <c r="F241">
        <v>1</v>
      </c>
      <c r="G241">
        <v>1</v>
      </c>
      <c r="H241" t="s">
        <v>447</v>
      </c>
      <c r="I241">
        <v>2</v>
      </c>
      <c r="J241" t="s">
        <v>828</v>
      </c>
      <c r="K241" t="s">
        <v>1348</v>
      </c>
    </row>
    <row r="242" spans="3:11" x14ac:dyDescent="0.25">
      <c r="C242">
        <v>2</v>
      </c>
      <c r="D242" t="s">
        <v>829</v>
      </c>
      <c r="E242">
        <v>3</v>
      </c>
      <c r="F242">
        <v>2</v>
      </c>
      <c r="G242">
        <v>2</v>
      </c>
      <c r="H242" t="s">
        <v>447</v>
      </c>
      <c r="I242">
        <v>2</v>
      </c>
      <c r="J242" t="s">
        <v>830</v>
      </c>
      <c r="K242" t="s">
        <v>1348</v>
      </c>
    </row>
    <row r="243" spans="3:11" x14ac:dyDescent="0.25">
      <c r="C243">
        <v>2</v>
      </c>
      <c r="D243" t="s">
        <v>831</v>
      </c>
      <c r="E243">
        <v>2</v>
      </c>
      <c r="F243">
        <v>2</v>
      </c>
      <c r="G243">
        <v>1</v>
      </c>
      <c r="H243" t="s">
        <v>447</v>
      </c>
      <c r="I243">
        <v>2</v>
      </c>
      <c r="J243" t="s">
        <v>832</v>
      </c>
      <c r="K243" t="s">
        <v>1348</v>
      </c>
    </row>
    <row r="244" spans="3:11" x14ac:dyDescent="0.25">
      <c r="C244">
        <v>2</v>
      </c>
      <c r="D244" t="s">
        <v>833</v>
      </c>
      <c r="E244">
        <v>2</v>
      </c>
      <c r="F244">
        <v>2</v>
      </c>
      <c r="G244">
        <v>1</v>
      </c>
      <c r="H244" t="s">
        <v>447</v>
      </c>
      <c r="I244">
        <v>2</v>
      </c>
      <c r="J244" t="s">
        <v>834</v>
      </c>
      <c r="K244" t="s">
        <v>1348</v>
      </c>
    </row>
    <row r="245" spans="3:11" x14ac:dyDescent="0.25">
      <c r="C245">
        <v>2</v>
      </c>
      <c r="D245" t="s">
        <v>835</v>
      </c>
      <c r="E245">
        <v>2</v>
      </c>
      <c r="F245">
        <v>1</v>
      </c>
      <c r="G245">
        <v>1</v>
      </c>
      <c r="H245" t="s">
        <v>447</v>
      </c>
      <c r="I245">
        <v>2</v>
      </c>
      <c r="J245" t="s">
        <v>836</v>
      </c>
      <c r="K245" t="s">
        <v>1348</v>
      </c>
    </row>
    <row r="246" spans="3:11" x14ac:dyDescent="0.25">
      <c r="C246">
        <v>2</v>
      </c>
      <c r="D246" t="s">
        <v>837</v>
      </c>
      <c r="E246">
        <v>3</v>
      </c>
      <c r="F246">
        <v>2</v>
      </c>
      <c r="G246">
        <v>2</v>
      </c>
      <c r="H246" t="s">
        <v>447</v>
      </c>
      <c r="I246">
        <v>2</v>
      </c>
      <c r="J246" t="s">
        <v>838</v>
      </c>
      <c r="K246" t="s">
        <v>1348</v>
      </c>
    </row>
    <row r="247" spans="3:11" x14ac:dyDescent="0.25">
      <c r="C247">
        <v>2</v>
      </c>
      <c r="D247" t="s">
        <v>839</v>
      </c>
      <c r="E247">
        <v>2</v>
      </c>
      <c r="F247">
        <v>2</v>
      </c>
      <c r="G247">
        <v>1</v>
      </c>
      <c r="H247" t="s">
        <v>447</v>
      </c>
      <c r="I247">
        <v>2</v>
      </c>
      <c r="J247" t="s">
        <v>840</v>
      </c>
      <c r="K247" t="s">
        <v>1348</v>
      </c>
    </row>
    <row r="248" spans="3:11" x14ac:dyDescent="0.25">
      <c r="C248">
        <v>2</v>
      </c>
      <c r="D248" t="s">
        <v>841</v>
      </c>
      <c r="E248">
        <v>2</v>
      </c>
      <c r="F248">
        <v>2</v>
      </c>
      <c r="G248">
        <v>1</v>
      </c>
      <c r="H248" t="s">
        <v>447</v>
      </c>
      <c r="I248">
        <v>2</v>
      </c>
      <c r="J248" t="s">
        <v>842</v>
      </c>
      <c r="K248" t="s">
        <v>1348</v>
      </c>
    </row>
    <row r="249" spans="3:11" x14ac:dyDescent="0.25">
      <c r="C249">
        <v>2</v>
      </c>
      <c r="D249" t="s">
        <v>843</v>
      </c>
      <c r="E249">
        <v>1</v>
      </c>
      <c r="F249">
        <v>1</v>
      </c>
      <c r="G249">
        <v>1</v>
      </c>
      <c r="H249" t="s">
        <v>447</v>
      </c>
      <c r="I249">
        <v>2</v>
      </c>
      <c r="J249" t="s">
        <v>844</v>
      </c>
      <c r="K249" t="s">
        <v>1348</v>
      </c>
    </row>
    <row r="250" spans="3:11" x14ac:dyDescent="0.25">
      <c r="C250">
        <v>2</v>
      </c>
      <c r="D250" t="s">
        <v>845</v>
      </c>
      <c r="E250">
        <v>2</v>
      </c>
      <c r="F250">
        <v>2</v>
      </c>
      <c r="G250">
        <v>1</v>
      </c>
      <c r="H250" t="s">
        <v>447</v>
      </c>
      <c r="I250">
        <v>2</v>
      </c>
      <c r="J250" t="s">
        <v>846</v>
      </c>
      <c r="K250" t="s">
        <v>1348</v>
      </c>
    </row>
    <row r="251" spans="3:11" x14ac:dyDescent="0.25">
      <c r="C251">
        <v>2</v>
      </c>
      <c r="D251" t="s">
        <v>847</v>
      </c>
      <c r="E251">
        <v>2</v>
      </c>
      <c r="F251">
        <v>1</v>
      </c>
      <c r="G251">
        <v>1</v>
      </c>
      <c r="H251" t="s">
        <v>447</v>
      </c>
      <c r="I251">
        <v>2</v>
      </c>
      <c r="J251" t="s">
        <v>848</v>
      </c>
      <c r="K251" t="s">
        <v>1348</v>
      </c>
    </row>
    <row r="252" spans="3:11" x14ac:dyDescent="0.25">
      <c r="C252">
        <v>2</v>
      </c>
      <c r="D252" t="s">
        <v>849</v>
      </c>
      <c r="E252">
        <v>2</v>
      </c>
      <c r="F252">
        <v>1</v>
      </c>
      <c r="G252">
        <v>1</v>
      </c>
      <c r="H252" t="s">
        <v>447</v>
      </c>
      <c r="I252">
        <v>2</v>
      </c>
      <c r="J252" t="s">
        <v>850</v>
      </c>
      <c r="K252" t="s">
        <v>1348</v>
      </c>
    </row>
    <row r="253" spans="3:11" x14ac:dyDescent="0.25">
      <c r="C253">
        <v>2</v>
      </c>
      <c r="D253" t="s">
        <v>851</v>
      </c>
      <c r="E253">
        <v>2</v>
      </c>
      <c r="F253">
        <v>1</v>
      </c>
      <c r="G253">
        <v>1</v>
      </c>
      <c r="H253" t="s">
        <v>447</v>
      </c>
      <c r="I253">
        <v>2</v>
      </c>
      <c r="J253" t="s">
        <v>852</v>
      </c>
      <c r="K253" t="s">
        <v>1348</v>
      </c>
    </row>
    <row r="254" spans="3:11" x14ac:dyDescent="0.25">
      <c r="C254">
        <v>2</v>
      </c>
      <c r="D254" t="s">
        <v>853</v>
      </c>
      <c r="E254">
        <v>1</v>
      </c>
      <c r="F254">
        <v>1</v>
      </c>
      <c r="G254">
        <v>1</v>
      </c>
      <c r="H254" t="s">
        <v>447</v>
      </c>
      <c r="I254">
        <v>2</v>
      </c>
      <c r="J254" t="s">
        <v>854</v>
      </c>
      <c r="K254" t="s">
        <v>1348</v>
      </c>
    </row>
    <row r="255" spans="3:11" x14ac:dyDescent="0.25">
      <c r="C255">
        <v>2</v>
      </c>
      <c r="D255" t="s">
        <v>855</v>
      </c>
      <c r="E255">
        <v>3</v>
      </c>
      <c r="F255">
        <v>3</v>
      </c>
      <c r="G255">
        <v>1</v>
      </c>
      <c r="H255" t="s">
        <v>447</v>
      </c>
      <c r="I255">
        <v>2</v>
      </c>
      <c r="J255" t="s">
        <v>308</v>
      </c>
      <c r="K255" t="s">
        <v>1348</v>
      </c>
    </row>
    <row r="256" spans="3:11" x14ac:dyDescent="0.25">
      <c r="C256">
        <v>2</v>
      </c>
      <c r="D256" t="s">
        <v>857</v>
      </c>
      <c r="E256">
        <v>3</v>
      </c>
      <c r="F256">
        <v>2</v>
      </c>
      <c r="G256">
        <v>1</v>
      </c>
      <c r="H256" t="s">
        <v>447</v>
      </c>
      <c r="I256">
        <v>2</v>
      </c>
      <c r="J256" t="s">
        <v>309</v>
      </c>
      <c r="K256" t="s">
        <v>1348</v>
      </c>
    </row>
    <row r="257" spans="3:11" x14ac:dyDescent="0.25">
      <c r="C257">
        <v>2</v>
      </c>
      <c r="D257" t="s">
        <v>859</v>
      </c>
      <c r="E257">
        <v>3</v>
      </c>
      <c r="F257">
        <v>2</v>
      </c>
      <c r="G257">
        <v>1</v>
      </c>
      <c r="H257" t="s">
        <v>447</v>
      </c>
      <c r="I257">
        <v>2</v>
      </c>
      <c r="J257" t="s">
        <v>310</v>
      </c>
      <c r="K257" t="s">
        <v>1348</v>
      </c>
    </row>
    <row r="258" spans="3:11" x14ac:dyDescent="0.25">
      <c r="C258">
        <v>2</v>
      </c>
      <c r="D258" t="s">
        <v>861</v>
      </c>
      <c r="E258">
        <v>2</v>
      </c>
      <c r="F258">
        <v>1</v>
      </c>
      <c r="G258">
        <v>1</v>
      </c>
      <c r="H258" t="s">
        <v>447</v>
      </c>
      <c r="I258">
        <v>2</v>
      </c>
      <c r="J258" t="s">
        <v>862</v>
      </c>
      <c r="K258" t="s">
        <v>1348</v>
      </c>
    </row>
    <row r="259" spans="3:11" x14ac:dyDescent="0.25">
      <c r="C259">
        <v>2</v>
      </c>
      <c r="D259" t="s">
        <v>863</v>
      </c>
      <c r="E259">
        <v>1</v>
      </c>
      <c r="F259">
        <v>1</v>
      </c>
      <c r="G259">
        <v>1</v>
      </c>
      <c r="H259" t="s">
        <v>447</v>
      </c>
      <c r="I259">
        <v>2</v>
      </c>
      <c r="J259" t="s">
        <v>864</v>
      </c>
      <c r="K259" t="s">
        <v>1348</v>
      </c>
    </row>
    <row r="260" spans="3:11" x14ac:dyDescent="0.25">
      <c r="C260">
        <v>2</v>
      </c>
      <c r="D260" t="s">
        <v>865</v>
      </c>
      <c r="E260">
        <v>2</v>
      </c>
      <c r="F260">
        <v>1</v>
      </c>
      <c r="G260">
        <v>1</v>
      </c>
      <c r="H260" t="s">
        <v>447</v>
      </c>
      <c r="I260">
        <v>2</v>
      </c>
      <c r="J260" t="s">
        <v>866</v>
      </c>
      <c r="K260" t="s">
        <v>1348</v>
      </c>
    </row>
    <row r="261" spans="3:11" x14ac:dyDescent="0.25">
      <c r="C261">
        <v>2</v>
      </c>
      <c r="D261" t="s">
        <v>867</v>
      </c>
      <c r="E261">
        <v>2</v>
      </c>
      <c r="F261">
        <v>1</v>
      </c>
      <c r="G261">
        <v>1</v>
      </c>
      <c r="H261" t="s">
        <v>447</v>
      </c>
      <c r="I261">
        <v>2</v>
      </c>
      <c r="J261" t="s">
        <v>868</v>
      </c>
      <c r="K261" t="s">
        <v>1348</v>
      </c>
    </row>
    <row r="262" spans="3:11" x14ac:dyDescent="0.25">
      <c r="C262">
        <v>2</v>
      </c>
      <c r="D262" t="s">
        <v>869</v>
      </c>
      <c r="E262">
        <v>2</v>
      </c>
      <c r="F262">
        <v>1</v>
      </c>
      <c r="G262">
        <v>1</v>
      </c>
      <c r="H262" t="s">
        <v>447</v>
      </c>
      <c r="I262">
        <v>2</v>
      </c>
      <c r="J262" t="s">
        <v>868</v>
      </c>
      <c r="K262" t="s">
        <v>1348</v>
      </c>
    </row>
    <row r="263" spans="3:11" x14ac:dyDescent="0.25">
      <c r="C263">
        <v>2</v>
      </c>
      <c r="D263" t="s">
        <v>870</v>
      </c>
      <c r="E263">
        <v>2</v>
      </c>
      <c r="F263">
        <v>1</v>
      </c>
      <c r="G263">
        <v>1</v>
      </c>
      <c r="H263" t="s">
        <v>447</v>
      </c>
      <c r="I263">
        <v>2</v>
      </c>
      <c r="J263" t="s">
        <v>871</v>
      </c>
      <c r="K263" t="s">
        <v>1348</v>
      </c>
    </row>
    <row r="264" spans="3:11" x14ac:dyDescent="0.25">
      <c r="C264">
        <v>2</v>
      </c>
      <c r="D264" t="s">
        <v>872</v>
      </c>
      <c r="E264">
        <v>2</v>
      </c>
      <c r="F264">
        <v>1</v>
      </c>
      <c r="G264">
        <v>1</v>
      </c>
      <c r="H264" t="s">
        <v>447</v>
      </c>
      <c r="I264">
        <v>2</v>
      </c>
      <c r="J264" t="s">
        <v>873</v>
      </c>
      <c r="K264" t="s">
        <v>1348</v>
      </c>
    </row>
    <row r="265" spans="3:11" x14ac:dyDescent="0.25">
      <c r="C265">
        <v>2</v>
      </c>
      <c r="D265" t="s">
        <v>874</v>
      </c>
      <c r="E265">
        <v>2</v>
      </c>
      <c r="F265">
        <v>1</v>
      </c>
      <c r="G265">
        <v>1</v>
      </c>
      <c r="H265" t="s">
        <v>447</v>
      </c>
      <c r="I265">
        <v>2</v>
      </c>
      <c r="J265" t="s">
        <v>875</v>
      </c>
      <c r="K265" t="s">
        <v>1348</v>
      </c>
    </row>
    <row r="266" spans="3:11" x14ac:dyDescent="0.25">
      <c r="C266">
        <v>2</v>
      </c>
      <c r="D266" t="s">
        <v>876</v>
      </c>
      <c r="E266">
        <v>2</v>
      </c>
      <c r="F266">
        <v>1</v>
      </c>
      <c r="G266">
        <v>1</v>
      </c>
      <c r="H266" t="s">
        <v>447</v>
      </c>
      <c r="I266">
        <v>2</v>
      </c>
      <c r="J266" t="s">
        <v>877</v>
      </c>
      <c r="K266" t="s">
        <v>1348</v>
      </c>
    </row>
    <row r="267" spans="3:11" x14ac:dyDescent="0.25">
      <c r="C267">
        <v>2</v>
      </c>
      <c r="D267" t="s">
        <v>311</v>
      </c>
      <c r="E267">
        <v>1</v>
      </c>
      <c r="F267">
        <v>1</v>
      </c>
      <c r="G267">
        <v>1</v>
      </c>
      <c r="H267" t="s">
        <v>447</v>
      </c>
      <c r="I267">
        <v>2</v>
      </c>
      <c r="J267" t="s">
        <v>312</v>
      </c>
      <c r="K267" t="s">
        <v>1348</v>
      </c>
    </row>
    <row r="268" spans="3:11" x14ac:dyDescent="0.25">
      <c r="C268">
        <v>2</v>
      </c>
      <c r="D268" t="s">
        <v>313</v>
      </c>
      <c r="E268">
        <v>2</v>
      </c>
      <c r="F268">
        <v>1</v>
      </c>
      <c r="G268">
        <v>1</v>
      </c>
      <c r="H268" t="s">
        <v>447</v>
      </c>
      <c r="I268">
        <v>2</v>
      </c>
      <c r="J268" t="s">
        <v>314</v>
      </c>
      <c r="K268" t="s">
        <v>1348</v>
      </c>
    </row>
    <row r="269" spans="3:11" x14ac:dyDescent="0.25">
      <c r="C269">
        <v>2</v>
      </c>
      <c r="D269" t="s">
        <v>315</v>
      </c>
      <c r="E269">
        <v>3</v>
      </c>
      <c r="F269">
        <v>3</v>
      </c>
      <c r="G269">
        <v>3</v>
      </c>
      <c r="H269" t="s">
        <v>447</v>
      </c>
      <c r="I269">
        <v>2</v>
      </c>
      <c r="J269" t="s">
        <v>941</v>
      </c>
      <c r="K269" t="s">
        <v>1348</v>
      </c>
    </row>
    <row r="270" spans="3:11" x14ac:dyDescent="0.25">
      <c r="C270">
        <v>2</v>
      </c>
      <c r="D270" t="s">
        <v>316</v>
      </c>
      <c r="E270">
        <v>2</v>
      </c>
      <c r="F270">
        <v>2</v>
      </c>
      <c r="G270">
        <v>2</v>
      </c>
      <c r="H270" t="s">
        <v>447</v>
      </c>
      <c r="I270">
        <v>3</v>
      </c>
      <c r="J270" t="s">
        <v>317</v>
      </c>
      <c r="K270" t="s">
        <v>1348</v>
      </c>
    </row>
    <row r="271" spans="3:11" x14ac:dyDescent="0.25">
      <c r="C271">
        <v>2</v>
      </c>
      <c r="D271" t="s">
        <v>318</v>
      </c>
      <c r="E271">
        <v>2</v>
      </c>
      <c r="F271">
        <v>2</v>
      </c>
      <c r="G271">
        <v>2</v>
      </c>
      <c r="H271" t="s">
        <v>447</v>
      </c>
      <c r="I271">
        <v>3</v>
      </c>
      <c r="J271" t="s">
        <v>319</v>
      </c>
      <c r="K271" t="s">
        <v>1348</v>
      </c>
    </row>
    <row r="272" spans="3:11" x14ac:dyDescent="0.25">
      <c r="C272">
        <v>2</v>
      </c>
      <c r="D272" t="s">
        <v>320</v>
      </c>
      <c r="E272">
        <v>2</v>
      </c>
      <c r="F272">
        <v>2</v>
      </c>
      <c r="G272">
        <v>2</v>
      </c>
      <c r="H272" t="s">
        <v>447</v>
      </c>
      <c r="I272">
        <v>3</v>
      </c>
      <c r="J272" t="s">
        <v>321</v>
      </c>
      <c r="K272" t="s">
        <v>1348</v>
      </c>
    </row>
    <row r="273" spans="3:11" x14ac:dyDescent="0.25">
      <c r="C273">
        <v>2</v>
      </c>
      <c r="D273" t="s">
        <v>322</v>
      </c>
      <c r="E273">
        <v>2</v>
      </c>
      <c r="F273">
        <v>2</v>
      </c>
      <c r="G273">
        <v>2</v>
      </c>
      <c r="H273" t="s">
        <v>447</v>
      </c>
      <c r="I273">
        <v>3</v>
      </c>
      <c r="J273" t="s">
        <v>323</v>
      </c>
      <c r="K273" t="s">
        <v>1348</v>
      </c>
    </row>
    <row r="274" spans="3:11" x14ac:dyDescent="0.25">
      <c r="C274">
        <v>2</v>
      </c>
      <c r="D274" t="s">
        <v>324</v>
      </c>
      <c r="E274">
        <v>2</v>
      </c>
      <c r="F274">
        <v>2</v>
      </c>
      <c r="G274">
        <v>1</v>
      </c>
      <c r="H274" t="s">
        <v>447</v>
      </c>
      <c r="I274">
        <v>3</v>
      </c>
      <c r="J274" t="s">
        <v>325</v>
      </c>
      <c r="K274" t="s">
        <v>1348</v>
      </c>
    </row>
    <row r="275" spans="3:11" x14ac:dyDescent="0.25">
      <c r="C275">
        <v>2</v>
      </c>
      <c r="D275" t="s">
        <v>326</v>
      </c>
      <c r="E275">
        <v>2</v>
      </c>
      <c r="F275">
        <v>2</v>
      </c>
      <c r="G275">
        <v>2</v>
      </c>
      <c r="H275" t="s">
        <v>447</v>
      </c>
      <c r="I275">
        <v>3</v>
      </c>
      <c r="J275" t="s">
        <v>327</v>
      </c>
      <c r="K275" t="s">
        <v>1348</v>
      </c>
    </row>
    <row r="276" spans="3:11" x14ac:dyDescent="0.25">
      <c r="C276">
        <v>2</v>
      </c>
      <c r="D276" t="s">
        <v>328</v>
      </c>
      <c r="E276">
        <v>2</v>
      </c>
      <c r="F276">
        <v>2</v>
      </c>
      <c r="G276">
        <v>2</v>
      </c>
      <c r="H276" t="s">
        <v>447</v>
      </c>
      <c r="I276">
        <v>3</v>
      </c>
      <c r="J276" t="s">
        <v>329</v>
      </c>
      <c r="K276" t="s">
        <v>1348</v>
      </c>
    </row>
    <row r="277" spans="3:11" x14ac:dyDescent="0.25">
      <c r="C277">
        <v>2</v>
      </c>
      <c r="D277" t="s">
        <v>330</v>
      </c>
      <c r="E277">
        <v>4</v>
      </c>
      <c r="F277">
        <v>1</v>
      </c>
      <c r="G277">
        <v>1</v>
      </c>
      <c r="H277" t="s">
        <v>447</v>
      </c>
      <c r="I277">
        <v>3</v>
      </c>
      <c r="J277" t="s">
        <v>331</v>
      </c>
      <c r="K277" t="s">
        <v>1348</v>
      </c>
    </row>
    <row r="278" spans="3:11" x14ac:dyDescent="0.25">
      <c r="C278">
        <v>2</v>
      </c>
      <c r="D278" t="s">
        <v>982</v>
      </c>
      <c r="E278">
        <v>2</v>
      </c>
      <c r="F278">
        <v>1</v>
      </c>
      <c r="G278">
        <v>1</v>
      </c>
      <c r="H278" t="s">
        <v>589</v>
      </c>
      <c r="I278">
        <v>1</v>
      </c>
      <c r="J278" t="s">
        <v>332</v>
      </c>
      <c r="K278" t="s">
        <v>1348</v>
      </c>
    </row>
    <row r="279" spans="3:11" x14ac:dyDescent="0.25">
      <c r="C279">
        <v>2</v>
      </c>
      <c r="D279" t="s">
        <v>1371</v>
      </c>
      <c r="E279">
        <v>1</v>
      </c>
      <c r="F279">
        <v>1</v>
      </c>
      <c r="G279">
        <v>1</v>
      </c>
      <c r="H279" t="s">
        <v>447</v>
      </c>
      <c r="I279">
        <v>1</v>
      </c>
      <c r="J279" t="s">
        <v>333</v>
      </c>
      <c r="K279" t="s">
        <v>1348</v>
      </c>
    </row>
    <row r="280" spans="3:11" x14ac:dyDescent="0.25">
      <c r="C280">
        <v>2</v>
      </c>
      <c r="D280" t="s">
        <v>1415</v>
      </c>
      <c r="E280">
        <v>1</v>
      </c>
      <c r="F280">
        <v>1</v>
      </c>
      <c r="G280">
        <v>1</v>
      </c>
      <c r="H280" t="s">
        <v>544</v>
      </c>
      <c r="I280">
        <v>1</v>
      </c>
      <c r="J280" t="s">
        <v>334</v>
      </c>
      <c r="K280" t="s">
        <v>1348</v>
      </c>
    </row>
    <row r="281" spans="3:11" x14ac:dyDescent="0.25">
      <c r="C281">
        <v>2</v>
      </c>
      <c r="D281" t="s">
        <v>1417</v>
      </c>
      <c r="E281">
        <v>1</v>
      </c>
      <c r="F281">
        <v>1</v>
      </c>
      <c r="G281">
        <v>1</v>
      </c>
      <c r="H281" t="s">
        <v>544</v>
      </c>
      <c r="I281">
        <v>1</v>
      </c>
      <c r="J281" t="s">
        <v>335</v>
      </c>
      <c r="K281" t="s">
        <v>1348</v>
      </c>
    </row>
    <row r="282" spans="3:11" x14ac:dyDescent="0.25">
      <c r="C282">
        <v>2</v>
      </c>
      <c r="D282" t="s">
        <v>336</v>
      </c>
      <c r="E282">
        <v>2</v>
      </c>
      <c r="F282">
        <v>1</v>
      </c>
      <c r="G282">
        <v>1</v>
      </c>
      <c r="H282" t="s">
        <v>447</v>
      </c>
      <c r="I282">
        <v>1</v>
      </c>
      <c r="J282" t="s">
        <v>337</v>
      </c>
      <c r="K282" t="s">
        <v>1348</v>
      </c>
    </row>
    <row r="283" spans="3:11" x14ac:dyDescent="0.25">
      <c r="C283">
        <v>2</v>
      </c>
      <c r="D283" t="s">
        <v>338</v>
      </c>
      <c r="E283">
        <v>2</v>
      </c>
      <c r="F283">
        <v>1</v>
      </c>
      <c r="G283">
        <v>1</v>
      </c>
      <c r="H283" t="s">
        <v>447</v>
      </c>
      <c r="I283">
        <v>1</v>
      </c>
      <c r="J283" t="s">
        <v>339</v>
      </c>
      <c r="K283" t="s">
        <v>1348</v>
      </c>
    </row>
    <row r="284" spans="3:11" x14ac:dyDescent="0.25">
      <c r="C284">
        <v>2</v>
      </c>
      <c r="D284" t="s">
        <v>340</v>
      </c>
      <c r="E284">
        <v>2</v>
      </c>
      <c r="F284">
        <v>2</v>
      </c>
      <c r="G284">
        <v>1</v>
      </c>
      <c r="H284" t="s">
        <v>447</v>
      </c>
      <c r="I284">
        <v>2</v>
      </c>
      <c r="J284" t="s">
        <v>341</v>
      </c>
      <c r="K284" t="s">
        <v>1348</v>
      </c>
    </row>
    <row r="285" spans="3:11" x14ac:dyDescent="0.25">
      <c r="C285">
        <v>2</v>
      </c>
      <c r="D285" t="s">
        <v>342</v>
      </c>
      <c r="E285">
        <v>2</v>
      </c>
      <c r="F285">
        <v>2</v>
      </c>
      <c r="G285">
        <v>1</v>
      </c>
      <c r="H285" t="s">
        <v>447</v>
      </c>
      <c r="I285">
        <v>2</v>
      </c>
      <c r="J285" t="s">
        <v>343</v>
      </c>
      <c r="K285" t="s">
        <v>1348</v>
      </c>
    </row>
    <row r="286" spans="3:11" x14ac:dyDescent="0.25">
      <c r="C286">
        <v>2</v>
      </c>
      <c r="D286" t="s">
        <v>344</v>
      </c>
      <c r="E286">
        <v>2</v>
      </c>
      <c r="F286">
        <v>2</v>
      </c>
      <c r="G286">
        <v>1</v>
      </c>
      <c r="H286" t="s">
        <v>447</v>
      </c>
      <c r="I286">
        <v>2</v>
      </c>
      <c r="J286" t="s">
        <v>345</v>
      </c>
      <c r="K286" t="s">
        <v>1348</v>
      </c>
    </row>
    <row r="287" spans="3:11" x14ac:dyDescent="0.25">
      <c r="C287">
        <v>2</v>
      </c>
      <c r="D287" t="s">
        <v>346</v>
      </c>
      <c r="E287">
        <v>2</v>
      </c>
      <c r="F287">
        <v>1</v>
      </c>
      <c r="G287">
        <v>1</v>
      </c>
      <c r="H287" t="s">
        <v>447</v>
      </c>
      <c r="I287">
        <v>2</v>
      </c>
      <c r="J287" t="s">
        <v>347</v>
      </c>
      <c r="K287" t="s">
        <v>1348</v>
      </c>
    </row>
    <row r="288" spans="3:11" x14ac:dyDescent="0.25">
      <c r="C288">
        <v>2</v>
      </c>
      <c r="D288" t="s">
        <v>348</v>
      </c>
      <c r="E288">
        <v>3</v>
      </c>
      <c r="F288">
        <v>2</v>
      </c>
      <c r="G288">
        <v>2</v>
      </c>
      <c r="H288" t="s">
        <v>447</v>
      </c>
      <c r="I288">
        <v>2</v>
      </c>
      <c r="J288" t="s">
        <v>349</v>
      </c>
      <c r="K288" t="s">
        <v>1348</v>
      </c>
    </row>
    <row r="289" spans="3:11" x14ac:dyDescent="0.25">
      <c r="C289">
        <v>2</v>
      </c>
      <c r="D289" t="s">
        <v>350</v>
      </c>
      <c r="E289">
        <v>2</v>
      </c>
      <c r="F289">
        <v>1</v>
      </c>
      <c r="G289">
        <v>1</v>
      </c>
      <c r="H289" t="s">
        <v>447</v>
      </c>
      <c r="I289">
        <v>2</v>
      </c>
      <c r="J289" t="s">
        <v>351</v>
      </c>
      <c r="K289" t="s">
        <v>1348</v>
      </c>
    </row>
    <row r="290" spans="3:11" x14ac:dyDescent="0.25">
      <c r="C290">
        <v>2</v>
      </c>
      <c r="D290" t="s">
        <v>352</v>
      </c>
      <c r="E290">
        <v>2</v>
      </c>
      <c r="F290">
        <v>1</v>
      </c>
      <c r="G290">
        <v>1</v>
      </c>
      <c r="H290" t="s">
        <v>447</v>
      </c>
      <c r="I290">
        <v>2</v>
      </c>
      <c r="J290" t="s">
        <v>353</v>
      </c>
      <c r="K290" t="s">
        <v>1348</v>
      </c>
    </row>
    <row r="291" spans="3:11" x14ac:dyDescent="0.25">
      <c r="C291">
        <v>2</v>
      </c>
      <c r="D291" t="s">
        <v>354</v>
      </c>
      <c r="E291">
        <v>2</v>
      </c>
      <c r="F291">
        <v>1</v>
      </c>
      <c r="G291">
        <v>1</v>
      </c>
      <c r="H291" t="s">
        <v>447</v>
      </c>
      <c r="I291">
        <v>2</v>
      </c>
      <c r="J291" t="s">
        <v>355</v>
      </c>
      <c r="K291" t="s">
        <v>1348</v>
      </c>
    </row>
    <row r="292" spans="3:11" x14ac:dyDescent="0.25">
      <c r="C292">
        <v>2</v>
      </c>
      <c r="D292" t="s">
        <v>356</v>
      </c>
      <c r="E292">
        <v>2</v>
      </c>
      <c r="F292">
        <v>2</v>
      </c>
      <c r="G292">
        <v>2</v>
      </c>
      <c r="H292" t="s">
        <v>447</v>
      </c>
      <c r="I292">
        <v>2</v>
      </c>
      <c r="J292" t="s">
        <v>357</v>
      </c>
      <c r="K292" t="s">
        <v>1348</v>
      </c>
    </row>
    <row r="293" spans="3:11" x14ac:dyDescent="0.25">
      <c r="C293">
        <v>2</v>
      </c>
      <c r="D293" t="s">
        <v>358</v>
      </c>
      <c r="E293">
        <v>2</v>
      </c>
      <c r="F293">
        <v>2</v>
      </c>
      <c r="G293">
        <v>2</v>
      </c>
      <c r="H293" t="s">
        <v>447</v>
      </c>
      <c r="I293">
        <v>2</v>
      </c>
      <c r="J293" t="s">
        <v>359</v>
      </c>
      <c r="K293" t="s">
        <v>1348</v>
      </c>
    </row>
    <row r="294" spans="3:11" x14ac:dyDescent="0.25">
      <c r="C294">
        <v>2</v>
      </c>
      <c r="D294" t="s">
        <v>360</v>
      </c>
      <c r="E294">
        <v>2</v>
      </c>
      <c r="F294">
        <v>2</v>
      </c>
      <c r="G294">
        <v>2</v>
      </c>
      <c r="H294" t="s">
        <v>447</v>
      </c>
      <c r="I294">
        <v>2</v>
      </c>
      <c r="J294" t="s">
        <v>361</v>
      </c>
      <c r="K294" t="s">
        <v>1348</v>
      </c>
    </row>
    <row r="295" spans="3:11" x14ac:dyDescent="0.25">
      <c r="C295">
        <v>2</v>
      </c>
      <c r="D295" t="s">
        <v>362</v>
      </c>
      <c r="E295">
        <v>2</v>
      </c>
      <c r="F295">
        <v>2</v>
      </c>
      <c r="G295">
        <v>2</v>
      </c>
      <c r="H295" t="s">
        <v>447</v>
      </c>
      <c r="I295">
        <v>2</v>
      </c>
      <c r="J295" t="s">
        <v>363</v>
      </c>
      <c r="K295" t="s">
        <v>1348</v>
      </c>
    </row>
    <row r="296" spans="3:11" x14ac:dyDescent="0.25">
      <c r="C296">
        <v>2</v>
      </c>
      <c r="D296" t="s">
        <v>364</v>
      </c>
      <c r="E296">
        <v>2</v>
      </c>
      <c r="F296">
        <v>2</v>
      </c>
      <c r="G296">
        <v>2</v>
      </c>
      <c r="H296" t="s">
        <v>447</v>
      </c>
      <c r="I296">
        <v>2</v>
      </c>
      <c r="J296" t="s">
        <v>365</v>
      </c>
      <c r="K296" t="s">
        <v>1348</v>
      </c>
    </row>
    <row r="297" spans="3:11" x14ac:dyDescent="0.25">
      <c r="C297">
        <v>2</v>
      </c>
      <c r="D297" t="s">
        <v>366</v>
      </c>
      <c r="E297">
        <v>2</v>
      </c>
      <c r="F297">
        <v>2</v>
      </c>
      <c r="G297">
        <v>2</v>
      </c>
      <c r="H297" t="s">
        <v>447</v>
      </c>
      <c r="I297">
        <v>2</v>
      </c>
      <c r="J297" t="s">
        <v>367</v>
      </c>
      <c r="K297" t="s">
        <v>1348</v>
      </c>
    </row>
    <row r="298" spans="3:11" x14ac:dyDescent="0.25">
      <c r="C298">
        <v>2</v>
      </c>
      <c r="D298" t="s">
        <v>368</v>
      </c>
      <c r="E298">
        <v>2</v>
      </c>
      <c r="F298">
        <v>1</v>
      </c>
      <c r="G298">
        <v>1</v>
      </c>
      <c r="H298" t="s">
        <v>447</v>
      </c>
      <c r="I298">
        <v>2</v>
      </c>
      <c r="J298" t="s">
        <v>369</v>
      </c>
      <c r="K298" t="s">
        <v>1348</v>
      </c>
    </row>
    <row r="299" spans="3:11" x14ac:dyDescent="0.25">
      <c r="C299">
        <v>2</v>
      </c>
      <c r="D299" t="s">
        <v>370</v>
      </c>
      <c r="E299">
        <v>1</v>
      </c>
      <c r="F299">
        <v>1</v>
      </c>
      <c r="G299">
        <v>1</v>
      </c>
      <c r="H299" t="s">
        <v>447</v>
      </c>
      <c r="I299">
        <v>2</v>
      </c>
      <c r="J299" t="s">
        <v>371</v>
      </c>
      <c r="K299" t="s">
        <v>1348</v>
      </c>
    </row>
    <row r="300" spans="3:11" x14ac:dyDescent="0.25">
      <c r="C300">
        <v>2</v>
      </c>
      <c r="D300" t="s">
        <v>372</v>
      </c>
      <c r="E300">
        <v>1</v>
      </c>
      <c r="F300">
        <v>1</v>
      </c>
      <c r="G300">
        <v>1</v>
      </c>
      <c r="H300" t="s">
        <v>447</v>
      </c>
      <c r="I300">
        <v>2</v>
      </c>
      <c r="J300" t="s">
        <v>373</v>
      </c>
      <c r="K300" t="s">
        <v>1348</v>
      </c>
    </row>
    <row r="301" spans="3:11" x14ac:dyDescent="0.25">
      <c r="C301">
        <v>2</v>
      </c>
      <c r="D301" t="s">
        <v>374</v>
      </c>
      <c r="E301">
        <v>2</v>
      </c>
      <c r="F301">
        <v>1</v>
      </c>
      <c r="G301">
        <v>1</v>
      </c>
      <c r="H301" t="s">
        <v>447</v>
      </c>
      <c r="I301">
        <v>2</v>
      </c>
      <c r="J301" t="s">
        <v>375</v>
      </c>
      <c r="K301" t="s">
        <v>1348</v>
      </c>
    </row>
    <row r="302" spans="3:11" x14ac:dyDescent="0.25">
      <c r="C302">
        <v>2</v>
      </c>
      <c r="D302" t="s">
        <v>1222</v>
      </c>
      <c r="E302">
        <v>2</v>
      </c>
      <c r="F302">
        <v>1</v>
      </c>
      <c r="G302">
        <v>1</v>
      </c>
      <c r="H302" t="s">
        <v>447</v>
      </c>
      <c r="I302">
        <v>2</v>
      </c>
      <c r="J302" t="s">
        <v>376</v>
      </c>
      <c r="K302" t="s">
        <v>1348</v>
      </c>
    </row>
    <row r="303" spans="3:11" x14ac:dyDescent="0.25">
      <c r="C303">
        <v>2</v>
      </c>
      <c r="D303" t="s">
        <v>1223</v>
      </c>
      <c r="E303">
        <v>1</v>
      </c>
      <c r="F303">
        <v>1</v>
      </c>
      <c r="G303">
        <v>1</v>
      </c>
      <c r="H303" t="s">
        <v>447</v>
      </c>
      <c r="I303">
        <v>2</v>
      </c>
      <c r="J303" t="s">
        <v>377</v>
      </c>
      <c r="K303" t="s">
        <v>1348</v>
      </c>
    </row>
    <row r="304" spans="3:11" x14ac:dyDescent="0.25">
      <c r="C304">
        <v>2</v>
      </c>
      <c r="D304" t="s">
        <v>378</v>
      </c>
      <c r="E304">
        <v>1</v>
      </c>
      <c r="F304">
        <v>1</v>
      </c>
      <c r="G304">
        <v>1</v>
      </c>
      <c r="H304" t="s">
        <v>447</v>
      </c>
      <c r="I304">
        <v>2</v>
      </c>
      <c r="J304" t="s">
        <v>379</v>
      </c>
      <c r="K304" t="s">
        <v>1348</v>
      </c>
    </row>
    <row r="305" spans="3:11" x14ac:dyDescent="0.25">
      <c r="C305">
        <v>2</v>
      </c>
      <c r="D305" t="s">
        <v>380</v>
      </c>
      <c r="E305">
        <v>2</v>
      </c>
      <c r="F305">
        <v>1</v>
      </c>
      <c r="G305">
        <v>1</v>
      </c>
      <c r="H305" t="s">
        <v>447</v>
      </c>
      <c r="I305">
        <v>2</v>
      </c>
      <c r="J305" t="s">
        <v>381</v>
      </c>
      <c r="K305" t="s">
        <v>1348</v>
      </c>
    </row>
    <row r="306" spans="3:11" x14ac:dyDescent="0.25">
      <c r="C306">
        <v>2</v>
      </c>
      <c r="D306" t="s">
        <v>382</v>
      </c>
      <c r="E306">
        <v>2</v>
      </c>
      <c r="F306">
        <v>1</v>
      </c>
      <c r="G306">
        <v>1</v>
      </c>
      <c r="H306" t="s">
        <v>447</v>
      </c>
      <c r="I306">
        <v>2</v>
      </c>
      <c r="J306" t="s">
        <v>383</v>
      </c>
      <c r="K306" t="s">
        <v>1348</v>
      </c>
    </row>
    <row r="307" spans="3:11" x14ac:dyDescent="0.25">
      <c r="C307">
        <v>2</v>
      </c>
      <c r="D307" t="s">
        <v>384</v>
      </c>
      <c r="E307">
        <v>2</v>
      </c>
      <c r="F307">
        <v>1</v>
      </c>
      <c r="G307">
        <v>1</v>
      </c>
      <c r="H307" t="s">
        <v>447</v>
      </c>
      <c r="I307">
        <v>2</v>
      </c>
      <c r="J307" t="s">
        <v>385</v>
      </c>
      <c r="K307" t="s">
        <v>1348</v>
      </c>
    </row>
    <row r="308" spans="3:11" x14ac:dyDescent="0.25">
      <c r="C308">
        <v>2</v>
      </c>
      <c r="D308" t="s">
        <v>386</v>
      </c>
      <c r="E308">
        <v>2</v>
      </c>
      <c r="F308">
        <v>1</v>
      </c>
      <c r="G308">
        <v>1</v>
      </c>
      <c r="H308" t="s">
        <v>447</v>
      </c>
      <c r="I308">
        <v>2</v>
      </c>
      <c r="J308" t="s">
        <v>387</v>
      </c>
      <c r="K308" t="s">
        <v>1348</v>
      </c>
    </row>
    <row r="309" spans="3:11" x14ac:dyDescent="0.25">
      <c r="C309">
        <v>2</v>
      </c>
      <c r="D309" t="s">
        <v>388</v>
      </c>
      <c r="E309">
        <v>2</v>
      </c>
      <c r="F309">
        <v>2</v>
      </c>
      <c r="G309">
        <v>2</v>
      </c>
      <c r="H309" t="s">
        <v>447</v>
      </c>
      <c r="I309">
        <v>5</v>
      </c>
      <c r="J309" t="s">
        <v>389</v>
      </c>
      <c r="K309" t="s">
        <v>1348</v>
      </c>
    </row>
    <row r="310" spans="3:11" x14ac:dyDescent="0.25">
      <c r="C310">
        <v>2</v>
      </c>
      <c r="D310" t="s">
        <v>390</v>
      </c>
      <c r="E310">
        <v>2</v>
      </c>
      <c r="F310">
        <v>1</v>
      </c>
      <c r="G310">
        <v>1</v>
      </c>
      <c r="H310" t="s">
        <v>447</v>
      </c>
      <c r="I310">
        <v>3</v>
      </c>
      <c r="J310" t="s">
        <v>391</v>
      </c>
      <c r="K310" t="s">
        <v>1348</v>
      </c>
    </row>
    <row r="311" spans="3:11" x14ac:dyDescent="0.25">
      <c r="C311">
        <v>2</v>
      </c>
      <c r="D311" t="s">
        <v>392</v>
      </c>
      <c r="E311">
        <v>2</v>
      </c>
      <c r="F311">
        <v>2</v>
      </c>
      <c r="G311">
        <v>1</v>
      </c>
      <c r="H311" t="s">
        <v>447</v>
      </c>
      <c r="I311">
        <v>2</v>
      </c>
      <c r="J311" t="s">
        <v>393</v>
      </c>
      <c r="K311" t="s">
        <v>1348</v>
      </c>
    </row>
    <row r="312" spans="3:11" x14ac:dyDescent="0.25">
      <c r="C312">
        <v>2</v>
      </c>
      <c r="D312" t="s">
        <v>394</v>
      </c>
      <c r="E312">
        <v>4</v>
      </c>
      <c r="F312">
        <v>1</v>
      </c>
      <c r="G312">
        <v>1</v>
      </c>
      <c r="H312" t="s">
        <v>544</v>
      </c>
      <c r="I312">
        <v>1</v>
      </c>
      <c r="J312" t="s">
        <v>395</v>
      </c>
      <c r="K312" t="s">
        <v>1348</v>
      </c>
    </row>
    <row r="313" spans="3:11" x14ac:dyDescent="0.25">
      <c r="C313">
        <v>2</v>
      </c>
      <c r="D313" t="s">
        <v>1238</v>
      </c>
      <c r="E313">
        <v>2</v>
      </c>
      <c r="F313">
        <v>1</v>
      </c>
      <c r="G313">
        <v>1</v>
      </c>
      <c r="H313" t="s">
        <v>447</v>
      </c>
      <c r="I313">
        <v>3</v>
      </c>
      <c r="J313" t="s">
        <v>396</v>
      </c>
      <c r="K313" t="s">
        <v>1348</v>
      </c>
    </row>
    <row r="314" spans="3:11" x14ac:dyDescent="0.25">
      <c r="C314">
        <v>2</v>
      </c>
      <c r="D314" t="s">
        <v>1239</v>
      </c>
      <c r="E314">
        <v>1</v>
      </c>
      <c r="F314">
        <v>1</v>
      </c>
      <c r="G314">
        <v>1</v>
      </c>
      <c r="H314" t="s">
        <v>447</v>
      </c>
      <c r="I314">
        <v>3</v>
      </c>
      <c r="J314" t="s">
        <v>397</v>
      </c>
      <c r="K314" t="s">
        <v>1348</v>
      </c>
    </row>
    <row r="315" spans="3:11" x14ac:dyDescent="0.25">
      <c r="C315">
        <v>2</v>
      </c>
      <c r="D315" t="s">
        <v>398</v>
      </c>
      <c r="E315">
        <v>2</v>
      </c>
      <c r="F315">
        <v>1</v>
      </c>
      <c r="G315">
        <v>1</v>
      </c>
      <c r="H315" t="s">
        <v>447</v>
      </c>
      <c r="I315">
        <v>3</v>
      </c>
      <c r="J315" t="s">
        <v>399</v>
      </c>
      <c r="K315" t="s">
        <v>1348</v>
      </c>
    </row>
    <row r="316" spans="3:11" x14ac:dyDescent="0.25">
      <c r="C316">
        <v>2</v>
      </c>
      <c r="D316" t="s">
        <v>400</v>
      </c>
      <c r="E316">
        <v>2</v>
      </c>
      <c r="F316">
        <v>1</v>
      </c>
      <c r="G316">
        <v>1</v>
      </c>
      <c r="H316" t="s">
        <v>447</v>
      </c>
      <c r="I316">
        <v>3</v>
      </c>
      <c r="J316" t="s">
        <v>401</v>
      </c>
      <c r="K316" t="s">
        <v>1348</v>
      </c>
    </row>
    <row r="317" spans="3:11" x14ac:dyDescent="0.25">
      <c r="C317">
        <v>2</v>
      </c>
      <c r="D317" t="s">
        <v>402</v>
      </c>
      <c r="E317">
        <v>2</v>
      </c>
      <c r="F317">
        <v>2</v>
      </c>
      <c r="G317">
        <v>1</v>
      </c>
      <c r="H317" t="s">
        <v>447</v>
      </c>
      <c r="I317">
        <v>3</v>
      </c>
      <c r="J317" t="s">
        <v>403</v>
      </c>
      <c r="K317" t="s">
        <v>1348</v>
      </c>
    </row>
    <row r="318" spans="3:11" x14ac:dyDescent="0.25">
      <c r="C318">
        <v>2</v>
      </c>
      <c r="D318" t="s">
        <v>404</v>
      </c>
      <c r="E318">
        <v>2</v>
      </c>
      <c r="F318">
        <v>2</v>
      </c>
      <c r="G318">
        <v>1</v>
      </c>
      <c r="H318" t="s">
        <v>447</v>
      </c>
      <c r="I318">
        <v>3</v>
      </c>
      <c r="J318" t="s">
        <v>405</v>
      </c>
      <c r="K318" t="s">
        <v>1348</v>
      </c>
    </row>
    <row r="319" spans="3:11" x14ac:dyDescent="0.25">
      <c r="C319">
        <v>2</v>
      </c>
      <c r="D319" t="s">
        <v>406</v>
      </c>
      <c r="E319">
        <v>2</v>
      </c>
      <c r="F319">
        <v>1</v>
      </c>
      <c r="G319">
        <v>1</v>
      </c>
      <c r="H319" t="s">
        <v>447</v>
      </c>
      <c r="I319">
        <v>3</v>
      </c>
      <c r="J319" t="s">
        <v>407</v>
      </c>
      <c r="K319" t="s">
        <v>1348</v>
      </c>
    </row>
    <row r="320" spans="3:11" x14ac:dyDescent="0.25">
      <c r="C320">
        <v>2</v>
      </c>
      <c r="D320" t="s">
        <v>408</v>
      </c>
      <c r="E320">
        <v>2</v>
      </c>
      <c r="F320">
        <v>1</v>
      </c>
      <c r="G320">
        <v>1</v>
      </c>
      <c r="H320" t="s">
        <v>447</v>
      </c>
      <c r="I320">
        <v>3</v>
      </c>
      <c r="J320" t="s">
        <v>409</v>
      </c>
      <c r="K320" t="s">
        <v>1348</v>
      </c>
    </row>
    <row r="321" spans="3:11" x14ac:dyDescent="0.25">
      <c r="C321">
        <v>2</v>
      </c>
      <c r="D321" t="s">
        <v>410</v>
      </c>
      <c r="E321">
        <v>2</v>
      </c>
      <c r="F321">
        <v>2</v>
      </c>
      <c r="G321">
        <v>2</v>
      </c>
      <c r="H321" t="s">
        <v>447</v>
      </c>
      <c r="I321">
        <v>6</v>
      </c>
      <c r="J321" t="s">
        <v>411</v>
      </c>
      <c r="K321" t="s">
        <v>1348</v>
      </c>
    </row>
    <row r="322" spans="3:11" x14ac:dyDescent="0.25">
      <c r="C322">
        <v>2</v>
      </c>
      <c r="D322" t="s">
        <v>412</v>
      </c>
      <c r="E322">
        <v>2</v>
      </c>
      <c r="F322">
        <v>2</v>
      </c>
      <c r="G322">
        <v>1</v>
      </c>
      <c r="H322" t="s">
        <v>447</v>
      </c>
      <c r="I322">
        <v>4</v>
      </c>
      <c r="J322" t="s">
        <v>413</v>
      </c>
      <c r="K322" t="s">
        <v>1348</v>
      </c>
    </row>
    <row r="323" spans="3:11" x14ac:dyDescent="0.25">
      <c r="C323">
        <v>2</v>
      </c>
      <c r="D323" t="s">
        <v>414</v>
      </c>
      <c r="E323">
        <v>2</v>
      </c>
      <c r="F323">
        <v>2</v>
      </c>
      <c r="G323">
        <v>1</v>
      </c>
      <c r="H323" t="s">
        <v>447</v>
      </c>
      <c r="I323">
        <v>4</v>
      </c>
      <c r="J323" t="s">
        <v>415</v>
      </c>
      <c r="K323" t="s">
        <v>1348</v>
      </c>
    </row>
    <row r="324" spans="3:11" x14ac:dyDescent="0.25">
      <c r="C324">
        <v>2</v>
      </c>
      <c r="D324" t="s">
        <v>416</v>
      </c>
      <c r="E324">
        <v>1</v>
      </c>
      <c r="F324">
        <v>1</v>
      </c>
      <c r="G324">
        <v>1</v>
      </c>
      <c r="H324" t="s">
        <v>447</v>
      </c>
      <c r="I324">
        <v>26</v>
      </c>
      <c r="J324" t="s">
        <v>417</v>
      </c>
      <c r="K324" t="s">
        <v>1348</v>
      </c>
    </row>
    <row r="325" spans="3:11" x14ac:dyDescent="0.25">
      <c r="C325">
        <v>2</v>
      </c>
      <c r="D325" t="s">
        <v>418</v>
      </c>
      <c r="E325">
        <v>1</v>
      </c>
      <c r="F325">
        <v>1</v>
      </c>
      <c r="G325">
        <v>1</v>
      </c>
      <c r="H325" t="s">
        <v>447</v>
      </c>
      <c r="I325">
        <v>8</v>
      </c>
      <c r="J325" t="s">
        <v>419</v>
      </c>
      <c r="K325" t="s">
        <v>1348</v>
      </c>
    </row>
    <row r="326" spans="3:11" x14ac:dyDescent="0.25">
      <c r="C326">
        <v>2</v>
      </c>
      <c r="D326" t="s">
        <v>1215</v>
      </c>
      <c r="E326">
        <v>1</v>
      </c>
      <c r="F326">
        <v>1</v>
      </c>
      <c r="G326">
        <v>1</v>
      </c>
      <c r="H326" t="s">
        <v>544</v>
      </c>
      <c r="I326">
        <v>8</v>
      </c>
      <c r="J326" t="s">
        <v>420</v>
      </c>
      <c r="K326" t="s">
        <v>1348</v>
      </c>
    </row>
    <row r="327" spans="3:11" x14ac:dyDescent="0.25">
      <c r="C327">
        <v>2</v>
      </c>
      <c r="D327" t="s">
        <v>421</v>
      </c>
      <c r="E327">
        <v>79</v>
      </c>
      <c r="F327">
        <v>1</v>
      </c>
      <c r="G327">
        <v>1</v>
      </c>
      <c r="H327" t="s">
        <v>589</v>
      </c>
      <c r="I327">
        <v>12</v>
      </c>
      <c r="J327" t="s">
        <v>422</v>
      </c>
      <c r="K327" t="s">
        <v>1348</v>
      </c>
    </row>
    <row r="328" spans="3:11" x14ac:dyDescent="0.25">
      <c r="C328">
        <v>2</v>
      </c>
      <c r="D328" t="s">
        <v>423</v>
      </c>
      <c r="E328">
        <v>1</v>
      </c>
      <c r="F328">
        <v>1</v>
      </c>
      <c r="G328">
        <v>1</v>
      </c>
      <c r="H328" t="s">
        <v>447</v>
      </c>
      <c r="I328">
        <v>2</v>
      </c>
      <c r="J328" t="s">
        <v>424</v>
      </c>
      <c r="K328" t="s">
        <v>1348</v>
      </c>
    </row>
    <row r="329" spans="3:11" x14ac:dyDescent="0.25">
      <c r="C329">
        <v>2</v>
      </c>
      <c r="D329" t="s">
        <v>425</v>
      </c>
      <c r="E329">
        <v>1</v>
      </c>
      <c r="F329">
        <v>1</v>
      </c>
      <c r="G329">
        <v>1</v>
      </c>
      <c r="H329" t="s">
        <v>447</v>
      </c>
      <c r="I329">
        <v>2</v>
      </c>
      <c r="J329" t="s">
        <v>426</v>
      </c>
      <c r="K329" t="s">
        <v>1348</v>
      </c>
    </row>
    <row r="330" spans="3:11" x14ac:dyDescent="0.25">
      <c r="C330">
        <v>2</v>
      </c>
      <c r="D330" t="s">
        <v>427</v>
      </c>
      <c r="E330">
        <v>2</v>
      </c>
      <c r="F330">
        <v>1</v>
      </c>
      <c r="G330">
        <v>1</v>
      </c>
      <c r="H330" t="s">
        <v>447</v>
      </c>
      <c r="I330">
        <v>2</v>
      </c>
      <c r="J330" t="s">
        <v>428</v>
      </c>
      <c r="K330" t="s">
        <v>1348</v>
      </c>
    </row>
    <row r="331" spans="3:11" x14ac:dyDescent="0.25">
      <c r="C331">
        <v>2</v>
      </c>
      <c r="D331" t="s">
        <v>429</v>
      </c>
      <c r="E331">
        <v>1</v>
      </c>
      <c r="F331">
        <v>1</v>
      </c>
      <c r="G331">
        <v>1</v>
      </c>
      <c r="H331" t="s">
        <v>544</v>
      </c>
      <c r="I331">
        <v>2</v>
      </c>
      <c r="J331" t="s">
        <v>430</v>
      </c>
      <c r="K331" t="s">
        <v>1348</v>
      </c>
    </row>
    <row r="332" spans="3:11" x14ac:dyDescent="0.25">
      <c r="C332">
        <v>2</v>
      </c>
      <c r="D332" t="s">
        <v>431</v>
      </c>
      <c r="E332">
        <v>2</v>
      </c>
      <c r="F332">
        <v>1</v>
      </c>
      <c r="G332">
        <v>1</v>
      </c>
      <c r="H332" t="s">
        <v>589</v>
      </c>
      <c r="I332">
        <v>2</v>
      </c>
      <c r="J332" t="s">
        <v>432</v>
      </c>
      <c r="K332" t="s">
        <v>1348</v>
      </c>
    </row>
    <row r="333" spans="3:11" x14ac:dyDescent="0.25">
      <c r="C333">
        <v>2</v>
      </c>
      <c r="D333" t="s">
        <v>433</v>
      </c>
      <c r="E333">
        <v>2</v>
      </c>
      <c r="F333">
        <v>1</v>
      </c>
      <c r="G333">
        <v>1</v>
      </c>
      <c r="H333" t="s">
        <v>589</v>
      </c>
      <c r="I333">
        <v>2</v>
      </c>
      <c r="J333" t="s">
        <v>434</v>
      </c>
      <c r="K333" t="s">
        <v>1348</v>
      </c>
    </row>
    <row r="334" spans="3:11" x14ac:dyDescent="0.25">
      <c r="C334">
        <v>3</v>
      </c>
      <c r="D334" t="s">
        <v>435</v>
      </c>
      <c r="E334">
        <v>4</v>
      </c>
      <c r="F334">
        <v>2</v>
      </c>
      <c r="G334">
        <v>1</v>
      </c>
      <c r="H334" t="s">
        <v>589</v>
      </c>
      <c r="I334">
        <v>1</v>
      </c>
      <c r="J334" t="s">
        <v>436</v>
      </c>
      <c r="K334" t="s">
        <v>1348</v>
      </c>
    </row>
  </sheetData>
  <phoneticPr fontId="4" type="noConversion"/>
  <conditionalFormatting sqref="U1 N1 R1:S1 W1">
    <cfRule type="cellIs" dxfId="42" priority="1" stopIfTrue="1" operator="equal">
      <formula>"Y"</formula>
    </cfRule>
  </conditionalFormatting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79"/>
  <sheetViews>
    <sheetView topLeftCell="A130" workbookViewId="0">
      <selection activeCell="I149" sqref="I149"/>
    </sheetView>
  </sheetViews>
  <sheetFormatPr defaultRowHeight="15" x14ac:dyDescent="0.25"/>
  <cols>
    <col min="3" max="3" width="15.28515625" customWidth="1"/>
    <col min="4" max="7" width="3.85546875" customWidth="1"/>
    <col min="8" max="8" width="6.28515625" customWidth="1"/>
    <col min="9" max="9" width="37.140625" customWidth="1"/>
  </cols>
  <sheetData>
    <row r="1" spans="1:22" x14ac:dyDescent="0.25">
      <c r="K1" s="3" t="s">
        <v>1341</v>
      </c>
      <c r="N1">
        <v>10</v>
      </c>
      <c r="O1">
        <v>11</v>
      </c>
      <c r="P1">
        <v>12</v>
      </c>
      <c r="Q1">
        <v>13</v>
      </c>
      <c r="R1">
        <v>13</v>
      </c>
      <c r="S1">
        <v>13</v>
      </c>
      <c r="T1">
        <v>13</v>
      </c>
      <c r="U1">
        <v>13</v>
      </c>
      <c r="V1">
        <v>13</v>
      </c>
    </row>
    <row r="2" spans="1:22" x14ac:dyDescent="0.25">
      <c r="K2" s="3"/>
      <c r="N2" s="3" t="s">
        <v>1343</v>
      </c>
    </row>
    <row r="3" spans="1:22" x14ac:dyDescent="0.25">
      <c r="B3" s="3" t="s">
        <v>437</v>
      </c>
      <c r="C3" s="3" t="s">
        <v>1071</v>
      </c>
      <c r="D3" s="3" t="s">
        <v>1067</v>
      </c>
      <c r="E3" s="3"/>
      <c r="F3" s="3"/>
      <c r="G3" s="3" t="s">
        <v>1069</v>
      </c>
      <c r="H3" s="3" t="s">
        <v>1070</v>
      </c>
      <c r="I3" s="3" t="s">
        <v>1068</v>
      </c>
      <c r="J3" s="3" t="s">
        <v>1069</v>
      </c>
      <c r="K3" s="3" t="s">
        <v>443</v>
      </c>
      <c r="M3" s="3" t="s">
        <v>444</v>
      </c>
      <c r="N3" s="3" t="s">
        <v>1066</v>
      </c>
      <c r="O3" s="3" t="s">
        <v>1246</v>
      </c>
      <c r="P3" s="5" t="s">
        <v>1244</v>
      </c>
      <c r="Q3" s="5"/>
      <c r="R3" s="5" t="s">
        <v>1245</v>
      </c>
      <c r="S3" s="5"/>
      <c r="T3" s="5" t="s">
        <v>1341</v>
      </c>
      <c r="U3" s="4" t="s">
        <v>4</v>
      </c>
      <c r="V3" s="10" t="s">
        <v>1350</v>
      </c>
    </row>
    <row r="4" spans="1:22" x14ac:dyDescent="0.25">
      <c r="A4">
        <v>1</v>
      </c>
      <c r="B4">
        <v>1</v>
      </c>
      <c r="C4" t="s">
        <v>446</v>
      </c>
      <c r="D4">
        <v>1</v>
      </c>
      <c r="E4">
        <v>1</v>
      </c>
      <c r="F4">
        <v>1</v>
      </c>
      <c r="G4" t="s">
        <v>447</v>
      </c>
      <c r="H4">
        <v>1</v>
      </c>
      <c r="I4" t="s">
        <v>448</v>
      </c>
      <c r="J4" t="s">
        <v>1340</v>
      </c>
      <c r="K4" t="s">
        <v>1246</v>
      </c>
      <c r="M4" t="s">
        <v>446</v>
      </c>
      <c r="N4" t="s">
        <v>1247</v>
      </c>
      <c r="O4" t="s">
        <v>1247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>
        <v>2</v>
      </c>
      <c r="B5">
        <v>1</v>
      </c>
      <c r="C5" t="s">
        <v>543</v>
      </c>
      <c r="D5">
        <v>1</v>
      </c>
      <c r="E5">
        <v>1</v>
      </c>
      <c r="F5">
        <v>1</v>
      </c>
      <c r="G5" t="s">
        <v>544</v>
      </c>
      <c r="H5">
        <v>1</v>
      </c>
      <c r="I5" t="s">
        <v>1258</v>
      </c>
      <c r="J5" t="s">
        <v>1340</v>
      </c>
      <c r="K5" t="s">
        <v>1246</v>
      </c>
      <c r="M5" t="s">
        <v>543</v>
      </c>
      <c r="N5" t="s">
        <v>1247</v>
      </c>
      <c r="O5" t="s">
        <v>1247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>
        <v>3</v>
      </c>
      <c r="B6">
        <v>1</v>
      </c>
      <c r="C6" t="s">
        <v>546</v>
      </c>
      <c r="D6">
        <v>1</v>
      </c>
      <c r="E6">
        <v>1</v>
      </c>
      <c r="F6">
        <v>1</v>
      </c>
      <c r="G6" t="s">
        <v>544</v>
      </c>
      <c r="H6">
        <v>1</v>
      </c>
      <c r="I6" t="s">
        <v>547</v>
      </c>
      <c r="J6" t="s">
        <v>1340</v>
      </c>
      <c r="K6" t="s">
        <v>1246</v>
      </c>
      <c r="M6" t="s">
        <v>546</v>
      </c>
      <c r="N6" t="s">
        <v>445</v>
      </c>
      <c r="O6" t="s">
        <v>1342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>
        <v>4</v>
      </c>
      <c r="B7">
        <v>1</v>
      </c>
      <c r="C7" t="s">
        <v>548</v>
      </c>
      <c r="D7">
        <v>1</v>
      </c>
      <c r="E7">
        <v>1</v>
      </c>
      <c r="F7">
        <v>1</v>
      </c>
      <c r="G7" t="s">
        <v>544</v>
      </c>
      <c r="H7">
        <v>1</v>
      </c>
      <c r="I7" t="s">
        <v>549</v>
      </c>
      <c r="J7" t="s">
        <v>1340</v>
      </c>
      <c r="K7" t="s">
        <v>1246</v>
      </c>
      <c r="M7" t="s">
        <v>548</v>
      </c>
      <c r="N7" t="s">
        <v>1247</v>
      </c>
      <c r="O7" t="s">
        <v>1247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>
        <v>5</v>
      </c>
      <c r="B8">
        <v>1</v>
      </c>
      <c r="C8" t="s">
        <v>550</v>
      </c>
      <c r="D8">
        <v>1</v>
      </c>
      <c r="E8">
        <v>1</v>
      </c>
      <c r="F8">
        <v>1</v>
      </c>
      <c r="G8" t="s">
        <v>544</v>
      </c>
      <c r="H8">
        <v>1</v>
      </c>
      <c r="I8" t="s">
        <v>1259</v>
      </c>
      <c r="J8" t="s">
        <v>1340</v>
      </c>
      <c r="K8" t="s">
        <v>1246</v>
      </c>
      <c r="M8" t="s">
        <v>550</v>
      </c>
      <c r="N8" t="s">
        <v>1247</v>
      </c>
      <c r="O8" t="s">
        <v>1247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>
        <v>6</v>
      </c>
      <c r="B9">
        <v>1</v>
      </c>
      <c r="C9" t="s">
        <v>552</v>
      </c>
      <c r="D9">
        <v>1</v>
      </c>
      <c r="E9">
        <v>1</v>
      </c>
      <c r="F9">
        <v>1</v>
      </c>
      <c r="G9" t="s">
        <v>544</v>
      </c>
      <c r="H9">
        <v>4</v>
      </c>
      <c r="I9" t="s">
        <v>1260</v>
      </c>
      <c r="J9" t="s">
        <v>1340</v>
      </c>
      <c r="K9" t="s">
        <v>1246</v>
      </c>
      <c r="M9" t="s">
        <v>552</v>
      </c>
      <c r="N9" t="s">
        <v>1247</v>
      </c>
      <c r="O9" t="s">
        <v>1247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>
        <v>7</v>
      </c>
      <c r="B10">
        <v>1</v>
      </c>
      <c r="C10" t="s">
        <v>556</v>
      </c>
      <c r="D10">
        <v>5</v>
      </c>
      <c r="E10">
        <v>2</v>
      </c>
      <c r="F10">
        <v>1</v>
      </c>
      <c r="G10" t="s">
        <v>544</v>
      </c>
      <c r="H10">
        <v>1</v>
      </c>
      <c r="I10" t="s">
        <v>557</v>
      </c>
      <c r="J10" t="s">
        <v>1340</v>
      </c>
      <c r="K10" t="s">
        <v>1246</v>
      </c>
      <c r="M10" t="s">
        <v>556</v>
      </c>
      <c r="N10" t="s">
        <v>1247</v>
      </c>
      <c r="O10" t="s">
        <v>1342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>
        <v>8</v>
      </c>
      <c r="B11">
        <v>1</v>
      </c>
      <c r="C11" t="s">
        <v>588</v>
      </c>
      <c r="D11">
        <v>16</v>
      </c>
      <c r="E11">
        <v>1</v>
      </c>
      <c r="F11">
        <v>1</v>
      </c>
      <c r="G11" t="s">
        <v>589</v>
      </c>
      <c r="H11">
        <v>1</v>
      </c>
      <c r="I11" t="s">
        <v>1261</v>
      </c>
      <c r="J11" t="s">
        <v>1340</v>
      </c>
      <c r="K11" t="s">
        <v>1246</v>
      </c>
      <c r="M11" t="s">
        <v>588</v>
      </c>
      <c r="N11" t="s">
        <v>1247</v>
      </c>
      <c r="O11" t="s">
        <v>1247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>
        <v>9</v>
      </c>
      <c r="B12">
        <v>1</v>
      </c>
      <c r="C12" t="s">
        <v>591</v>
      </c>
      <c r="D12">
        <v>4</v>
      </c>
      <c r="E12">
        <v>1</v>
      </c>
      <c r="F12">
        <v>1</v>
      </c>
      <c r="G12" t="s">
        <v>589</v>
      </c>
      <c r="H12">
        <v>1</v>
      </c>
      <c r="I12" t="s">
        <v>1262</v>
      </c>
      <c r="J12" t="s">
        <v>1340</v>
      </c>
      <c r="K12" t="s">
        <v>1246</v>
      </c>
      <c r="M12" t="s">
        <v>591</v>
      </c>
      <c r="N12" t="s">
        <v>1247</v>
      </c>
      <c r="O12" t="s">
        <v>1342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>
        <v>10</v>
      </c>
      <c r="B13">
        <v>1</v>
      </c>
      <c r="C13" t="s">
        <v>593</v>
      </c>
      <c r="D13">
        <v>16</v>
      </c>
      <c r="E13">
        <v>1</v>
      </c>
      <c r="F13">
        <v>1</v>
      </c>
      <c r="G13" t="s">
        <v>589</v>
      </c>
      <c r="H13">
        <v>1</v>
      </c>
      <c r="I13" t="s">
        <v>1263</v>
      </c>
      <c r="J13" t="s">
        <v>1340</v>
      </c>
      <c r="K13" t="s">
        <v>1246</v>
      </c>
      <c r="M13" t="s">
        <v>593</v>
      </c>
      <c r="N13" t="s">
        <v>1247</v>
      </c>
      <c r="O13" t="s">
        <v>1247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>
        <v>11</v>
      </c>
      <c r="B14">
        <v>1</v>
      </c>
      <c r="C14" t="s">
        <v>597</v>
      </c>
      <c r="D14">
        <v>48</v>
      </c>
      <c r="E14">
        <v>1</v>
      </c>
      <c r="F14">
        <v>1</v>
      </c>
      <c r="G14" t="s">
        <v>589</v>
      </c>
      <c r="H14">
        <v>1</v>
      </c>
      <c r="I14" t="s">
        <v>1264</v>
      </c>
      <c r="J14" t="s">
        <v>1340</v>
      </c>
      <c r="K14" t="s">
        <v>1246</v>
      </c>
      <c r="M14" t="s">
        <v>597</v>
      </c>
      <c r="N14" t="s">
        <v>445</v>
      </c>
      <c r="O14" t="s">
        <v>1342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>
        <v>12</v>
      </c>
      <c r="B15">
        <v>1</v>
      </c>
      <c r="C15" t="s">
        <v>599</v>
      </c>
      <c r="D15">
        <v>64</v>
      </c>
      <c r="E15">
        <v>1</v>
      </c>
      <c r="F15">
        <v>1</v>
      </c>
      <c r="G15" t="s">
        <v>589</v>
      </c>
      <c r="H15">
        <v>1</v>
      </c>
      <c r="I15" t="s">
        <v>1265</v>
      </c>
      <c r="J15" t="s">
        <v>1340</v>
      </c>
      <c r="K15" t="s">
        <v>1246</v>
      </c>
      <c r="M15" t="s">
        <v>599</v>
      </c>
      <c r="N15" t="s">
        <v>445</v>
      </c>
      <c r="O15" t="s">
        <v>1342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>
        <v>13</v>
      </c>
      <c r="B16">
        <v>1</v>
      </c>
      <c r="C16" t="s">
        <v>601</v>
      </c>
      <c r="D16">
        <v>40</v>
      </c>
      <c r="E16">
        <v>1</v>
      </c>
      <c r="F16">
        <v>1</v>
      </c>
      <c r="G16" t="s">
        <v>589</v>
      </c>
      <c r="H16">
        <v>1</v>
      </c>
      <c r="I16" t="s">
        <v>1266</v>
      </c>
      <c r="J16" t="s">
        <v>1340</v>
      </c>
      <c r="K16" t="s">
        <v>1246</v>
      </c>
      <c r="M16" t="s">
        <v>601</v>
      </c>
      <c r="N16" t="s">
        <v>1247</v>
      </c>
      <c r="O16" t="s">
        <v>1247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>
        <v>14</v>
      </c>
      <c r="B17">
        <v>1</v>
      </c>
      <c r="C17" t="s">
        <v>603</v>
      </c>
      <c r="D17">
        <v>40</v>
      </c>
      <c r="E17">
        <v>1</v>
      </c>
      <c r="F17">
        <v>1</v>
      </c>
      <c r="G17" t="s">
        <v>589</v>
      </c>
      <c r="H17">
        <v>1</v>
      </c>
      <c r="I17" t="s">
        <v>1267</v>
      </c>
      <c r="J17" t="s">
        <v>1340</v>
      </c>
      <c r="K17" t="s">
        <v>1246</v>
      </c>
      <c r="M17" t="s">
        <v>603</v>
      </c>
      <c r="N17" t="s">
        <v>1247</v>
      </c>
      <c r="O17" t="s">
        <v>1342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>
        <v>15</v>
      </c>
      <c r="B18">
        <v>1</v>
      </c>
      <c r="C18" t="s">
        <v>607</v>
      </c>
      <c r="D18">
        <v>4</v>
      </c>
      <c r="E18">
        <v>2</v>
      </c>
      <c r="F18">
        <v>1</v>
      </c>
      <c r="G18" t="s">
        <v>589</v>
      </c>
      <c r="H18">
        <v>1</v>
      </c>
      <c r="I18" t="s">
        <v>1268</v>
      </c>
      <c r="J18" t="s">
        <v>1340</v>
      </c>
      <c r="K18" t="s">
        <v>1246</v>
      </c>
      <c r="M18" t="s">
        <v>607</v>
      </c>
      <c r="N18" t="s">
        <v>1247</v>
      </c>
      <c r="O18" t="s">
        <v>1247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>
        <v>16</v>
      </c>
      <c r="B19" t="s">
        <v>440</v>
      </c>
      <c r="C19" t="s">
        <v>1269</v>
      </c>
      <c r="G19" t="s">
        <v>589</v>
      </c>
      <c r="I19" t="s">
        <v>1270</v>
      </c>
      <c r="J19" t="s">
        <v>1340</v>
      </c>
      <c r="K19" t="s">
        <v>1246</v>
      </c>
      <c r="M19" t="s">
        <v>1269</v>
      </c>
      <c r="N19">
        <v>0</v>
      </c>
      <c r="O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>
        <v>17</v>
      </c>
      <c r="B20">
        <v>1</v>
      </c>
      <c r="C20" t="s">
        <v>609</v>
      </c>
      <c r="D20">
        <v>4</v>
      </c>
      <c r="E20">
        <v>14</v>
      </c>
      <c r="F20">
        <v>1</v>
      </c>
      <c r="G20" t="s">
        <v>589</v>
      </c>
      <c r="H20">
        <v>1</v>
      </c>
      <c r="I20" t="s">
        <v>1271</v>
      </c>
      <c r="J20" t="s">
        <v>1340</v>
      </c>
      <c r="K20" t="s">
        <v>1246</v>
      </c>
      <c r="M20" t="s">
        <v>609</v>
      </c>
      <c r="N20" t="s">
        <v>1247</v>
      </c>
      <c r="O20" t="s">
        <v>1247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>
        <v>18</v>
      </c>
      <c r="B21" t="s">
        <v>440</v>
      </c>
      <c r="C21" t="s">
        <v>1272</v>
      </c>
      <c r="G21" t="s">
        <v>589</v>
      </c>
      <c r="I21" t="s">
        <v>1273</v>
      </c>
      <c r="J21" t="s">
        <v>1340</v>
      </c>
      <c r="K21" t="s">
        <v>1246</v>
      </c>
      <c r="M21" t="s">
        <v>1272</v>
      </c>
      <c r="N21">
        <v>0</v>
      </c>
      <c r="O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>
        <v>19</v>
      </c>
      <c r="B22">
        <v>3</v>
      </c>
      <c r="C22" t="s">
        <v>1026</v>
      </c>
      <c r="D22">
        <v>1</v>
      </c>
      <c r="E22">
        <v>1</v>
      </c>
      <c r="F22">
        <v>1</v>
      </c>
      <c r="G22" t="s">
        <v>544</v>
      </c>
      <c r="H22">
        <v>1</v>
      </c>
      <c r="I22" t="s">
        <v>1027</v>
      </c>
      <c r="J22" t="s">
        <v>1340</v>
      </c>
      <c r="K22" t="s">
        <v>1246</v>
      </c>
      <c r="M22" t="s">
        <v>1026</v>
      </c>
      <c r="N22" t="s">
        <v>445</v>
      </c>
      <c r="O22" t="s">
        <v>1342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>
        <v>20</v>
      </c>
      <c r="B23">
        <v>3</v>
      </c>
      <c r="C23" t="s">
        <v>1030</v>
      </c>
      <c r="D23">
        <v>3</v>
      </c>
      <c r="E23">
        <v>1</v>
      </c>
      <c r="F23">
        <v>1</v>
      </c>
      <c r="G23" t="s">
        <v>544</v>
      </c>
      <c r="H23">
        <v>1</v>
      </c>
      <c r="I23" t="s">
        <v>1031</v>
      </c>
      <c r="J23" t="s">
        <v>1340</v>
      </c>
      <c r="K23" t="s">
        <v>1246</v>
      </c>
      <c r="M23" t="s">
        <v>1030</v>
      </c>
      <c r="N23" t="s">
        <v>445</v>
      </c>
      <c r="O23" t="s">
        <v>1342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>
        <v>21</v>
      </c>
      <c r="B24">
        <v>3</v>
      </c>
      <c r="C24" t="s">
        <v>1036</v>
      </c>
      <c r="D24">
        <v>2</v>
      </c>
      <c r="E24">
        <v>1</v>
      </c>
      <c r="F24">
        <v>1</v>
      </c>
      <c r="G24" t="s">
        <v>544</v>
      </c>
      <c r="H24">
        <v>1</v>
      </c>
      <c r="I24" t="s">
        <v>1274</v>
      </c>
      <c r="J24" t="s">
        <v>1340</v>
      </c>
      <c r="K24" t="s">
        <v>1246</v>
      </c>
      <c r="M24" t="s">
        <v>1036</v>
      </c>
      <c r="N24" t="s">
        <v>445</v>
      </c>
      <c r="O24" t="s">
        <v>1342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>
        <v>22</v>
      </c>
      <c r="B25">
        <v>2</v>
      </c>
      <c r="C25" t="s">
        <v>958</v>
      </c>
      <c r="D25">
        <v>5</v>
      </c>
      <c r="E25">
        <v>1</v>
      </c>
      <c r="F25">
        <v>1</v>
      </c>
      <c r="G25" t="s">
        <v>544</v>
      </c>
      <c r="H25">
        <v>1</v>
      </c>
      <c r="I25" t="s">
        <v>1275</v>
      </c>
      <c r="J25" s="11" t="s">
        <v>1351</v>
      </c>
      <c r="K25" t="s">
        <v>1246</v>
      </c>
      <c r="M25" t="s">
        <v>958</v>
      </c>
      <c r="N25" t="s">
        <v>1247</v>
      </c>
      <c r="O25" t="s">
        <v>1342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>
        <v>23</v>
      </c>
      <c r="B26">
        <v>2</v>
      </c>
      <c r="C26" t="s">
        <v>980</v>
      </c>
      <c r="D26">
        <v>5</v>
      </c>
      <c r="E26">
        <v>1</v>
      </c>
      <c r="F26">
        <v>1</v>
      </c>
      <c r="G26" t="s">
        <v>589</v>
      </c>
      <c r="H26">
        <v>1</v>
      </c>
      <c r="I26" t="s">
        <v>1276</v>
      </c>
      <c r="J26" s="11" t="s">
        <v>1351</v>
      </c>
      <c r="K26" t="s">
        <v>1246</v>
      </c>
      <c r="M26" t="s">
        <v>980</v>
      </c>
      <c r="N26" t="s">
        <v>1247</v>
      </c>
      <c r="O26" t="s">
        <v>1342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>
        <v>24</v>
      </c>
      <c r="B27">
        <v>2</v>
      </c>
      <c r="C27" t="s">
        <v>984</v>
      </c>
      <c r="D27">
        <v>4</v>
      </c>
      <c r="E27">
        <v>1</v>
      </c>
      <c r="F27">
        <v>1</v>
      </c>
      <c r="G27" t="s">
        <v>589</v>
      </c>
      <c r="H27">
        <v>1</v>
      </c>
      <c r="I27" t="s">
        <v>1277</v>
      </c>
      <c r="J27" s="11" t="s">
        <v>1351</v>
      </c>
      <c r="K27" t="s">
        <v>1246</v>
      </c>
      <c r="M27" t="s">
        <v>984</v>
      </c>
      <c r="N27" t="s">
        <v>1247</v>
      </c>
      <c r="O27" t="s">
        <v>1342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>
        <v>25</v>
      </c>
      <c r="B28">
        <v>3</v>
      </c>
      <c r="C28" t="s">
        <v>1040</v>
      </c>
      <c r="D28">
        <v>6</v>
      </c>
      <c r="E28">
        <v>1</v>
      </c>
      <c r="F28">
        <v>1</v>
      </c>
      <c r="G28" t="s">
        <v>544</v>
      </c>
      <c r="H28">
        <v>1</v>
      </c>
      <c r="I28" t="s">
        <v>1278</v>
      </c>
      <c r="J28" s="11" t="s">
        <v>1351</v>
      </c>
      <c r="K28" t="s">
        <v>1246</v>
      </c>
      <c r="M28" t="s">
        <v>1040</v>
      </c>
      <c r="N28" t="s">
        <v>445</v>
      </c>
      <c r="O28" t="s">
        <v>1342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>
        <v>26</v>
      </c>
      <c r="B29">
        <v>2</v>
      </c>
      <c r="C29" t="s">
        <v>755</v>
      </c>
      <c r="D29">
        <v>2</v>
      </c>
      <c r="E29">
        <v>16</v>
      </c>
      <c r="F29">
        <v>1</v>
      </c>
      <c r="G29" t="s">
        <v>447</v>
      </c>
      <c r="H29">
        <v>1</v>
      </c>
      <c r="I29" t="s">
        <v>1279</v>
      </c>
      <c r="J29" t="s">
        <v>438</v>
      </c>
      <c r="K29" t="s">
        <v>1246</v>
      </c>
      <c r="M29" t="s">
        <v>755</v>
      </c>
      <c r="N29" t="s">
        <v>445</v>
      </c>
      <c r="O29" t="s">
        <v>1342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>
        <v>27</v>
      </c>
      <c r="B30">
        <v>2</v>
      </c>
      <c r="C30" t="s">
        <v>757</v>
      </c>
      <c r="D30">
        <v>2</v>
      </c>
      <c r="E30">
        <v>1</v>
      </c>
      <c r="F30">
        <v>1</v>
      </c>
      <c r="G30" t="s">
        <v>447</v>
      </c>
      <c r="H30">
        <v>1</v>
      </c>
      <c r="I30" t="s">
        <v>1280</v>
      </c>
      <c r="J30" t="s">
        <v>438</v>
      </c>
      <c r="K30" t="s">
        <v>1246</v>
      </c>
      <c r="M30" t="s">
        <v>757</v>
      </c>
      <c r="N30" t="s">
        <v>445</v>
      </c>
      <c r="O30" t="s">
        <v>1342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>
        <v>28</v>
      </c>
      <c r="B31">
        <v>2</v>
      </c>
      <c r="C31" t="s">
        <v>811</v>
      </c>
      <c r="D31">
        <v>2</v>
      </c>
      <c r="E31">
        <v>1</v>
      </c>
      <c r="F31">
        <v>1</v>
      </c>
      <c r="G31" t="s">
        <v>447</v>
      </c>
      <c r="H31">
        <v>2</v>
      </c>
      <c r="I31" t="s">
        <v>812</v>
      </c>
      <c r="J31" t="s">
        <v>438</v>
      </c>
      <c r="K31" t="s">
        <v>1246</v>
      </c>
      <c r="M31" t="s">
        <v>811</v>
      </c>
      <c r="N31" t="s">
        <v>1247</v>
      </c>
      <c r="O31" t="s">
        <v>1342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>
        <v>29</v>
      </c>
      <c r="B32">
        <v>2</v>
      </c>
      <c r="C32" t="s">
        <v>878</v>
      </c>
      <c r="D32">
        <v>2</v>
      </c>
      <c r="E32">
        <v>2</v>
      </c>
      <c r="F32">
        <v>1</v>
      </c>
      <c r="G32" t="s">
        <v>447</v>
      </c>
      <c r="H32">
        <v>3</v>
      </c>
      <c r="I32" t="s">
        <v>879</v>
      </c>
      <c r="J32" t="s">
        <v>438</v>
      </c>
      <c r="K32" t="s">
        <v>1246</v>
      </c>
      <c r="M32" t="s">
        <v>878</v>
      </c>
      <c r="N32" t="s">
        <v>1247</v>
      </c>
      <c r="O32" t="s">
        <v>1342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>
        <v>30</v>
      </c>
      <c r="B33">
        <v>2</v>
      </c>
      <c r="C33" t="s">
        <v>880</v>
      </c>
      <c r="D33">
        <v>2</v>
      </c>
      <c r="E33">
        <v>2</v>
      </c>
      <c r="F33">
        <v>1</v>
      </c>
      <c r="G33" t="s">
        <v>447</v>
      </c>
      <c r="H33">
        <v>3</v>
      </c>
      <c r="I33" t="s">
        <v>881</v>
      </c>
      <c r="J33" t="s">
        <v>438</v>
      </c>
      <c r="K33" t="s">
        <v>1246</v>
      </c>
      <c r="M33" t="s">
        <v>880</v>
      </c>
      <c r="N33" t="s">
        <v>1247</v>
      </c>
      <c r="O33" t="s">
        <v>1342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>
        <v>31</v>
      </c>
      <c r="B34">
        <v>2</v>
      </c>
      <c r="C34" t="s">
        <v>882</v>
      </c>
      <c r="D34">
        <v>2</v>
      </c>
      <c r="E34">
        <v>2</v>
      </c>
      <c r="F34">
        <v>1</v>
      </c>
      <c r="G34" t="s">
        <v>447</v>
      </c>
      <c r="H34">
        <v>3</v>
      </c>
      <c r="I34" t="s">
        <v>883</v>
      </c>
      <c r="J34" t="s">
        <v>438</v>
      </c>
      <c r="K34" t="s">
        <v>1246</v>
      </c>
      <c r="M34" t="s">
        <v>882</v>
      </c>
      <c r="N34" t="s">
        <v>1247</v>
      </c>
      <c r="O34" t="s">
        <v>1342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>
        <v>32</v>
      </c>
      <c r="B35">
        <v>2</v>
      </c>
      <c r="C35" t="s">
        <v>884</v>
      </c>
      <c r="D35">
        <v>2</v>
      </c>
      <c r="E35">
        <v>2</v>
      </c>
      <c r="F35">
        <v>1</v>
      </c>
      <c r="G35" t="s">
        <v>447</v>
      </c>
      <c r="H35">
        <v>3</v>
      </c>
      <c r="I35" t="s">
        <v>885</v>
      </c>
      <c r="J35" t="s">
        <v>438</v>
      </c>
      <c r="K35" t="s">
        <v>1246</v>
      </c>
      <c r="M35" t="s">
        <v>884</v>
      </c>
      <c r="N35" t="s">
        <v>445</v>
      </c>
      <c r="O35" t="s">
        <v>1342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>
        <v>33</v>
      </c>
      <c r="B36">
        <v>2</v>
      </c>
      <c r="C36" t="s">
        <v>944</v>
      </c>
      <c r="D36">
        <v>2</v>
      </c>
      <c r="E36">
        <v>16</v>
      </c>
      <c r="F36">
        <v>1</v>
      </c>
      <c r="G36" t="s">
        <v>544</v>
      </c>
      <c r="H36">
        <v>1</v>
      </c>
      <c r="I36" t="s">
        <v>1281</v>
      </c>
      <c r="J36" t="s">
        <v>438</v>
      </c>
      <c r="K36" t="s">
        <v>1246</v>
      </c>
      <c r="M36" t="s">
        <v>944</v>
      </c>
      <c r="N36" t="s">
        <v>445</v>
      </c>
      <c r="O36" t="s">
        <v>1342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>
        <v>34</v>
      </c>
      <c r="B37">
        <v>2</v>
      </c>
      <c r="C37" t="s">
        <v>946</v>
      </c>
      <c r="D37">
        <v>3</v>
      </c>
      <c r="E37">
        <v>2</v>
      </c>
      <c r="F37">
        <v>16</v>
      </c>
      <c r="G37" t="s">
        <v>544</v>
      </c>
      <c r="H37">
        <v>1</v>
      </c>
      <c r="I37" t="s">
        <v>1282</v>
      </c>
      <c r="J37" t="s">
        <v>438</v>
      </c>
      <c r="K37" t="s">
        <v>1246</v>
      </c>
      <c r="M37" t="s">
        <v>946</v>
      </c>
      <c r="N37" t="s">
        <v>1247</v>
      </c>
      <c r="O37" t="s">
        <v>1342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>
        <v>35</v>
      </c>
      <c r="B38">
        <v>2</v>
      </c>
      <c r="C38" t="s">
        <v>976</v>
      </c>
      <c r="D38">
        <v>2</v>
      </c>
      <c r="E38">
        <v>16</v>
      </c>
      <c r="F38">
        <v>1</v>
      </c>
      <c r="G38" t="s">
        <v>589</v>
      </c>
      <c r="H38">
        <v>1</v>
      </c>
      <c r="I38" t="s">
        <v>1283</v>
      </c>
      <c r="J38" t="s">
        <v>438</v>
      </c>
      <c r="K38" t="s">
        <v>1246</v>
      </c>
      <c r="M38" t="s">
        <v>976</v>
      </c>
      <c r="N38" t="s">
        <v>1247</v>
      </c>
      <c r="O38" t="s">
        <v>1342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>
        <v>36</v>
      </c>
      <c r="B39">
        <v>3</v>
      </c>
      <c r="C39" t="s">
        <v>996</v>
      </c>
      <c r="D39">
        <v>2</v>
      </c>
      <c r="E39">
        <v>2</v>
      </c>
      <c r="F39">
        <v>1</v>
      </c>
      <c r="G39" t="s">
        <v>447</v>
      </c>
      <c r="H39">
        <v>1</v>
      </c>
      <c r="I39" t="s">
        <v>1284</v>
      </c>
      <c r="J39" t="s">
        <v>438</v>
      </c>
      <c r="K39" t="s">
        <v>1246</v>
      </c>
      <c r="M39" t="s">
        <v>996</v>
      </c>
      <c r="N39" t="s">
        <v>445</v>
      </c>
      <c r="O39" t="s">
        <v>1342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>
        <v>37</v>
      </c>
      <c r="B40">
        <v>3</v>
      </c>
      <c r="C40" t="s">
        <v>998</v>
      </c>
      <c r="D40">
        <v>1</v>
      </c>
      <c r="E40">
        <v>1</v>
      </c>
      <c r="F40">
        <v>1</v>
      </c>
      <c r="G40" t="s">
        <v>447</v>
      </c>
      <c r="H40">
        <v>1</v>
      </c>
      <c r="I40" t="s">
        <v>1285</v>
      </c>
      <c r="J40" t="s">
        <v>438</v>
      </c>
      <c r="K40" t="s">
        <v>1246</v>
      </c>
      <c r="M40" t="s">
        <v>998</v>
      </c>
      <c r="N40" t="s">
        <v>445</v>
      </c>
      <c r="O40" t="s">
        <v>1342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>
        <v>38</v>
      </c>
      <c r="B41">
        <v>3</v>
      </c>
      <c r="C41" t="s">
        <v>1000</v>
      </c>
      <c r="D41">
        <v>1</v>
      </c>
      <c r="E41">
        <v>1</v>
      </c>
      <c r="F41">
        <v>1</v>
      </c>
      <c r="G41" t="s">
        <v>447</v>
      </c>
      <c r="H41">
        <v>1</v>
      </c>
      <c r="I41" t="s">
        <v>1286</v>
      </c>
      <c r="J41" t="s">
        <v>438</v>
      </c>
      <c r="K41" t="s">
        <v>1246</v>
      </c>
      <c r="M41" t="s">
        <v>1000</v>
      </c>
      <c r="N41" t="s">
        <v>445</v>
      </c>
      <c r="O41" t="s">
        <v>1342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>
        <v>39</v>
      </c>
      <c r="B42">
        <v>3</v>
      </c>
      <c r="C42" t="s">
        <v>1002</v>
      </c>
      <c r="D42">
        <v>1</v>
      </c>
      <c r="E42">
        <v>1</v>
      </c>
      <c r="F42">
        <v>1</v>
      </c>
      <c r="G42" t="s">
        <v>447</v>
      </c>
      <c r="H42">
        <v>1</v>
      </c>
      <c r="I42" t="s">
        <v>1287</v>
      </c>
      <c r="J42" t="s">
        <v>438</v>
      </c>
      <c r="K42" t="s">
        <v>1246</v>
      </c>
      <c r="M42" t="s">
        <v>1002</v>
      </c>
      <c r="N42" t="s">
        <v>445</v>
      </c>
      <c r="O42" t="s">
        <v>1342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>
        <v>40</v>
      </c>
      <c r="B43">
        <v>3</v>
      </c>
      <c r="C43" t="s">
        <v>1004</v>
      </c>
      <c r="D43">
        <v>1</v>
      </c>
      <c r="E43">
        <v>1</v>
      </c>
      <c r="F43">
        <v>1</v>
      </c>
      <c r="G43" t="s">
        <v>447</v>
      </c>
      <c r="H43">
        <v>1</v>
      </c>
      <c r="I43" t="s">
        <v>1288</v>
      </c>
      <c r="J43" t="s">
        <v>438</v>
      </c>
      <c r="K43" t="s">
        <v>1246</v>
      </c>
      <c r="M43" t="s">
        <v>1004</v>
      </c>
      <c r="N43" t="s">
        <v>445</v>
      </c>
      <c r="O43" t="s">
        <v>1342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>
        <v>41</v>
      </c>
      <c r="B44">
        <v>3</v>
      </c>
      <c r="C44" t="s">
        <v>1006</v>
      </c>
      <c r="D44">
        <v>1</v>
      </c>
      <c r="E44">
        <v>1</v>
      </c>
      <c r="F44">
        <v>1</v>
      </c>
      <c r="G44" t="s">
        <v>447</v>
      </c>
      <c r="H44">
        <v>1</v>
      </c>
      <c r="I44" t="s">
        <v>1289</v>
      </c>
      <c r="J44" t="s">
        <v>438</v>
      </c>
      <c r="K44" t="s">
        <v>1246</v>
      </c>
      <c r="M44" t="s">
        <v>1006</v>
      </c>
      <c r="N44" t="s">
        <v>445</v>
      </c>
      <c r="O44" t="s">
        <v>1342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>
        <v>42</v>
      </c>
      <c r="B45">
        <v>3</v>
      </c>
      <c r="C45" t="s">
        <v>1008</v>
      </c>
      <c r="D45">
        <v>1</v>
      </c>
      <c r="E45">
        <v>1</v>
      </c>
      <c r="F45">
        <v>1</v>
      </c>
      <c r="G45" t="s">
        <v>447</v>
      </c>
      <c r="H45">
        <v>1</v>
      </c>
      <c r="I45" t="s">
        <v>1290</v>
      </c>
      <c r="J45" t="s">
        <v>438</v>
      </c>
      <c r="K45" t="s">
        <v>1246</v>
      </c>
      <c r="M45" t="s">
        <v>1008</v>
      </c>
      <c r="N45" t="s">
        <v>445</v>
      </c>
      <c r="O45" t="s">
        <v>1342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>
        <v>43</v>
      </c>
      <c r="B46">
        <v>3</v>
      </c>
      <c r="C46" t="s">
        <v>1010</v>
      </c>
      <c r="D46">
        <v>1</v>
      </c>
      <c r="E46">
        <v>1</v>
      </c>
      <c r="F46">
        <v>1</v>
      </c>
      <c r="G46" t="s">
        <v>447</v>
      </c>
      <c r="H46">
        <v>1</v>
      </c>
      <c r="I46" t="s">
        <v>1011</v>
      </c>
      <c r="J46" t="s">
        <v>438</v>
      </c>
      <c r="K46" t="s">
        <v>1246</v>
      </c>
      <c r="M46" t="s">
        <v>1010</v>
      </c>
      <c r="N46" t="s">
        <v>445</v>
      </c>
      <c r="O46" t="s">
        <v>1342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>
        <v>44</v>
      </c>
      <c r="B47">
        <v>3</v>
      </c>
      <c r="C47" t="s">
        <v>1020</v>
      </c>
      <c r="D47">
        <v>1</v>
      </c>
      <c r="E47">
        <v>1</v>
      </c>
      <c r="F47">
        <v>1</v>
      </c>
      <c r="G47" t="s">
        <v>447</v>
      </c>
      <c r="H47">
        <v>1</v>
      </c>
      <c r="I47" t="s">
        <v>1291</v>
      </c>
      <c r="J47" t="s">
        <v>438</v>
      </c>
      <c r="K47" t="s">
        <v>1246</v>
      </c>
      <c r="M47" t="s">
        <v>1020</v>
      </c>
      <c r="N47" t="s">
        <v>445</v>
      </c>
      <c r="O47" t="s">
        <v>1342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>
        <v>45</v>
      </c>
      <c r="B48">
        <v>3</v>
      </c>
      <c r="C48" t="s">
        <v>1022</v>
      </c>
      <c r="D48">
        <v>2</v>
      </c>
      <c r="E48">
        <v>1</v>
      </c>
      <c r="F48">
        <v>1</v>
      </c>
      <c r="G48" t="s">
        <v>447</v>
      </c>
      <c r="H48">
        <v>1</v>
      </c>
      <c r="I48" t="s">
        <v>1292</v>
      </c>
      <c r="J48" t="s">
        <v>438</v>
      </c>
      <c r="K48" t="s">
        <v>1246</v>
      </c>
      <c r="M48" t="s">
        <v>1022</v>
      </c>
      <c r="N48" t="s">
        <v>445</v>
      </c>
      <c r="O48" t="s">
        <v>1342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>
        <v>46</v>
      </c>
      <c r="B49">
        <v>3</v>
      </c>
      <c r="C49" t="s">
        <v>1024</v>
      </c>
      <c r="D49">
        <v>2</v>
      </c>
      <c r="E49">
        <v>1</v>
      </c>
      <c r="F49">
        <v>1</v>
      </c>
      <c r="G49" t="s">
        <v>447</v>
      </c>
      <c r="H49">
        <v>1</v>
      </c>
      <c r="I49" t="s">
        <v>1293</v>
      </c>
      <c r="J49" t="s">
        <v>438</v>
      </c>
      <c r="K49" t="s">
        <v>1246</v>
      </c>
      <c r="M49" t="s">
        <v>1024</v>
      </c>
      <c r="N49" t="s">
        <v>445</v>
      </c>
      <c r="O49" t="s">
        <v>1342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>
        <v>47</v>
      </c>
      <c r="B50">
        <v>3</v>
      </c>
      <c r="C50" t="s">
        <v>1032</v>
      </c>
      <c r="D50">
        <v>2</v>
      </c>
      <c r="E50">
        <v>2</v>
      </c>
      <c r="F50">
        <v>16</v>
      </c>
      <c r="G50" t="s">
        <v>544</v>
      </c>
      <c r="H50">
        <v>1</v>
      </c>
      <c r="I50" t="s">
        <v>1033</v>
      </c>
      <c r="J50" t="s">
        <v>438</v>
      </c>
      <c r="K50" t="s">
        <v>1246</v>
      </c>
      <c r="M50" t="s">
        <v>1032</v>
      </c>
      <c r="N50" t="s">
        <v>445</v>
      </c>
      <c r="O50" t="s">
        <v>1342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>
        <v>48</v>
      </c>
      <c r="B51">
        <v>3</v>
      </c>
      <c r="C51" t="s">
        <v>1060</v>
      </c>
      <c r="D51">
        <v>4</v>
      </c>
      <c r="E51">
        <v>2</v>
      </c>
      <c r="F51">
        <v>1</v>
      </c>
      <c r="G51" t="s">
        <v>589</v>
      </c>
      <c r="H51">
        <v>1</v>
      </c>
      <c r="I51" t="s">
        <v>1061</v>
      </c>
      <c r="J51" t="s">
        <v>438</v>
      </c>
      <c r="K51" t="s">
        <v>1246</v>
      </c>
      <c r="M51" t="s">
        <v>1060</v>
      </c>
      <c r="N51" t="s">
        <v>445</v>
      </c>
      <c r="O51" t="s">
        <v>1342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>
        <v>49</v>
      </c>
      <c r="B52">
        <v>3</v>
      </c>
      <c r="C52" t="s">
        <v>1062</v>
      </c>
      <c r="D52">
        <v>3</v>
      </c>
      <c r="E52">
        <v>1</v>
      </c>
      <c r="F52">
        <v>1</v>
      </c>
      <c r="G52" t="s">
        <v>589</v>
      </c>
      <c r="H52">
        <v>1</v>
      </c>
      <c r="I52" t="s">
        <v>1294</v>
      </c>
      <c r="J52" t="s">
        <v>438</v>
      </c>
      <c r="K52" t="s">
        <v>1246</v>
      </c>
      <c r="M52" t="s">
        <v>1062</v>
      </c>
      <c r="N52" t="s">
        <v>445</v>
      </c>
      <c r="O52" t="s">
        <v>1342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>
        <v>50</v>
      </c>
      <c r="B53">
        <v>2</v>
      </c>
      <c r="C53" t="s">
        <v>783</v>
      </c>
      <c r="D53">
        <v>1</v>
      </c>
      <c r="E53">
        <v>1</v>
      </c>
      <c r="F53">
        <v>1</v>
      </c>
      <c r="G53" t="s">
        <v>447</v>
      </c>
      <c r="H53">
        <v>1</v>
      </c>
      <c r="I53" t="s">
        <v>1295</v>
      </c>
      <c r="J53" t="s">
        <v>1345</v>
      </c>
      <c r="K53" t="s">
        <v>1246</v>
      </c>
      <c r="M53" t="s">
        <v>783</v>
      </c>
      <c r="N53" t="s">
        <v>445</v>
      </c>
      <c r="O53" t="s">
        <v>1342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>
        <v>51</v>
      </c>
      <c r="B54">
        <v>2</v>
      </c>
      <c r="C54" t="s">
        <v>785</v>
      </c>
      <c r="D54">
        <v>1</v>
      </c>
      <c r="E54">
        <v>1</v>
      </c>
      <c r="F54">
        <v>1</v>
      </c>
      <c r="G54" t="s">
        <v>447</v>
      </c>
      <c r="H54">
        <v>1</v>
      </c>
      <c r="I54" t="s">
        <v>1296</v>
      </c>
      <c r="J54" t="s">
        <v>1345</v>
      </c>
      <c r="K54" t="s">
        <v>1246</v>
      </c>
      <c r="M54" t="s">
        <v>785</v>
      </c>
      <c r="N54" t="s">
        <v>445</v>
      </c>
      <c r="O54" t="s">
        <v>1342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>
        <v>52</v>
      </c>
      <c r="B55">
        <v>2</v>
      </c>
      <c r="C55" t="s">
        <v>737</v>
      </c>
      <c r="D55">
        <v>2</v>
      </c>
      <c r="E55">
        <v>16</v>
      </c>
      <c r="F55">
        <v>1</v>
      </c>
      <c r="G55" t="s">
        <v>447</v>
      </c>
      <c r="H55">
        <v>1</v>
      </c>
      <c r="I55" t="s">
        <v>738</v>
      </c>
      <c r="J55" t="s">
        <v>1345</v>
      </c>
      <c r="K55" t="s">
        <v>1246</v>
      </c>
      <c r="M55" t="s">
        <v>737</v>
      </c>
      <c r="N55" t="s">
        <v>1247</v>
      </c>
      <c r="O55" t="s">
        <v>1342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>
        <v>53</v>
      </c>
      <c r="B56">
        <v>2</v>
      </c>
      <c r="C56" t="s">
        <v>739</v>
      </c>
      <c r="D56">
        <v>1</v>
      </c>
      <c r="E56">
        <v>1</v>
      </c>
      <c r="F56">
        <v>1</v>
      </c>
      <c r="G56" t="s">
        <v>447</v>
      </c>
      <c r="H56">
        <v>1</v>
      </c>
      <c r="I56" t="s">
        <v>1297</v>
      </c>
      <c r="J56" t="s">
        <v>1345</v>
      </c>
      <c r="K56" t="s">
        <v>1246</v>
      </c>
      <c r="M56" t="s">
        <v>739</v>
      </c>
      <c r="N56" t="s">
        <v>1247</v>
      </c>
      <c r="O56" t="s">
        <v>1342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>
        <v>54</v>
      </c>
      <c r="B57">
        <v>2</v>
      </c>
      <c r="C57" t="s">
        <v>741</v>
      </c>
      <c r="D57">
        <v>2</v>
      </c>
      <c r="E57">
        <v>1</v>
      </c>
      <c r="F57">
        <v>1</v>
      </c>
      <c r="G57" t="s">
        <v>447</v>
      </c>
      <c r="H57">
        <v>1</v>
      </c>
      <c r="I57" t="s">
        <v>1298</v>
      </c>
      <c r="J57" t="s">
        <v>1345</v>
      </c>
      <c r="K57" t="s">
        <v>1246</v>
      </c>
      <c r="M57" t="s">
        <v>741</v>
      </c>
      <c r="N57" t="s">
        <v>1247</v>
      </c>
      <c r="O57" t="s">
        <v>1247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>
        <v>55</v>
      </c>
      <c r="B58">
        <v>2</v>
      </c>
      <c r="C58" t="s">
        <v>743</v>
      </c>
      <c r="D58">
        <v>1</v>
      </c>
      <c r="E58">
        <v>1</v>
      </c>
      <c r="F58">
        <v>1</v>
      </c>
      <c r="G58" t="s">
        <v>447</v>
      </c>
      <c r="H58">
        <v>1</v>
      </c>
      <c r="I58" t="s">
        <v>1299</v>
      </c>
      <c r="J58" t="s">
        <v>1345</v>
      </c>
      <c r="K58" t="s">
        <v>1246</v>
      </c>
      <c r="M58" t="s">
        <v>743</v>
      </c>
      <c r="N58" t="s">
        <v>445</v>
      </c>
      <c r="O58" t="s">
        <v>1342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>
        <v>56</v>
      </c>
      <c r="B59">
        <v>2</v>
      </c>
      <c r="C59" t="s">
        <v>745</v>
      </c>
      <c r="D59">
        <v>1</v>
      </c>
      <c r="E59">
        <v>1</v>
      </c>
      <c r="F59">
        <v>1</v>
      </c>
      <c r="G59" t="s">
        <v>447</v>
      </c>
      <c r="H59">
        <v>1</v>
      </c>
      <c r="I59" t="s">
        <v>1300</v>
      </c>
      <c r="J59" t="s">
        <v>1345</v>
      </c>
      <c r="K59" t="s">
        <v>1246</v>
      </c>
      <c r="M59" t="s">
        <v>745</v>
      </c>
      <c r="N59" t="s">
        <v>1247</v>
      </c>
      <c r="O59" t="s">
        <v>1243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>
        <v>57</v>
      </c>
      <c r="B60">
        <v>2</v>
      </c>
      <c r="C60" t="s">
        <v>749</v>
      </c>
      <c r="D60">
        <v>1</v>
      </c>
      <c r="E60">
        <v>1</v>
      </c>
      <c r="F60">
        <v>1</v>
      </c>
      <c r="G60" t="s">
        <v>447</v>
      </c>
      <c r="H60">
        <v>1</v>
      </c>
      <c r="I60" t="s">
        <v>1301</v>
      </c>
      <c r="J60" t="s">
        <v>1345</v>
      </c>
      <c r="K60" t="s">
        <v>1246</v>
      </c>
      <c r="M60" t="s">
        <v>749</v>
      </c>
      <c r="N60" t="s">
        <v>445</v>
      </c>
      <c r="O60" t="s">
        <v>1342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>
        <v>58</v>
      </c>
      <c r="B61">
        <v>2</v>
      </c>
      <c r="C61" t="s">
        <v>751</v>
      </c>
      <c r="D61">
        <v>1</v>
      </c>
      <c r="E61">
        <v>1</v>
      </c>
      <c r="F61">
        <v>1</v>
      </c>
      <c r="G61" t="s">
        <v>447</v>
      </c>
      <c r="H61">
        <v>4</v>
      </c>
      <c r="I61" t="s">
        <v>1302</v>
      </c>
      <c r="J61" t="s">
        <v>1345</v>
      </c>
      <c r="K61" t="s">
        <v>1246</v>
      </c>
      <c r="M61" t="s">
        <v>751</v>
      </c>
      <c r="N61" t="s">
        <v>1247</v>
      </c>
      <c r="O61" t="s">
        <v>1243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>
        <v>59</v>
      </c>
      <c r="B62">
        <v>2</v>
      </c>
      <c r="C62" t="s">
        <v>759</v>
      </c>
      <c r="D62">
        <v>1</v>
      </c>
      <c r="E62">
        <v>1</v>
      </c>
      <c r="F62">
        <v>1</v>
      </c>
      <c r="G62" t="s">
        <v>447</v>
      </c>
      <c r="H62">
        <v>1</v>
      </c>
      <c r="I62" t="s">
        <v>760</v>
      </c>
      <c r="J62" t="s">
        <v>1345</v>
      </c>
      <c r="K62" t="s">
        <v>1246</v>
      </c>
      <c r="M62" t="s">
        <v>759</v>
      </c>
      <c r="N62" t="s">
        <v>1247</v>
      </c>
      <c r="O62" t="s">
        <v>1243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>
        <v>60</v>
      </c>
      <c r="B63">
        <v>2</v>
      </c>
      <c r="C63" t="s">
        <v>761</v>
      </c>
      <c r="D63">
        <v>1</v>
      </c>
      <c r="E63">
        <v>1</v>
      </c>
      <c r="F63">
        <v>1</v>
      </c>
      <c r="G63" t="s">
        <v>447</v>
      </c>
      <c r="H63">
        <v>1</v>
      </c>
      <c r="I63" t="s">
        <v>1303</v>
      </c>
      <c r="J63" t="s">
        <v>1345</v>
      </c>
      <c r="K63" t="s">
        <v>1246</v>
      </c>
      <c r="M63" t="s">
        <v>761</v>
      </c>
      <c r="N63" t="s">
        <v>445</v>
      </c>
      <c r="O63" t="s">
        <v>1243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>
        <v>61</v>
      </c>
      <c r="B64">
        <v>2</v>
      </c>
      <c r="C64" t="s">
        <v>763</v>
      </c>
      <c r="D64">
        <v>1</v>
      </c>
      <c r="E64">
        <v>1</v>
      </c>
      <c r="F64">
        <v>1</v>
      </c>
      <c r="G64" t="s">
        <v>447</v>
      </c>
      <c r="H64">
        <v>1</v>
      </c>
      <c r="I64" t="s">
        <v>1304</v>
      </c>
      <c r="J64" t="s">
        <v>1345</v>
      </c>
      <c r="K64" t="s">
        <v>1246</v>
      </c>
      <c r="M64" t="s">
        <v>763</v>
      </c>
      <c r="N64" t="s">
        <v>1247</v>
      </c>
      <c r="O64" t="s">
        <v>1243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>
        <v>62</v>
      </c>
      <c r="B65">
        <v>2</v>
      </c>
      <c r="C65" t="s">
        <v>765</v>
      </c>
      <c r="D65">
        <v>1</v>
      </c>
      <c r="E65">
        <v>1</v>
      </c>
      <c r="F65">
        <v>1</v>
      </c>
      <c r="G65" t="s">
        <v>447</v>
      </c>
      <c r="H65">
        <v>1</v>
      </c>
      <c r="I65" t="s">
        <v>1305</v>
      </c>
      <c r="J65" t="s">
        <v>1345</v>
      </c>
      <c r="K65" t="s">
        <v>1246</v>
      </c>
      <c r="M65" t="s">
        <v>765</v>
      </c>
      <c r="N65" t="s">
        <v>1247</v>
      </c>
      <c r="O65" t="s">
        <v>1342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>
        <v>63</v>
      </c>
      <c r="B66">
        <v>2</v>
      </c>
      <c r="C66" t="s">
        <v>767</v>
      </c>
      <c r="D66">
        <v>16</v>
      </c>
      <c r="E66">
        <v>1</v>
      </c>
      <c r="F66">
        <v>1</v>
      </c>
      <c r="G66" t="s">
        <v>447</v>
      </c>
      <c r="H66">
        <v>1</v>
      </c>
      <c r="I66" t="s">
        <v>1306</v>
      </c>
      <c r="J66" t="s">
        <v>1345</v>
      </c>
      <c r="K66" t="s">
        <v>1246</v>
      </c>
      <c r="M66" t="s">
        <v>767</v>
      </c>
      <c r="N66" t="s">
        <v>1247</v>
      </c>
      <c r="O66" t="s">
        <v>1342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>
        <v>64</v>
      </c>
      <c r="B67">
        <v>2</v>
      </c>
      <c r="C67" t="s">
        <v>771</v>
      </c>
      <c r="D67">
        <v>1</v>
      </c>
      <c r="E67">
        <v>1</v>
      </c>
      <c r="F67">
        <v>1</v>
      </c>
      <c r="G67" t="s">
        <v>447</v>
      </c>
      <c r="H67">
        <v>1</v>
      </c>
      <c r="I67" t="s">
        <v>1307</v>
      </c>
      <c r="J67" t="s">
        <v>1345</v>
      </c>
      <c r="K67" t="s">
        <v>1246</v>
      </c>
      <c r="M67" t="s">
        <v>771</v>
      </c>
      <c r="N67" t="s">
        <v>1247</v>
      </c>
      <c r="O67" t="s">
        <v>1342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>
        <v>65</v>
      </c>
      <c r="B68">
        <v>2</v>
      </c>
      <c r="C68" t="s">
        <v>773</v>
      </c>
      <c r="D68">
        <v>1</v>
      </c>
      <c r="E68">
        <v>1</v>
      </c>
      <c r="F68">
        <v>1</v>
      </c>
      <c r="G68" t="s">
        <v>447</v>
      </c>
      <c r="H68">
        <v>1</v>
      </c>
      <c r="I68" t="s">
        <v>1308</v>
      </c>
      <c r="J68" t="s">
        <v>1345</v>
      </c>
      <c r="K68" t="s">
        <v>1246</v>
      </c>
      <c r="M68" t="s">
        <v>773</v>
      </c>
      <c r="N68" t="s">
        <v>1247</v>
      </c>
      <c r="O68" t="s">
        <v>1342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>
        <v>66</v>
      </c>
      <c r="B69">
        <v>2</v>
      </c>
      <c r="C69" t="s">
        <v>775</v>
      </c>
      <c r="D69">
        <v>1</v>
      </c>
      <c r="E69">
        <v>1</v>
      </c>
      <c r="F69">
        <v>1</v>
      </c>
      <c r="G69" t="s">
        <v>447</v>
      </c>
      <c r="H69">
        <v>1</v>
      </c>
      <c r="I69" t="s">
        <v>1309</v>
      </c>
      <c r="J69" t="s">
        <v>1345</v>
      </c>
      <c r="K69" t="s">
        <v>1246</v>
      </c>
      <c r="M69" t="s">
        <v>775</v>
      </c>
      <c r="N69" t="s">
        <v>445</v>
      </c>
      <c r="O69" t="s">
        <v>1342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25">
      <c r="A70">
        <v>67</v>
      </c>
      <c r="B70">
        <v>2</v>
      </c>
      <c r="C70" t="s">
        <v>777</v>
      </c>
      <c r="D70">
        <v>1</v>
      </c>
      <c r="E70">
        <v>1</v>
      </c>
      <c r="F70">
        <v>1</v>
      </c>
      <c r="G70" t="s">
        <v>447</v>
      </c>
      <c r="H70">
        <v>1</v>
      </c>
      <c r="I70" t="s">
        <v>1310</v>
      </c>
      <c r="J70" t="s">
        <v>1345</v>
      </c>
      <c r="K70" t="s">
        <v>1246</v>
      </c>
      <c r="M70" t="s">
        <v>777</v>
      </c>
      <c r="N70" t="s">
        <v>1247</v>
      </c>
      <c r="O70" t="s">
        <v>1247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>
        <v>68</v>
      </c>
      <c r="B71">
        <v>2</v>
      </c>
      <c r="C71" t="s">
        <v>779</v>
      </c>
      <c r="D71">
        <v>1</v>
      </c>
      <c r="E71">
        <v>1</v>
      </c>
      <c r="F71">
        <v>1</v>
      </c>
      <c r="G71" t="s">
        <v>447</v>
      </c>
      <c r="H71">
        <v>1</v>
      </c>
      <c r="I71" t="s">
        <v>1311</v>
      </c>
      <c r="J71" t="s">
        <v>1345</v>
      </c>
      <c r="K71" t="s">
        <v>1246</v>
      </c>
      <c r="M71" t="s">
        <v>779</v>
      </c>
      <c r="N71" t="s">
        <v>1247</v>
      </c>
      <c r="O71" t="s">
        <v>1247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>
        <v>69</v>
      </c>
      <c r="B72">
        <v>2</v>
      </c>
      <c r="C72" t="s">
        <v>787</v>
      </c>
      <c r="D72">
        <v>1</v>
      </c>
      <c r="E72">
        <v>1</v>
      </c>
      <c r="F72">
        <v>1</v>
      </c>
      <c r="G72" t="s">
        <v>447</v>
      </c>
      <c r="H72">
        <v>1</v>
      </c>
      <c r="I72" t="s">
        <v>1312</v>
      </c>
      <c r="J72" t="s">
        <v>1345</v>
      </c>
      <c r="K72" t="s">
        <v>1246</v>
      </c>
      <c r="M72" t="s">
        <v>787</v>
      </c>
      <c r="N72" t="s">
        <v>1247</v>
      </c>
      <c r="O72" t="s">
        <v>1342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>
        <v>70</v>
      </c>
      <c r="B73">
        <v>2</v>
      </c>
      <c r="C73" t="s">
        <v>892</v>
      </c>
      <c r="D73">
        <v>2</v>
      </c>
      <c r="E73">
        <v>1</v>
      </c>
      <c r="F73">
        <v>1</v>
      </c>
      <c r="G73" t="s">
        <v>447</v>
      </c>
      <c r="H73">
        <v>4</v>
      </c>
      <c r="I73" t="s">
        <v>893</v>
      </c>
      <c r="J73" t="s">
        <v>1345</v>
      </c>
      <c r="K73" t="s">
        <v>1246</v>
      </c>
      <c r="M73" t="s">
        <v>892</v>
      </c>
      <c r="N73" t="s">
        <v>445</v>
      </c>
      <c r="O73" t="s">
        <v>1342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>
        <v>71</v>
      </c>
      <c r="B74">
        <v>2</v>
      </c>
      <c r="C74" t="s">
        <v>894</v>
      </c>
      <c r="D74">
        <v>2</v>
      </c>
      <c r="E74">
        <v>1</v>
      </c>
      <c r="F74">
        <v>1</v>
      </c>
      <c r="G74" t="s">
        <v>447</v>
      </c>
      <c r="H74">
        <v>4</v>
      </c>
      <c r="I74" t="s">
        <v>895</v>
      </c>
      <c r="J74" t="s">
        <v>1345</v>
      </c>
      <c r="K74" t="s">
        <v>1246</v>
      </c>
      <c r="M74" t="s">
        <v>894</v>
      </c>
      <c r="N74" t="s">
        <v>445</v>
      </c>
      <c r="O74" t="s">
        <v>1342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>
        <v>72</v>
      </c>
      <c r="B75">
        <v>2</v>
      </c>
      <c r="C75" t="s">
        <v>948</v>
      </c>
      <c r="D75">
        <v>1</v>
      </c>
      <c r="E75">
        <v>1</v>
      </c>
      <c r="F75">
        <v>1</v>
      </c>
      <c r="G75" t="s">
        <v>544</v>
      </c>
      <c r="H75">
        <v>4</v>
      </c>
      <c r="I75" t="s">
        <v>949</v>
      </c>
      <c r="J75" t="s">
        <v>1345</v>
      </c>
      <c r="K75" t="s">
        <v>1246</v>
      </c>
      <c r="M75" t="s">
        <v>948</v>
      </c>
      <c r="N75" t="s">
        <v>1247</v>
      </c>
      <c r="O75" t="s">
        <v>1342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x14ac:dyDescent="0.25">
      <c r="A76">
        <v>73</v>
      </c>
      <c r="B76">
        <v>2</v>
      </c>
      <c r="C76" t="s">
        <v>950</v>
      </c>
      <c r="D76">
        <v>2</v>
      </c>
      <c r="E76">
        <v>16</v>
      </c>
      <c r="F76">
        <v>1</v>
      </c>
      <c r="G76" t="s">
        <v>544</v>
      </c>
      <c r="H76">
        <v>1</v>
      </c>
      <c r="I76" t="s">
        <v>1313</v>
      </c>
      <c r="J76" t="s">
        <v>1345</v>
      </c>
      <c r="K76" t="s">
        <v>1246</v>
      </c>
      <c r="M76" t="s">
        <v>950</v>
      </c>
      <c r="N76" t="s">
        <v>1247</v>
      </c>
      <c r="O76" t="s">
        <v>1342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x14ac:dyDescent="0.25">
      <c r="A77">
        <v>74</v>
      </c>
      <c r="B77">
        <v>2</v>
      </c>
      <c r="C77" t="s">
        <v>956</v>
      </c>
      <c r="D77">
        <v>1</v>
      </c>
      <c r="E77">
        <v>1</v>
      </c>
      <c r="F77">
        <v>1</v>
      </c>
      <c r="G77" t="s">
        <v>544</v>
      </c>
      <c r="H77">
        <v>1</v>
      </c>
      <c r="I77" t="s">
        <v>1314</v>
      </c>
      <c r="J77" t="s">
        <v>1345</v>
      </c>
      <c r="K77" t="s">
        <v>1246</v>
      </c>
      <c r="M77" t="s">
        <v>956</v>
      </c>
      <c r="N77" t="s">
        <v>445</v>
      </c>
      <c r="O77" t="s">
        <v>1342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x14ac:dyDescent="0.25">
      <c r="A78">
        <v>75</v>
      </c>
      <c r="B78">
        <v>2</v>
      </c>
      <c r="C78" t="s">
        <v>964</v>
      </c>
      <c r="D78">
        <v>1</v>
      </c>
      <c r="E78">
        <v>1</v>
      </c>
      <c r="F78">
        <v>1</v>
      </c>
      <c r="G78" t="s">
        <v>544</v>
      </c>
      <c r="H78">
        <v>4</v>
      </c>
      <c r="I78" t="s">
        <v>965</v>
      </c>
      <c r="J78" t="s">
        <v>1345</v>
      </c>
      <c r="K78" t="s">
        <v>1246</v>
      </c>
      <c r="M78" t="s">
        <v>964</v>
      </c>
      <c r="N78" t="s">
        <v>1247</v>
      </c>
      <c r="O78" t="s">
        <v>1342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 x14ac:dyDescent="0.25">
      <c r="A79">
        <v>76</v>
      </c>
      <c r="B79">
        <v>2</v>
      </c>
      <c r="C79" t="s">
        <v>966</v>
      </c>
      <c r="D79">
        <v>1</v>
      </c>
      <c r="E79">
        <v>1</v>
      </c>
      <c r="F79">
        <v>1</v>
      </c>
      <c r="G79" t="s">
        <v>544</v>
      </c>
      <c r="H79">
        <v>4</v>
      </c>
      <c r="I79" t="s">
        <v>967</v>
      </c>
      <c r="J79" t="s">
        <v>1345</v>
      </c>
      <c r="K79" t="s">
        <v>1246</v>
      </c>
      <c r="M79" t="s">
        <v>966</v>
      </c>
      <c r="N79" t="s">
        <v>1247</v>
      </c>
      <c r="O79" t="s">
        <v>1342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x14ac:dyDescent="0.25">
      <c r="A80">
        <v>77</v>
      </c>
      <c r="B80">
        <v>2</v>
      </c>
      <c r="C80" t="s">
        <v>974</v>
      </c>
      <c r="D80">
        <v>4</v>
      </c>
      <c r="E80">
        <v>2</v>
      </c>
      <c r="F80">
        <v>1</v>
      </c>
      <c r="G80" t="s">
        <v>589</v>
      </c>
      <c r="H80">
        <v>1</v>
      </c>
      <c r="I80" t="s">
        <v>1315</v>
      </c>
      <c r="J80" t="s">
        <v>1345</v>
      </c>
      <c r="K80" t="s">
        <v>1246</v>
      </c>
      <c r="M80" t="s">
        <v>974</v>
      </c>
      <c r="N80" t="s">
        <v>1247</v>
      </c>
      <c r="O80" t="s">
        <v>1342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x14ac:dyDescent="0.25">
      <c r="A81">
        <v>78</v>
      </c>
      <c r="B81">
        <v>2</v>
      </c>
      <c r="C81" t="s">
        <v>978</v>
      </c>
      <c r="D81">
        <v>1</v>
      </c>
      <c r="E81">
        <v>1</v>
      </c>
      <c r="F81">
        <v>1</v>
      </c>
      <c r="G81" t="s">
        <v>589</v>
      </c>
      <c r="H81">
        <v>1</v>
      </c>
      <c r="I81" t="s">
        <v>1316</v>
      </c>
      <c r="J81" t="s">
        <v>1345</v>
      </c>
      <c r="K81" t="s">
        <v>1246</v>
      </c>
      <c r="M81" t="s">
        <v>978</v>
      </c>
      <c r="N81" t="s">
        <v>1247</v>
      </c>
      <c r="O81" t="s">
        <v>1342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25">
      <c r="A82">
        <v>79</v>
      </c>
      <c r="B82">
        <v>2</v>
      </c>
      <c r="C82" t="s">
        <v>888</v>
      </c>
      <c r="D82">
        <v>1</v>
      </c>
      <c r="E82">
        <v>1</v>
      </c>
      <c r="F82">
        <v>1</v>
      </c>
      <c r="G82" t="s">
        <v>447</v>
      </c>
      <c r="H82">
        <v>5</v>
      </c>
      <c r="I82" t="s">
        <v>889</v>
      </c>
      <c r="J82" t="s">
        <v>1345</v>
      </c>
      <c r="K82" t="s">
        <v>1246</v>
      </c>
      <c r="M82" t="s">
        <v>888</v>
      </c>
      <c r="N82" t="s">
        <v>445</v>
      </c>
      <c r="O82" t="s">
        <v>1342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x14ac:dyDescent="0.25">
      <c r="A83">
        <v>80</v>
      </c>
      <c r="B83">
        <v>2</v>
      </c>
      <c r="C83" t="s">
        <v>890</v>
      </c>
      <c r="D83">
        <v>1</v>
      </c>
      <c r="E83">
        <v>1</v>
      </c>
      <c r="F83">
        <v>1</v>
      </c>
      <c r="G83" t="s">
        <v>447</v>
      </c>
      <c r="H83">
        <v>5</v>
      </c>
      <c r="I83" t="s">
        <v>891</v>
      </c>
      <c r="J83" t="s">
        <v>1345</v>
      </c>
      <c r="K83" t="s">
        <v>1246</v>
      </c>
      <c r="M83" t="s">
        <v>890</v>
      </c>
      <c r="N83" t="s">
        <v>445</v>
      </c>
      <c r="O83" t="s">
        <v>1342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x14ac:dyDescent="0.25">
      <c r="A84">
        <v>81</v>
      </c>
      <c r="B84">
        <v>3</v>
      </c>
      <c r="C84" t="s">
        <v>990</v>
      </c>
      <c r="D84">
        <v>1</v>
      </c>
      <c r="E84">
        <v>1</v>
      </c>
      <c r="F84">
        <v>1</v>
      </c>
      <c r="G84" t="s">
        <v>447</v>
      </c>
      <c r="H84">
        <v>1</v>
      </c>
      <c r="I84" t="s">
        <v>1317</v>
      </c>
      <c r="J84" t="s">
        <v>1345</v>
      </c>
      <c r="K84" t="s">
        <v>1246</v>
      </c>
      <c r="M84" t="s">
        <v>990</v>
      </c>
      <c r="N84" t="s">
        <v>445</v>
      </c>
      <c r="O84" t="s">
        <v>1342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x14ac:dyDescent="0.25">
      <c r="A85">
        <v>82</v>
      </c>
      <c r="B85">
        <v>3</v>
      </c>
      <c r="C85" t="s">
        <v>992</v>
      </c>
      <c r="D85">
        <v>1</v>
      </c>
      <c r="E85">
        <v>1</v>
      </c>
      <c r="F85">
        <v>1</v>
      </c>
      <c r="G85" t="s">
        <v>447</v>
      </c>
      <c r="H85">
        <v>1</v>
      </c>
      <c r="I85" t="s">
        <v>1318</v>
      </c>
      <c r="J85" t="s">
        <v>1345</v>
      </c>
      <c r="K85" t="s">
        <v>1246</v>
      </c>
      <c r="M85" t="s">
        <v>992</v>
      </c>
      <c r="N85" t="s">
        <v>445</v>
      </c>
      <c r="O85" t="s">
        <v>1342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 x14ac:dyDescent="0.25">
      <c r="A86">
        <v>83</v>
      </c>
      <c r="B86">
        <v>3</v>
      </c>
      <c r="C86" t="s">
        <v>994</v>
      </c>
      <c r="D86">
        <v>1</v>
      </c>
      <c r="E86">
        <v>1</v>
      </c>
      <c r="F86">
        <v>1</v>
      </c>
      <c r="G86" t="s">
        <v>447</v>
      </c>
      <c r="H86">
        <v>1</v>
      </c>
      <c r="I86" t="s">
        <v>1319</v>
      </c>
      <c r="J86" t="s">
        <v>1345</v>
      </c>
      <c r="K86" t="s">
        <v>1246</v>
      </c>
      <c r="M86" t="s">
        <v>994</v>
      </c>
      <c r="N86" t="s">
        <v>445</v>
      </c>
      <c r="O86" t="s">
        <v>1342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 x14ac:dyDescent="0.25">
      <c r="A87">
        <v>84</v>
      </c>
      <c r="B87">
        <v>3</v>
      </c>
      <c r="C87" t="s">
        <v>1014</v>
      </c>
      <c r="D87">
        <v>1</v>
      </c>
      <c r="E87">
        <v>1</v>
      </c>
      <c r="F87">
        <v>1</v>
      </c>
      <c r="G87" t="s">
        <v>447</v>
      </c>
      <c r="H87">
        <v>1</v>
      </c>
      <c r="I87" t="s">
        <v>1320</v>
      </c>
      <c r="J87" t="s">
        <v>1345</v>
      </c>
      <c r="K87" t="s">
        <v>1246</v>
      </c>
      <c r="M87" t="s">
        <v>1014</v>
      </c>
      <c r="N87" t="s">
        <v>445</v>
      </c>
      <c r="O87" t="s">
        <v>1342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 x14ac:dyDescent="0.25">
      <c r="A88">
        <v>85</v>
      </c>
      <c r="B88">
        <v>3</v>
      </c>
      <c r="C88" t="s">
        <v>1016</v>
      </c>
      <c r="D88">
        <v>1</v>
      </c>
      <c r="E88">
        <v>1</v>
      </c>
      <c r="F88">
        <v>1</v>
      </c>
      <c r="G88" t="s">
        <v>447</v>
      </c>
      <c r="H88">
        <v>1</v>
      </c>
      <c r="I88" t="s">
        <v>1321</v>
      </c>
      <c r="J88" t="s">
        <v>1345</v>
      </c>
      <c r="K88" t="s">
        <v>1246</v>
      </c>
      <c r="M88" t="s">
        <v>1016</v>
      </c>
      <c r="N88" t="s">
        <v>445</v>
      </c>
      <c r="O88" t="s">
        <v>1342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 x14ac:dyDescent="0.25">
      <c r="A89">
        <v>86</v>
      </c>
      <c r="B89">
        <v>3</v>
      </c>
      <c r="C89" t="s">
        <v>1018</v>
      </c>
      <c r="D89">
        <v>1</v>
      </c>
      <c r="E89">
        <v>1</v>
      </c>
      <c r="F89">
        <v>1</v>
      </c>
      <c r="G89" t="s">
        <v>447</v>
      </c>
      <c r="H89">
        <v>1</v>
      </c>
      <c r="I89" t="s">
        <v>1322</v>
      </c>
      <c r="J89" t="s">
        <v>1345</v>
      </c>
      <c r="K89" t="s">
        <v>1246</v>
      </c>
      <c r="M89" t="s">
        <v>1018</v>
      </c>
      <c r="N89" t="s">
        <v>445</v>
      </c>
      <c r="O89" t="s">
        <v>1342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 x14ac:dyDescent="0.25">
      <c r="A90">
        <v>87</v>
      </c>
      <c r="B90">
        <v>3</v>
      </c>
      <c r="C90" t="s">
        <v>1028</v>
      </c>
      <c r="D90">
        <v>6</v>
      </c>
      <c r="E90">
        <v>1</v>
      </c>
      <c r="F90">
        <v>1</v>
      </c>
      <c r="G90" t="s">
        <v>544</v>
      </c>
      <c r="H90">
        <v>1</v>
      </c>
      <c r="I90" t="s">
        <v>1323</v>
      </c>
      <c r="J90" t="s">
        <v>1345</v>
      </c>
      <c r="K90" t="s">
        <v>1246</v>
      </c>
      <c r="M90" t="s">
        <v>1028</v>
      </c>
      <c r="N90" t="s">
        <v>445</v>
      </c>
      <c r="O90" t="s">
        <v>1342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 x14ac:dyDescent="0.25">
      <c r="A91">
        <v>88</v>
      </c>
      <c r="B91">
        <v>3</v>
      </c>
      <c r="C91" t="s">
        <v>1034</v>
      </c>
      <c r="D91">
        <v>6</v>
      </c>
      <c r="E91">
        <v>1</v>
      </c>
      <c r="F91">
        <v>1</v>
      </c>
      <c r="G91" t="s">
        <v>544</v>
      </c>
      <c r="H91">
        <v>1</v>
      </c>
      <c r="I91" t="s">
        <v>1324</v>
      </c>
      <c r="J91" t="s">
        <v>1345</v>
      </c>
      <c r="K91" t="s">
        <v>1246</v>
      </c>
      <c r="M91" t="s">
        <v>1034</v>
      </c>
      <c r="N91" t="s">
        <v>445</v>
      </c>
      <c r="O91" t="s">
        <v>1342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 x14ac:dyDescent="0.25">
      <c r="A92">
        <v>89</v>
      </c>
      <c r="B92">
        <v>3</v>
      </c>
      <c r="C92" t="s">
        <v>1050</v>
      </c>
      <c r="D92">
        <v>1</v>
      </c>
      <c r="E92">
        <v>1</v>
      </c>
      <c r="F92">
        <v>1</v>
      </c>
      <c r="G92" t="s">
        <v>589</v>
      </c>
      <c r="H92">
        <v>1</v>
      </c>
      <c r="I92" t="s">
        <v>1325</v>
      </c>
      <c r="J92" t="s">
        <v>1345</v>
      </c>
      <c r="K92" t="s">
        <v>1246</v>
      </c>
      <c r="M92" t="s">
        <v>1050</v>
      </c>
      <c r="N92" t="s">
        <v>445</v>
      </c>
      <c r="O92" t="s">
        <v>1342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 x14ac:dyDescent="0.25">
      <c r="A93">
        <v>90</v>
      </c>
      <c r="B93">
        <v>3</v>
      </c>
      <c r="C93" t="s">
        <v>1052</v>
      </c>
      <c r="D93">
        <v>8</v>
      </c>
      <c r="E93">
        <v>1</v>
      </c>
      <c r="F93">
        <v>1</v>
      </c>
      <c r="G93" t="s">
        <v>589</v>
      </c>
      <c r="H93">
        <v>1</v>
      </c>
      <c r="I93" t="s">
        <v>1326</v>
      </c>
      <c r="J93" t="s">
        <v>1345</v>
      </c>
      <c r="K93" t="s">
        <v>1246</v>
      </c>
      <c r="M93" t="s">
        <v>1052</v>
      </c>
      <c r="N93" t="s">
        <v>1247</v>
      </c>
      <c r="O93" t="s">
        <v>1342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 x14ac:dyDescent="0.25">
      <c r="A94">
        <v>91</v>
      </c>
      <c r="B94">
        <v>3</v>
      </c>
      <c r="C94" t="s">
        <v>1054</v>
      </c>
      <c r="D94">
        <v>8</v>
      </c>
      <c r="E94">
        <v>1</v>
      </c>
      <c r="F94">
        <v>1</v>
      </c>
      <c r="G94" t="s">
        <v>589</v>
      </c>
      <c r="H94">
        <v>1</v>
      </c>
      <c r="I94" t="s">
        <v>1327</v>
      </c>
      <c r="J94" t="s">
        <v>1345</v>
      </c>
      <c r="K94" t="s">
        <v>1246</v>
      </c>
      <c r="M94" t="s">
        <v>1054</v>
      </c>
      <c r="N94" t="s">
        <v>1247</v>
      </c>
      <c r="O94" t="s">
        <v>1342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 x14ac:dyDescent="0.25">
      <c r="A95">
        <v>92</v>
      </c>
      <c r="B95">
        <v>3</v>
      </c>
      <c r="C95" t="s">
        <v>1056</v>
      </c>
      <c r="D95">
        <v>1</v>
      </c>
      <c r="E95">
        <v>1</v>
      </c>
      <c r="F95">
        <v>1</v>
      </c>
      <c r="G95" t="s">
        <v>589</v>
      </c>
      <c r="H95">
        <v>1</v>
      </c>
      <c r="I95" t="s">
        <v>1328</v>
      </c>
      <c r="J95" t="s">
        <v>1345</v>
      </c>
      <c r="K95" t="s">
        <v>1246</v>
      </c>
      <c r="M95" t="s">
        <v>1056</v>
      </c>
      <c r="N95" t="s">
        <v>445</v>
      </c>
      <c r="O95" t="s">
        <v>1342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 x14ac:dyDescent="0.25">
      <c r="A96">
        <v>93</v>
      </c>
      <c r="B96">
        <v>3</v>
      </c>
      <c r="C96" t="s">
        <v>1058</v>
      </c>
      <c r="D96">
        <v>1</v>
      </c>
      <c r="E96">
        <v>1</v>
      </c>
      <c r="F96">
        <v>1</v>
      </c>
      <c r="G96" t="s">
        <v>589</v>
      </c>
      <c r="H96">
        <v>1</v>
      </c>
      <c r="I96" t="s">
        <v>1329</v>
      </c>
      <c r="J96" t="s">
        <v>1345</v>
      </c>
      <c r="K96" t="s">
        <v>1246</v>
      </c>
      <c r="M96" t="s">
        <v>1058</v>
      </c>
      <c r="N96" t="s">
        <v>1247</v>
      </c>
      <c r="O96" t="s">
        <v>1342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 x14ac:dyDescent="0.25">
      <c r="A97">
        <v>94</v>
      </c>
      <c r="B97">
        <v>1</v>
      </c>
      <c r="C97" t="s">
        <v>690</v>
      </c>
      <c r="D97">
        <v>4</v>
      </c>
      <c r="E97">
        <v>2</v>
      </c>
      <c r="F97">
        <v>1</v>
      </c>
      <c r="G97" t="s">
        <v>589</v>
      </c>
      <c r="H97">
        <v>3</v>
      </c>
      <c r="I97" t="s">
        <v>691</v>
      </c>
      <c r="J97" t="s">
        <v>439</v>
      </c>
      <c r="K97" t="s">
        <v>1246</v>
      </c>
      <c r="M97" t="s">
        <v>690</v>
      </c>
      <c r="N97" t="s">
        <v>445</v>
      </c>
      <c r="O97" t="s">
        <v>1342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 x14ac:dyDescent="0.25">
      <c r="A98">
        <v>95</v>
      </c>
      <c r="B98">
        <v>1</v>
      </c>
      <c r="C98" t="s">
        <v>692</v>
      </c>
      <c r="D98">
        <v>2</v>
      </c>
      <c r="E98">
        <v>1</v>
      </c>
      <c r="F98">
        <v>1</v>
      </c>
      <c r="G98" t="s">
        <v>589</v>
      </c>
      <c r="H98">
        <v>3</v>
      </c>
      <c r="I98" t="s">
        <v>693</v>
      </c>
      <c r="J98" t="s">
        <v>439</v>
      </c>
      <c r="K98" t="s">
        <v>1246</v>
      </c>
      <c r="M98" t="s">
        <v>692</v>
      </c>
      <c r="N98" t="s">
        <v>445</v>
      </c>
      <c r="O98" t="s">
        <v>1247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 x14ac:dyDescent="0.25">
      <c r="A99">
        <v>96</v>
      </c>
      <c r="B99">
        <v>1</v>
      </c>
      <c r="C99" t="s">
        <v>523</v>
      </c>
      <c r="D99">
        <v>2</v>
      </c>
      <c r="E99">
        <v>1</v>
      </c>
      <c r="F99">
        <v>1</v>
      </c>
      <c r="G99" t="s">
        <v>447</v>
      </c>
      <c r="H99">
        <v>3</v>
      </c>
      <c r="I99" t="s">
        <v>524</v>
      </c>
      <c r="J99" t="s">
        <v>439</v>
      </c>
      <c r="K99" t="s">
        <v>1246</v>
      </c>
      <c r="M99" t="s">
        <v>523</v>
      </c>
      <c r="N99" t="s">
        <v>445</v>
      </c>
      <c r="O99" t="s">
        <v>1344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 x14ac:dyDescent="0.25">
      <c r="A100">
        <v>97</v>
      </c>
      <c r="B100">
        <v>2</v>
      </c>
      <c r="C100" t="s">
        <v>781</v>
      </c>
      <c r="D100">
        <v>6</v>
      </c>
      <c r="E100">
        <v>1</v>
      </c>
      <c r="F100">
        <v>1</v>
      </c>
      <c r="G100" t="s">
        <v>447</v>
      </c>
      <c r="H100">
        <v>1</v>
      </c>
      <c r="I100" t="s">
        <v>1330</v>
      </c>
      <c r="J100" t="s">
        <v>439</v>
      </c>
      <c r="K100" t="s">
        <v>1246</v>
      </c>
      <c r="M100" t="s">
        <v>781</v>
      </c>
      <c r="N100" t="s">
        <v>445</v>
      </c>
      <c r="O100" t="s">
        <v>1342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 x14ac:dyDescent="0.25">
      <c r="A101">
        <v>98</v>
      </c>
      <c r="B101">
        <v>2</v>
      </c>
      <c r="C101" t="s">
        <v>747</v>
      </c>
      <c r="D101">
        <v>1</v>
      </c>
      <c r="E101">
        <v>1</v>
      </c>
      <c r="F101">
        <v>1</v>
      </c>
      <c r="G101" t="s">
        <v>447</v>
      </c>
      <c r="H101">
        <v>1</v>
      </c>
      <c r="I101" t="s">
        <v>748</v>
      </c>
      <c r="J101" t="s">
        <v>439</v>
      </c>
      <c r="K101" t="s">
        <v>1246</v>
      </c>
      <c r="M101" t="s">
        <v>747</v>
      </c>
      <c r="N101" t="s">
        <v>445</v>
      </c>
      <c r="O101" t="s">
        <v>1342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 spans="1:22" x14ac:dyDescent="0.25">
      <c r="A102">
        <v>99</v>
      </c>
      <c r="B102">
        <v>2</v>
      </c>
      <c r="C102" t="s">
        <v>769</v>
      </c>
      <c r="D102">
        <v>1</v>
      </c>
      <c r="E102">
        <v>1</v>
      </c>
      <c r="F102">
        <v>1</v>
      </c>
      <c r="G102" t="s">
        <v>447</v>
      </c>
      <c r="H102">
        <v>1</v>
      </c>
      <c r="I102" t="s">
        <v>1331</v>
      </c>
      <c r="J102" t="s">
        <v>439</v>
      </c>
      <c r="K102" t="s">
        <v>1246</v>
      </c>
      <c r="M102" t="s">
        <v>769</v>
      </c>
      <c r="N102" t="s">
        <v>1247</v>
      </c>
      <c r="O102" t="s">
        <v>1342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 x14ac:dyDescent="0.25">
      <c r="A103">
        <v>100</v>
      </c>
      <c r="B103">
        <v>2</v>
      </c>
      <c r="C103" t="s">
        <v>942</v>
      </c>
      <c r="D103">
        <v>1</v>
      </c>
      <c r="E103">
        <v>1</v>
      </c>
      <c r="F103">
        <v>1</v>
      </c>
      <c r="G103" t="s">
        <v>544</v>
      </c>
      <c r="H103">
        <v>1</v>
      </c>
      <c r="I103" t="s">
        <v>943</v>
      </c>
      <c r="J103" t="s">
        <v>439</v>
      </c>
      <c r="K103" t="s">
        <v>1246</v>
      </c>
      <c r="M103" t="s">
        <v>942</v>
      </c>
      <c r="N103" t="s">
        <v>1247</v>
      </c>
      <c r="O103" t="s">
        <v>1342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 spans="1:22" x14ac:dyDescent="0.25">
      <c r="A104">
        <v>101</v>
      </c>
      <c r="B104">
        <v>2</v>
      </c>
      <c r="C104" t="s">
        <v>1332</v>
      </c>
      <c r="D104">
        <v>16</v>
      </c>
      <c r="E104">
        <v>2</v>
      </c>
      <c r="F104">
        <v>1</v>
      </c>
      <c r="G104" t="s">
        <v>447</v>
      </c>
      <c r="H104">
        <v>1</v>
      </c>
      <c r="I104" t="s">
        <v>1333</v>
      </c>
      <c r="J104" t="s">
        <v>439</v>
      </c>
      <c r="K104" t="s">
        <v>1246</v>
      </c>
      <c r="M104" t="s">
        <v>1332</v>
      </c>
      <c r="N104">
        <v>0</v>
      </c>
      <c r="O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 x14ac:dyDescent="0.25">
      <c r="A105">
        <v>102</v>
      </c>
      <c r="B105">
        <v>3</v>
      </c>
      <c r="C105" t="s">
        <v>1012</v>
      </c>
      <c r="D105">
        <v>2</v>
      </c>
      <c r="E105">
        <v>1</v>
      </c>
      <c r="F105">
        <v>1</v>
      </c>
      <c r="G105" t="s">
        <v>447</v>
      </c>
      <c r="H105">
        <v>1</v>
      </c>
      <c r="I105" t="s">
        <v>1334</v>
      </c>
      <c r="J105" t="s">
        <v>439</v>
      </c>
      <c r="K105" t="s">
        <v>1246</v>
      </c>
      <c r="M105" t="s">
        <v>1012</v>
      </c>
      <c r="N105" t="s">
        <v>445</v>
      </c>
      <c r="O105" t="s">
        <v>1342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22" x14ac:dyDescent="0.25">
      <c r="A106">
        <v>103</v>
      </c>
      <c r="B106">
        <v>3</v>
      </c>
      <c r="C106" t="s">
        <v>1038</v>
      </c>
      <c r="D106">
        <v>2</v>
      </c>
      <c r="E106">
        <v>16</v>
      </c>
      <c r="F106">
        <v>1</v>
      </c>
      <c r="G106" t="s">
        <v>544</v>
      </c>
      <c r="H106">
        <v>1</v>
      </c>
      <c r="I106" t="s">
        <v>1335</v>
      </c>
      <c r="J106" t="s">
        <v>439</v>
      </c>
      <c r="K106" t="s">
        <v>1246</v>
      </c>
      <c r="M106" t="s">
        <v>1038</v>
      </c>
      <c r="N106" t="s">
        <v>445</v>
      </c>
      <c r="O106" t="s">
        <v>1342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 x14ac:dyDescent="0.25">
      <c r="A107">
        <v>104</v>
      </c>
      <c r="B107">
        <v>3</v>
      </c>
      <c r="C107" t="s">
        <v>1042</v>
      </c>
      <c r="D107">
        <v>1</v>
      </c>
      <c r="E107">
        <v>1</v>
      </c>
      <c r="F107">
        <v>1</v>
      </c>
      <c r="G107" t="s">
        <v>544</v>
      </c>
      <c r="H107">
        <v>1</v>
      </c>
      <c r="I107" t="s">
        <v>1336</v>
      </c>
      <c r="J107" t="s">
        <v>439</v>
      </c>
      <c r="K107" t="s">
        <v>1246</v>
      </c>
      <c r="M107" t="s">
        <v>1042</v>
      </c>
      <c r="N107" t="s">
        <v>445</v>
      </c>
      <c r="O107" t="s">
        <v>1342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 spans="1:22" x14ac:dyDescent="0.25">
      <c r="A108">
        <v>105</v>
      </c>
      <c r="B108">
        <v>3</v>
      </c>
      <c r="C108" t="s">
        <v>1044</v>
      </c>
      <c r="D108">
        <v>1</v>
      </c>
      <c r="E108">
        <v>1</v>
      </c>
      <c r="F108">
        <v>1</v>
      </c>
      <c r="G108" t="s">
        <v>544</v>
      </c>
      <c r="H108">
        <v>1</v>
      </c>
      <c r="I108" t="s">
        <v>1337</v>
      </c>
      <c r="J108" t="s">
        <v>439</v>
      </c>
      <c r="K108" t="s">
        <v>1246</v>
      </c>
      <c r="M108" t="s">
        <v>1044</v>
      </c>
      <c r="N108" t="s">
        <v>445</v>
      </c>
      <c r="O108" t="s">
        <v>1342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 spans="1:22" x14ac:dyDescent="0.25">
      <c r="A109">
        <v>106</v>
      </c>
      <c r="B109">
        <v>3</v>
      </c>
      <c r="C109" t="s">
        <v>1046</v>
      </c>
      <c r="D109">
        <v>6</v>
      </c>
      <c r="E109">
        <v>1</v>
      </c>
      <c r="F109">
        <v>1</v>
      </c>
      <c r="G109" t="s">
        <v>544</v>
      </c>
      <c r="H109">
        <v>1</v>
      </c>
      <c r="I109" t="s">
        <v>1338</v>
      </c>
      <c r="J109" t="s">
        <v>439</v>
      </c>
      <c r="K109" t="s">
        <v>1246</v>
      </c>
      <c r="M109" t="s">
        <v>1046</v>
      </c>
      <c r="N109" t="s">
        <v>445</v>
      </c>
      <c r="O109" t="s">
        <v>1342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 spans="1:22" x14ac:dyDescent="0.25">
      <c r="A110">
        <v>107</v>
      </c>
      <c r="B110">
        <v>3</v>
      </c>
      <c r="C110" t="s">
        <v>1048</v>
      </c>
      <c r="D110">
        <v>16</v>
      </c>
      <c r="E110">
        <v>1</v>
      </c>
      <c r="F110">
        <v>1</v>
      </c>
      <c r="G110" t="s">
        <v>589</v>
      </c>
      <c r="H110">
        <v>1</v>
      </c>
      <c r="I110" t="s">
        <v>1339</v>
      </c>
      <c r="J110" t="s">
        <v>439</v>
      </c>
      <c r="K110" t="s">
        <v>1246</v>
      </c>
      <c r="M110" t="s">
        <v>1048</v>
      </c>
      <c r="N110" t="s">
        <v>445</v>
      </c>
      <c r="O110" t="s">
        <v>1342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 spans="1:22" x14ac:dyDescent="0.25">
      <c r="A111">
        <v>108</v>
      </c>
      <c r="M111" t="e">
        <v>#N/A</v>
      </c>
      <c r="N111" t="e">
        <v>#N/A</v>
      </c>
      <c r="O111" t="e">
        <v>#N/A</v>
      </c>
      <c r="Q111" t="e">
        <v>#N/A</v>
      </c>
      <c r="R111" t="e">
        <v>#N/A</v>
      </c>
      <c r="S111" t="e">
        <v>#N/A</v>
      </c>
      <c r="T111" t="e">
        <v>#N/A</v>
      </c>
      <c r="U111" t="e">
        <v>#N/A</v>
      </c>
      <c r="V111" t="e">
        <v>#N/A</v>
      </c>
    </row>
    <row r="112" spans="1:22" x14ac:dyDescent="0.25">
      <c r="A112">
        <v>109</v>
      </c>
      <c r="B112" t="s">
        <v>437</v>
      </c>
      <c r="C112" t="s">
        <v>442</v>
      </c>
      <c r="M112" t="e">
        <v>#N/A</v>
      </c>
      <c r="N112" t="e">
        <v>#N/A</v>
      </c>
      <c r="O112" t="e">
        <v>#N/A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e">
        <v>#N/A</v>
      </c>
    </row>
    <row r="113" spans="1:22" x14ac:dyDescent="0.25">
      <c r="A113">
        <v>110</v>
      </c>
      <c r="B113">
        <v>1</v>
      </c>
      <c r="C113" t="s">
        <v>537</v>
      </c>
      <c r="D113">
        <v>4</v>
      </c>
      <c r="E113">
        <v>1</v>
      </c>
      <c r="F113">
        <v>1</v>
      </c>
      <c r="G113" t="s">
        <v>447</v>
      </c>
      <c r="H113">
        <v>4</v>
      </c>
      <c r="I113" t="s">
        <v>538</v>
      </c>
      <c r="K113" t="s">
        <v>441</v>
      </c>
      <c r="M113" t="s">
        <v>537</v>
      </c>
      <c r="N113" t="s">
        <v>1247</v>
      </c>
      <c r="O113" t="s">
        <v>1342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 spans="1:22" x14ac:dyDescent="0.25">
      <c r="A114">
        <v>111</v>
      </c>
      <c r="B114">
        <v>1</v>
      </c>
      <c r="C114" t="s">
        <v>539</v>
      </c>
      <c r="D114">
        <v>4</v>
      </c>
      <c r="E114">
        <v>1</v>
      </c>
      <c r="F114">
        <v>1</v>
      </c>
      <c r="G114" t="s">
        <v>447</v>
      </c>
      <c r="H114">
        <v>4</v>
      </c>
      <c r="I114" t="s">
        <v>540</v>
      </c>
      <c r="K114" t="s">
        <v>441</v>
      </c>
      <c r="M114" t="s">
        <v>539</v>
      </c>
      <c r="N114" t="s">
        <v>1247</v>
      </c>
      <c r="O114" t="s">
        <v>1342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 x14ac:dyDescent="0.25">
      <c r="A115">
        <v>112</v>
      </c>
      <c r="B115">
        <v>1</v>
      </c>
      <c r="C115" t="s">
        <v>576</v>
      </c>
      <c r="D115">
        <v>1</v>
      </c>
      <c r="E115">
        <v>1</v>
      </c>
      <c r="F115">
        <v>1</v>
      </c>
      <c r="G115" t="s">
        <v>544</v>
      </c>
      <c r="H115">
        <v>4</v>
      </c>
      <c r="I115" t="s">
        <v>577</v>
      </c>
      <c r="K115" t="s">
        <v>441</v>
      </c>
      <c r="M115" t="s">
        <v>576</v>
      </c>
      <c r="N115" t="s">
        <v>1247</v>
      </c>
      <c r="O115" t="s">
        <v>1344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 x14ac:dyDescent="0.25">
      <c r="A116">
        <v>113</v>
      </c>
      <c r="B116">
        <v>1</v>
      </c>
      <c r="C116" t="s">
        <v>595</v>
      </c>
      <c r="D116">
        <v>40</v>
      </c>
      <c r="E116">
        <v>1</v>
      </c>
      <c r="F116">
        <v>1</v>
      </c>
      <c r="G116" t="s">
        <v>589</v>
      </c>
      <c r="H116">
        <v>1</v>
      </c>
      <c r="I116" t="s">
        <v>10</v>
      </c>
      <c r="K116" t="s">
        <v>441</v>
      </c>
      <c r="M116" t="s">
        <v>595</v>
      </c>
      <c r="N116" t="s">
        <v>1247</v>
      </c>
      <c r="O116" t="s">
        <v>1247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 x14ac:dyDescent="0.25">
      <c r="A117">
        <v>114</v>
      </c>
      <c r="B117">
        <v>1</v>
      </c>
      <c r="C117" t="s">
        <v>700</v>
      </c>
      <c r="D117">
        <v>1</v>
      </c>
      <c r="E117">
        <v>1</v>
      </c>
      <c r="F117">
        <v>1</v>
      </c>
      <c r="G117" t="s">
        <v>589</v>
      </c>
      <c r="H117">
        <v>4</v>
      </c>
      <c r="I117" t="s">
        <v>701</v>
      </c>
      <c r="K117" t="s">
        <v>441</v>
      </c>
      <c r="M117" t="s">
        <v>700</v>
      </c>
      <c r="N117" t="s">
        <v>1247</v>
      </c>
      <c r="O117" t="s">
        <v>1342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 spans="1:22" x14ac:dyDescent="0.25">
      <c r="A118">
        <v>115</v>
      </c>
      <c r="B118">
        <v>1</v>
      </c>
      <c r="C118" t="s">
        <v>714</v>
      </c>
      <c r="D118">
        <v>4</v>
      </c>
      <c r="E118">
        <v>4</v>
      </c>
      <c r="F118">
        <v>1</v>
      </c>
      <c r="G118" t="s">
        <v>589</v>
      </c>
      <c r="H118">
        <v>4</v>
      </c>
      <c r="I118" t="s">
        <v>715</v>
      </c>
      <c r="K118" t="s">
        <v>441</v>
      </c>
      <c r="M118" t="s">
        <v>714</v>
      </c>
      <c r="N118" t="s">
        <v>1247</v>
      </c>
      <c r="O118" t="s">
        <v>1342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 spans="1:22" x14ac:dyDescent="0.25">
      <c r="A119">
        <v>116</v>
      </c>
      <c r="B119">
        <v>1</v>
      </c>
      <c r="C119" t="s">
        <v>566</v>
      </c>
      <c r="D119">
        <v>1</v>
      </c>
      <c r="E119">
        <v>1</v>
      </c>
      <c r="F119">
        <v>1</v>
      </c>
      <c r="G119" t="s">
        <v>544</v>
      </c>
      <c r="H119">
        <v>5</v>
      </c>
      <c r="I119" t="s">
        <v>567</v>
      </c>
      <c r="K119" t="s">
        <v>441</v>
      </c>
      <c r="M119" t="s">
        <v>566</v>
      </c>
      <c r="N119" t="s">
        <v>1247</v>
      </c>
      <c r="O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 spans="1:22" x14ac:dyDescent="0.25">
      <c r="A120">
        <v>117</v>
      </c>
      <c r="B120">
        <v>1</v>
      </c>
      <c r="C120" t="s">
        <v>710</v>
      </c>
      <c r="D120">
        <v>4</v>
      </c>
      <c r="E120">
        <v>1</v>
      </c>
      <c r="F120">
        <v>1</v>
      </c>
      <c r="G120" t="s">
        <v>589</v>
      </c>
      <c r="H120">
        <v>5</v>
      </c>
      <c r="I120" t="s">
        <v>711</v>
      </c>
      <c r="K120" t="s">
        <v>441</v>
      </c>
      <c r="M120" t="s">
        <v>710</v>
      </c>
      <c r="N120" t="s">
        <v>445</v>
      </c>
      <c r="O120" t="s">
        <v>1344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1:22" x14ac:dyDescent="0.25">
      <c r="A121">
        <v>118</v>
      </c>
      <c r="B121">
        <v>1</v>
      </c>
      <c r="C121" t="s">
        <v>1363</v>
      </c>
      <c r="D121">
        <v>1</v>
      </c>
      <c r="E121">
        <v>1</v>
      </c>
      <c r="F121">
        <v>1</v>
      </c>
      <c r="G121" t="s">
        <v>544</v>
      </c>
      <c r="H121">
        <v>1</v>
      </c>
      <c r="I121" t="s">
        <v>1364</v>
      </c>
      <c r="K121" t="s">
        <v>441</v>
      </c>
      <c r="M121" t="e">
        <v>#N/A</v>
      </c>
      <c r="N121" t="e">
        <v>#N/A</v>
      </c>
      <c r="O121" t="e">
        <v>#N/A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e">
        <v>#N/A</v>
      </c>
    </row>
    <row r="122" spans="1:22" x14ac:dyDescent="0.25">
      <c r="A122">
        <v>119</v>
      </c>
      <c r="B122">
        <v>1</v>
      </c>
      <c r="C122" t="s">
        <v>11</v>
      </c>
      <c r="D122">
        <v>2</v>
      </c>
      <c r="E122">
        <v>3</v>
      </c>
      <c r="F122">
        <v>1</v>
      </c>
      <c r="G122" t="s">
        <v>447</v>
      </c>
      <c r="H122">
        <v>4</v>
      </c>
      <c r="I122" t="s">
        <v>12</v>
      </c>
      <c r="K122" t="s">
        <v>441</v>
      </c>
      <c r="M122" t="e">
        <v>#N/A</v>
      </c>
      <c r="N122" t="e">
        <v>#N/A</v>
      </c>
      <c r="O122" t="e">
        <v>#N/A</v>
      </c>
      <c r="Q122" t="e">
        <v>#N/A</v>
      </c>
      <c r="R122" t="e">
        <v>#N/A</v>
      </c>
      <c r="S122" t="e">
        <v>#N/A</v>
      </c>
      <c r="T122" t="e">
        <v>#N/A</v>
      </c>
      <c r="U122" t="e">
        <v>#N/A</v>
      </c>
      <c r="V122" t="e">
        <v>#N/A</v>
      </c>
    </row>
    <row r="123" spans="1:22" x14ac:dyDescent="0.25">
      <c r="A123">
        <v>120</v>
      </c>
      <c r="B123">
        <v>1</v>
      </c>
      <c r="C123" t="s">
        <v>13</v>
      </c>
      <c r="D123">
        <v>4</v>
      </c>
      <c r="E123">
        <v>3</v>
      </c>
      <c r="F123">
        <v>1</v>
      </c>
      <c r="G123" t="s">
        <v>589</v>
      </c>
      <c r="H123">
        <v>4</v>
      </c>
      <c r="I123" t="s">
        <v>14</v>
      </c>
      <c r="K123" t="s">
        <v>441</v>
      </c>
      <c r="M123" t="e">
        <v>#N/A</v>
      </c>
      <c r="N123" t="e">
        <v>#N/A</v>
      </c>
      <c r="O123" t="e">
        <v>#N/A</v>
      </c>
      <c r="Q123" t="e">
        <v>#N/A</v>
      </c>
      <c r="R123" t="e">
        <v>#N/A</v>
      </c>
      <c r="S123" t="e">
        <v>#N/A</v>
      </c>
      <c r="T123" t="e">
        <v>#N/A</v>
      </c>
      <c r="U123" t="e">
        <v>#N/A</v>
      </c>
      <c r="V123" t="e">
        <v>#N/A</v>
      </c>
    </row>
    <row r="124" spans="1:22" x14ac:dyDescent="0.25">
      <c r="A124">
        <v>121</v>
      </c>
      <c r="B124">
        <v>1</v>
      </c>
      <c r="C124" t="s">
        <v>15</v>
      </c>
      <c r="D124">
        <v>4</v>
      </c>
      <c r="E124">
        <v>1</v>
      </c>
      <c r="F124">
        <v>1</v>
      </c>
      <c r="G124" t="s">
        <v>589</v>
      </c>
      <c r="H124">
        <v>6</v>
      </c>
      <c r="I124" t="s">
        <v>16</v>
      </c>
      <c r="K124" t="s">
        <v>441</v>
      </c>
      <c r="M124" t="e">
        <v>#N/A</v>
      </c>
      <c r="N124" t="e">
        <v>#N/A</v>
      </c>
      <c r="O124" t="e">
        <v>#N/A</v>
      </c>
      <c r="Q124" t="e">
        <v>#N/A</v>
      </c>
      <c r="R124" t="e">
        <v>#N/A</v>
      </c>
      <c r="S124" t="e">
        <v>#N/A</v>
      </c>
      <c r="T124" t="e">
        <v>#N/A</v>
      </c>
      <c r="U124" t="e">
        <v>#N/A</v>
      </c>
      <c r="V124" t="e">
        <v>#N/A</v>
      </c>
    </row>
    <row r="125" spans="1:22" x14ac:dyDescent="0.25">
      <c r="A125">
        <v>122</v>
      </c>
      <c r="B125">
        <v>1</v>
      </c>
      <c r="C125" t="s">
        <v>17</v>
      </c>
      <c r="D125">
        <v>4</v>
      </c>
      <c r="E125">
        <v>10</v>
      </c>
      <c r="F125">
        <v>1</v>
      </c>
      <c r="G125" t="s">
        <v>589</v>
      </c>
      <c r="H125">
        <v>1</v>
      </c>
      <c r="I125" t="s">
        <v>18</v>
      </c>
      <c r="K125" t="s">
        <v>441</v>
      </c>
      <c r="M125" t="e">
        <v>#N/A</v>
      </c>
      <c r="N125" t="e">
        <v>#N/A</v>
      </c>
      <c r="O125" t="e">
        <v>#N/A</v>
      </c>
      <c r="Q125" t="e">
        <v>#N/A</v>
      </c>
      <c r="R125" t="e">
        <v>#N/A</v>
      </c>
      <c r="S125" t="e">
        <v>#N/A</v>
      </c>
      <c r="T125" t="e">
        <v>#N/A</v>
      </c>
      <c r="U125" t="e">
        <v>#N/A</v>
      </c>
      <c r="V125" t="e">
        <v>#N/A</v>
      </c>
    </row>
    <row r="126" spans="1:22" x14ac:dyDescent="0.25">
      <c r="A126">
        <v>123</v>
      </c>
      <c r="B126">
        <v>1</v>
      </c>
      <c r="C126" t="s">
        <v>19</v>
      </c>
      <c r="D126">
        <v>1</v>
      </c>
      <c r="E126">
        <v>1</v>
      </c>
      <c r="F126">
        <v>1</v>
      </c>
      <c r="G126" t="s">
        <v>544</v>
      </c>
      <c r="H126">
        <v>6</v>
      </c>
      <c r="I126" t="s">
        <v>20</v>
      </c>
      <c r="K126" t="s">
        <v>441</v>
      </c>
      <c r="M126" t="e">
        <v>#N/A</v>
      </c>
      <c r="N126" t="e">
        <v>#N/A</v>
      </c>
      <c r="O126" t="e">
        <v>#N/A</v>
      </c>
      <c r="Q126" t="e">
        <v>#N/A</v>
      </c>
      <c r="R126" t="e">
        <v>#N/A</v>
      </c>
      <c r="S126" t="e">
        <v>#N/A</v>
      </c>
      <c r="T126" t="e">
        <v>#N/A</v>
      </c>
      <c r="U126" t="e">
        <v>#N/A</v>
      </c>
      <c r="V126" t="e">
        <v>#N/A</v>
      </c>
    </row>
    <row r="127" spans="1:22" x14ac:dyDescent="0.25">
      <c r="A127">
        <v>124</v>
      </c>
      <c r="B127">
        <v>2</v>
      </c>
      <c r="C127" t="s">
        <v>789</v>
      </c>
      <c r="D127">
        <v>2</v>
      </c>
      <c r="E127">
        <v>1</v>
      </c>
      <c r="F127">
        <v>1</v>
      </c>
      <c r="G127" t="s">
        <v>447</v>
      </c>
      <c r="H127">
        <v>1</v>
      </c>
      <c r="I127" t="s">
        <v>24</v>
      </c>
      <c r="K127" t="s">
        <v>441</v>
      </c>
      <c r="M127" t="s">
        <v>789</v>
      </c>
      <c r="N127" t="s">
        <v>445</v>
      </c>
      <c r="O127" t="s">
        <v>1342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 spans="1:22" x14ac:dyDescent="0.25">
      <c r="A128">
        <v>125</v>
      </c>
      <c r="B128">
        <v>2</v>
      </c>
      <c r="C128" t="s">
        <v>791</v>
      </c>
      <c r="D128">
        <v>2</v>
      </c>
      <c r="E128">
        <v>1</v>
      </c>
      <c r="F128">
        <v>1</v>
      </c>
      <c r="G128" t="s">
        <v>447</v>
      </c>
      <c r="H128">
        <v>2</v>
      </c>
      <c r="I128" t="s">
        <v>792</v>
      </c>
      <c r="K128" t="s">
        <v>441</v>
      </c>
      <c r="M128" t="s">
        <v>791</v>
      </c>
      <c r="N128" t="s">
        <v>445</v>
      </c>
      <c r="O128" t="s">
        <v>1342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 spans="1:22" x14ac:dyDescent="0.25">
      <c r="A129">
        <v>126</v>
      </c>
      <c r="B129">
        <v>2</v>
      </c>
      <c r="C129" t="s">
        <v>952</v>
      </c>
      <c r="D129">
        <v>2</v>
      </c>
      <c r="E129">
        <v>16</v>
      </c>
      <c r="F129">
        <v>1</v>
      </c>
      <c r="G129" t="s">
        <v>544</v>
      </c>
      <c r="H129">
        <v>1</v>
      </c>
      <c r="I129" t="s">
        <v>25</v>
      </c>
      <c r="K129" t="s">
        <v>441</v>
      </c>
      <c r="M129" t="s">
        <v>952</v>
      </c>
      <c r="N129" t="s">
        <v>445</v>
      </c>
      <c r="O129" t="s">
        <v>1342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 spans="1:22" x14ac:dyDescent="0.25">
      <c r="A130">
        <v>127</v>
      </c>
      <c r="B130">
        <v>2</v>
      </c>
      <c r="C130" t="s">
        <v>954</v>
      </c>
      <c r="D130">
        <v>2</v>
      </c>
      <c r="E130">
        <v>1</v>
      </c>
      <c r="F130">
        <v>1</v>
      </c>
      <c r="G130" t="s">
        <v>544</v>
      </c>
      <c r="H130">
        <v>1</v>
      </c>
      <c r="I130" t="s">
        <v>26</v>
      </c>
      <c r="K130" t="s">
        <v>441</v>
      </c>
      <c r="M130" t="s">
        <v>954</v>
      </c>
      <c r="N130" t="s">
        <v>1247</v>
      </c>
      <c r="O130" t="s">
        <v>1342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 spans="1:22" x14ac:dyDescent="0.25">
      <c r="A131">
        <v>128</v>
      </c>
      <c r="B131">
        <v>2</v>
      </c>
      <c r="C131" t="s">
        <v>1405</v>
      </c>
      <c r="D131">
        <v>1</v>
      </c>
      <c r="E131">
        <v>1</v>
      </c>
      <c r="F131">
        <v>1</v>
      </c>
      <c r="G131" t="s">
        <v>447</v>
      </c>
      <c r="H131">
        <v>1</v>
      </c>
      <c r="I131" t="s">
        <v>27</v>
      </c>
      <c r="K131" t="s">
        <v>441</v>
      </c>
      <c r="M131" t="e">
        <v>#N/A</v>
      </c>
      <c r="N131" t="e">
        <v>#N/A</v>
      </c>
      <c r="O131" t="e">
        <v>#N/A</v>
      </c>
      <c r="Q131" t="e">
        <v>#N/A</v>
      </c>
      <c r="R131" t="e">
        <v>#N/A</v>
      </c>
      <c r="S131" t="e">
        <v>#N/A</v>
      </c>
      <c r="T131" t="e">
        <v>#N/A</v>
      </c>
      <c r="U131" t="e">
        <v>#N/A</v>
      </c>
      <c r="V131" t="e">
        <v>#N/A</v>
      </c>
    </row>
    <row r="132" spans="1:22" x14ac:dyDescent="0.25">
      <c r="A132">
        <v>129</v>
      </c>
      <c r="B132">
        <v>2</v>
      </c>
      <c r="C132" t="s">
        <v>1363</v>
      </c>
      <c r="D132">
        <v>1</v>
      </c>
      <c r="E132">
        <v>1</v>
      </c>
      <c r="F132">
        <v>1</v>
      </c>
      <c r="G132" t="s">
        <v>544</v>
      </c>
      <c r="H132">
        <v>1</v>
      </c>
      <c r="I132" t="s">
        <v>28</v>
      </c>
      <c r="K132" t="s">
        <v>441</v>
      </c>
      <c r="M132" t="e">
        <v>#N/A</v>
      </c>
      <c r="N132" t="e">
        <v>#N/A</v>
      </c>
      <c r="O132" t="e">
        <v>#N/A</v>
      </c>
      <c r="Q132" t="e">
        <v>#N/A</v>
      </c>
      <c r="R132" t="e">
        <v>#N/A</v>
      </c>
      <c r="S132" t="e">
        <v>#N/A</v>
      </c>
      <c r="T132" t="e">
        <v>#N/A</v>
      </c>
      <c r="U132" t="e">
        <v>#N/A</v>
      </c>
      <c r="V132" t="e">
        <v>#N/A</v>
      </c>
    </row>
    <row r="133" spans="1:22" x14ac:dyDescent="0.25">
      <c r="A133">
        <v>130</v>
      </c>
      <c r="B133">
        <v>2</v>
      </c>
      <c r="C133" t="s">
        <v>1234</v>
      </c>
      <c r="D133">
        <v>3</v>
      </c>
      <c r="E133">
        <v>1</v>
      </c>
      <c r="F133">
        <v>1</v>
      </c>
      <c r="G133" t="s">
        <v>544</v>
      </c>
      <c r="H133">
        <v>1</v>
      </c>
      <c r="I133" t="s">
        <v>29</v>
      </c>
      <c r="K133" t="s">
        <v>441</v>
      </c>
      <c r="M133" t="e">
        <v>#N/A</v>
      </c>
      <c r="N133" t="e">
        <v>#N/A</v>
      </c>
      <c r="O133" t="e">
        <v>#N/A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e">
        <v>#N/A</v>
      </c>
    </row>
    <row r="134" spans="1:22" x14ac:dyDescent="0.25">
      <c r="A134">
        <v>131</v>
      </c>
      <c r="B134">
        <v>2</v>
      </c>
      <c r="C134" t="s">
        <v>1425</v>
      </c>
      <c r="D134">
        <v>3</v>
      </c>
      <c r="E134">
        <v>1</v>
      </c>
      <c r="F134">
        <v>1</v>
      </c>
      <c r="G134" t="s">
        <v>589</v>
      </c>
      <c r="H134">
        <v>1</v>
      </c>
      <c r="I134" t="s">
        <v>30</v>
      </c>
      <c r="K134" t="s">
        <v>441</v>
      </c>
      <c r="M134" t="e">
        <v>#N/A</v>
      </c>
      <c r="N134" t="e">
        <v>#N/A</v>
      </c>
      <c r="O134" t="e">
        <v>#N/A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e">
        <v>#N/A</v>
      </c>
    </row>
    <row r="135" spans="1:22" x14ac:dyDescent="0.25">
      <c r="A135">
        <v>132</v>
      </c>
      <c r="B135">
        <v>2</v>
      </c>
      <c r="C135" t="s">
        <v>1443</v>
      </c>
      <c r="D135">
        <v>2</v>
      </c>
      <c r="E135">
        <v>1</v>
      </c>
      <c r="F135">
        <v>1</v>
      </c>
      <c r="G135" t="s">
        <v>447</v>
      </c>
      <c r="H135">
        <v>1</v>
      </c>
      <c r="I135" t="s">
        <v>31</v>
      </c>
      <c r="K135" t="s">
        <v>441</v>
      </c>
      <c r="M135" t="e">
        <v>#N/A</v>
      </c>
      <c r="N135" t="e">
        <v>#N/A</v>
      </c>
      <c r="O135" t="e">
        <v>#N/A</v>
      </c>
      <c r="Q135" t="e">
        <v>#N/A</v>
      </c>
      <c r="R135" t="e">
        <v>#N/A</v>
      </c>
      <c r="S135" t="e">
        <v>#N/A</v>
      </c>
      <c r="T135" t="e">
        <v>#N/A</v>
      </c>
      <c r="U135" t="e">
        <v>#N/A</v>
      </c>
      <c r="V135" t="e">
        <v>#N/A</v>
      </c>
    </row>
    <row r="136" spans="1:22" x14ac:dyDescent="0.25">
      <c r="A136">
        <v>133</v>
      </c>
      <c r="B136">
        <v>2</v>
      </c>
      <c r="C136" t="s">
        <v>1022</v>
      </c>
      <c r="D136">
        <v>2</v>
      </c>
      <c r="E136">
        <v>1</v>
      </c>
      <c r="F136">
        <v>1</v>
      </c>
      <c r="G136" t="s">
        <v>447</v>
      </c>
      <c r="H136">
        <v>1</v>
      </c>
      <c r="I136" t="s">
        <v>1292</v>
      </c>
      <c r="K136" t="s">
        <v>441</v>
      </c>
      <c r="M136" t="s">
        <v>1022</v>
      </c>
      <c r="N136" t="s">
        <v>445</v>
      </c>
      <c r="O136" t="s">
        <v>1342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 spans="1:22" x14ac:dyDescent="0.25">
      <c r="A137">
        <v>134</v>
      </c>
      <c r="B137">
        <v>2</v>
      </c>
      <c r="C137" t="s">
        <v>32</v>
      </c>
      <c r="D137">
        <v>2</v>
      </c>
      <c r="E137">
        <v>14</v>
      </c>
      <c r="F137">
        <v>1</v>
      </c>
      <c r="G137" t="s">
        <v>544</v>
      </c>
      <c r="H137">
        <v>1</v>
      </c>
      <c r="I137" t="s">
        <v>33</v>
      </c>
      <c r="K137" t="s">
        <v>441</v>
      </c>
      <c r="M137" t="e">
        <v>#N/A</v>
      </c>
      <c r="N137" t="e">
        <v>#N/A</v>
      </c>
      <c r="O137" t="e">
        <v>#N/A</v>
      </c>
      <c r="Q137" t="e">
        <v>#N/A</v>
      </c>
      <c r="R137" t="e">
        <v>#N/A</v>
      </c>
      <c r="S137" t="e">
        <v>#N/A</v>
      </c>
      <c r="T137" t="e">
        <v>#N/A</v>
      </c>
      <c r="U137" t="e">
        <v>#N/A</v>
      </c>
      <c r="V137" t="e">
        <v>#N/A</v>
      </c>
    </row>
    <row r="138" spans="1:22" x14ac:dyDescent="0.25">
      <c r="A138">
        <v>135</v>
      </c>
      <c r="B138">
        <v>2</v>
      </c>
      <c r="C138" t="s">
        <v>34</v>
      </c>
      <c r="D138">
        <v>1</v>
      </c>
      <c r="E138">
        <v>1</v>
      </c>
      <c r="F138">
        <v>1</v>
      </c>
      <c r="G138" t="s">
        <v>544</v>
      </c>
      <c r="H138">
        <v>1</v>
      </c>
      <c r="I138" t="s">
        <v>35</v>
      </c>
      <c r="K138" t="s">
        <v>441</v>
      </c>
      <c r="M138" t="e">
        <v>#N/A</v>
      </c>
      <c r="N138" t="e">
        <v>#N/A</v>
      </c>
      <c r="O138" t="e">
        <v>#N/A</v>
      </c>
      <c r="Q138" t="e">
        <v>#N/A</v>
      </c>
      <c r="R138" t="e">
        <v>#N/A</v>
      </c>
      <c r="S138" t="e">
        <v>#N/A</v>
      </c>
      <c r="T138" t="e">
        <v>#N/A</v>
      </c>
      <c r="U138" t="e">
        <v>#N/A</v>
      </c>
      <c r="V138" t="e">
        <v>#N/A</v>
      </c>
    </row>
    <row r="139" spans="1:22" x14ac:dyDescent="0.25">
      <c r="A139">
        <v>136</v>
      </c>
      <c r="B139">
        <v>2</v>
      </c>
      <c r="C139" t="s">
        <v>36</v>
      </c>
      <c r="D139">
        <v>1</v>
      </c>
      <c r="E139">
        <v>1</v>
      </c>
      <c r="F139">
        <v>1</v>
      </c>
      <c r="G139" t="s">
        <v>447</v>
      </c>
      <c r="H139">
        <v>5</v>
      </c>
      <c r="I139" t="s">
        <v>37</v>
      </c>
      <c r="K139" t="s">
        <v>441</v>
      </c>
      <c r="M139" t="e">
        <v>#N/A</v>
      </c>
      <c r="N139" t="e">
        <v>#N/A</v>
      </c>
      <c r="O139" t="e">
        <v>#N/A</v>
      </c>
      <c r="Q139" t="e">
        <v>#N/A</v>
      </c>
      <c r="R139" t="e">
        <v>#N/A</v>
      </c>
      <c r="S139" t="e">
        <v>#N/A</v>
      </c>
      <c r="T139" t="e">
        <v>#N/A</v>
      </c>
      <c r="U139" t="e">
        <v>#N/A</v>
      </c>
      <c r="V139" t="e">
        <v>#N/A</v>
      </c>
    </row>
    <row r="140" spans="1:22" x14ac:dyDescent="0.25">
      <c r="A140">
        <v>137</v>
      </c>
      <c r="B140">
        <v>2</v>
      </c>
      <c r="C140" t="s">
        <v>1229</v>
      </c>
      <c r="D140">
        <v>1</v>
      </c>
      <c r="E140">
        <v>1</v>
      </c>
      <c r="F140">
        <v>1</v>
      </c>
      <c r="G140" t="s">
        <v>544</v>
      </c>
      <c r="H140">
        <v>5</v>
      </c>
      <c r="I140" t="s">
        <v>38</v>
      </c>
      <c r="K140" t="s">
        <v>441</v>
      </c>
      <c r="M140" t="e">
        <v>#N/A</v>
      </c>
      <c r="N140" t="e">
        <v>#N/A</v>
      </c>
      <c r="O140" t="e">
        <v>#N/A</v>
      </c>
      <c r="Q140" t="e">
        <v>#N/A</v>
      </c>
      <c r="R140" t="e">
        <v>#N/A</v>
      </c>
      <c r="S140" t="e">
        <v>#N/A</v>
      </c>
      <c r="T140" t="e">
        <v>#N/A</v>
      </c>
      <c r="U140" t="e">
        <v>#N/A</v>
      </c>
      <c r="V140" t="e">
        <v>#N/A</v>
      </c>
    </row>
    <row r="141" spans="1:22" x14ac:dyDescent="0.25">
      <c r="A141">
        <v>138</v>
      </c>
      <c r="B141">
        <v>2</v>
      </c>
      <c r="C141" t="s">
        <v>1224</v>
      </c>
      <c r="D141">
        <v>1</v>
      </c>
      <c r="E141">
        <v>1</v>
      </c>
      <c r="F141">
        <v>1</v>
      </c>
      <c r="G141" t="s">
        <v>39</v>
      </c>
      <c r="H141">
        <v>5</v>
      </c>
      <c r="I141" t="s">
        <v>40</v>
      </c>
      <c r="K141" t="s">
        <v>441</v>
      </c>
      <c r="M141" t="e">
        <v>#N/A</v>
      </c>
      <c r="N141" t="e">
        <v>#N/A</v>
      </c>
      <c r="O141" t="e">
        <v>#N/A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e">
        <v>#N/A</v>
      </c>
    </row>
    <row r="142" spans="1:22" x14ac:dyDescent="0.25">
      <c r="A142">
        <v>139</v>
      </c>
      <c r="B142">
        <v>2</v>
      </c>
      <c r="C142" t="s">
        <v>1211</v>
      </c>
      <c r="D142">
        <v>1</v>
      </c>
      <c r="E142">
        <v>1</v>
      </c>
      <c r="F142">
        <v>1</v>
      </c>
      <c r="G142" t="s">
        <v>731</v>
      </c>
      <c r="H142">
        <v>5</v>
      </c>
      <c r="I142" t="s">
        <v>41</v>
      </c>
      <c r="K142" t="s">
        <v>441</v>
      </c>
      <c r="M142" t="e">
        <v>#N/A</v>
      </c>
      <c r="N142" t="e">
        <v>#N/A</v>
      </c>
      <c r="O142" t="e">
        <v>#N/A</v>
      </c>
      <c r="Q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e">
        <v>#N/A</v>
      </c>
    </row>
    <row r="143" spans="1:22" x14ac:dyDescent="0.25">
      <c r="A143">
        <v>140</v>
      </c>
      <c r="B143">
        <v>2</v>
      </c>
      <c r="C143" t="s">
        <v>42</v>
      </c>
      <c r="D143">
        <v>1</v>
      </c>
      <c r="E143">
        <v>1</v>
      </c>
      <c r="F143">
        <v>1</v>
      </c>
      <c r="G143" t="s">
        <v>544</v>
      </c>
      <c r="H143">
        <v>2</v>
      </c>
      <c r="I143" t="s">
        <v>43</v>
      </c>
      <c r="K143" t="s">
        <v>441</v>
      </c>
      <c r="M143" t="e">
        <v>#N/A</v>
      </c>
      <c r="N143" t="e">
        <v>#N/A</v>
      </c>
      <c r="O143" t="e">
        <v>#N/A</v>
      </c>
      <c r="Q143" t="e">
        <v>#N/A</v>
      </c>
      <c r="R143" t="e">
        <v>#N/A</v>
      </c>
      <c r="S143" t="e">
        <v>#N/A</v>
      </c>
      <c r="T143" t="e">
        <v>#N/A</v>
      </c>
      <c r="U143" t="e">
        <v>#N/A</v>
      </c>
      <c r="V143" t="e">
        <v>#N/A</v>
      </c>
    </row>
    <row r="144" spans="1:22" x14ac:dyDescent="0.25">
      <c r="A144">
        <v>141</v>
      </c>
      <c r="B144">
        <v>2</v>
      </c>
      <c r="C144" t="s">
        <v>1020</v>
      </c>
      <c r="D144">
        <v>1</v>
      </c>
      <c r="E144">
        <v>1</v>
      </c>
      <c r="F144">
        <v>1</v>
      </c>
      <c r="G144" t="s">
        <v>447</v>
      </c>
      <c r="H144">
        <v>15</v>
      </c>
      <c r="I144" t="s">
        <v>44</v>
      </c>
      <c r="K144" t="s">
        <v>441</v>
      </c>
      <c r="M144" t="s">
        <v>1020</v>
      </c>
      <c r="N144" t="s">
        <v>445</v>
      </c>
      <c r="O144" t="s">
        <v>1342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 x14ac:dyDescent="0.25">
      <c r="A145">
        <v>142</v>
      </c>
      <c r="B145">
        <v>2</v>
      </c>
      <c r="C145" t="s">
        <v>1075</v>
      </c>
      <c r="D145">
        <v>2</v>
      </c>
      <c r="E145">
        <v>2</v>
      </c>
      <c r="F145">
        <v>2</v>
      </c>
      <c r="G145" t="s">
        <v>447</v>
      </c>
      <c r="H145">
        <v>1</v>
      </c>
      <c r="I145" t="s">
        <v>45</v>
      </c>
      <c r="K145" t="s">
        <v>441</v>
      </c>
      <c r="M145" t="s">
        <v>1075</v>
      </c>
      <c r="N145">
        <v>0</v>
      </c>
      <c r="O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 spans="1:22" x14ac:dyDescent="0.25">
      <c r="A146">
        <v>143</v>
      </c>
      <c r="B146">
        <v>2</v>
      </c>
      <c r="C146" t="s">
        <v>46</v>
      </c>
      <c r="D146">
        <v>2</v>
      </c>
      <c r="E146">
        <v>2</v>
      </c>
      <c r="F146">
        <v>1</v>
      </c>
      <c r="G146" t="s">
        <v>447</v>
      </c>
      <c r="H146">
        <v>1</v>
      </c>
      <c r="I146" t="s">
        <v>47</v>
      </c>
      <c r="K146" t="s">
        <v>441</v>
      </c>
      <c r="M146" t="e">
        <v>#N/A</v>
      </c>
      <c r="N146" t="e">
        <v>#N/A</v>
      </c>
      <c r="O146" t="e">
        <v>#N/A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e">
        <v>#N/A</v>
      </c>
    </row>
    <row r="147" spans="1:22" x14ac:dyDescent="0.25">
      <c r="A147">
        <v>144</v>
      </c>
      <c r="B147">
        <v>2</v>
      </c>
      <c r="C147" t="s">
        <v>48</v>
      </c>
      <c r="D147">
        <v>2</v>
      </c>
      <c r="E147">
        <v>2</v>
      </c>
      <c r="F147">
        <v>1</v>
      </c>
      <c r="G147" t="s">
        <v>447</v>
      </c>
      <c r="H147">
        <v>1</v>
      </c>
      <c r="I147" t="s">
        <v>49</v>
      </c>
      <c r="K147" t="s">
        <v>441</v>
      </c>
      <c r="M147" t="e">
        <v>#N/A</v>
      </c>
      <c r="N147" t="e">
        <v>#N/A</v>
      </c>
      <c r="O147" t="e">
        <v>#N/A</v>
      </c>
      <c r="Q147" t="e">
        <v>#N/A</v>
      </c>
      <c r="R147" t="e">
        <v>#N/A</v>
      </c>
      <c r="S147" t="e">
        <v>#N/A</v>
      </c>
      <c r="T147" t="e">
        <v>#N/A</v>
      </c>
      <c r="U147" t="e">
        <v>#N/A</v>
      </c>
      <c r="V147" t="e">
        <v>#N/A</v>
      </c>
    </row>
    <row r="148" spans="1:22" x14ac:dyDescent="0.25">
      <c r="A148">
        <v>145</v>
      </c>
      <c r="B148">
        <v>2</v>
      </c>
      <c r="C148" t="s">
        <v>50</v>
      </c>
      <c r="D148">
        <v>3</v>
      </c>
      <c r="E148">
        <v>2</v>
      </c>
      <c r="F148">
        <v>1</v>
      </c>
      <c r="G148" t="s">
        <v>447</v>
      </c>
      <c r="H148">
        <v>1</v>
      </c>
      <c r="I148" t="s">
        <v>51</v>
      </c>
      <c r="K148" t="s">
        <v>441</v>
      </c>
      <c r="M148" t="e">
        <v>#N/A</v>
      </c>
      <c r="N148" t="e">
        <v>#N/A</v>
      </c>
      <c r="O148" t="e">
        <v>#N/A</v>
      </c>
      <c r="Q148" t="e">
        <v>#N/A</v>
      </c>
      <c r="R148" t="e">
        <v>#N/A</v>
      </c>
      <c r="S148" t="e">
        <v>#N/A</v>
      </c>
      <c r="T148" t="e">
        <v>#N/A</v>
      </c>
      <c r="U148" t="e">
        <v>#N/A</v>
      </c>
      <c r="V148" t="e">
        <v>#N/A</v>
      </c>
    </row>
    <row r="149" spans="1:22" x14ac:dyDescent="0.25">
      <c r="A149">
        <v>146</v>
      </c>
      <c r="B149">
        <v>2</v>
      </c>
      <c r="C149" t="s">
        <v>1242</v>
      </c>
      <c r="D149">
        <v>2</v>
      </c>
      <c r="E149">
        <v>1</v>
      </c>
      <c r="F149">
        <v>1</v>
      </c>
      <c r="G149" t="s">
        <v>544</v>
      </c>
      <c r="H149">
        <v>8</v>
      </c>
      <c r="I149" t="s">
        <v>52</v>
      </c>
      <c r="K149" t="s">
        <v>441</v>
      </c>
      <c r="M149" t="e">
        <v>#N/A</v>
      </c>
      <c r="N149" t="e">
        <v>#N/A</v>
      </c>
      <c r="O149" t="e">
        <v>#N/A</v>
      </c>
      <c r="Q149" t="e">
        <v>#N/A</v>
      </c>
      <c r="R149" t="e">
        <v>#N/A</v>
      </c>
      <c r="S149" t="e">
        <v>#N/A</v>
      </c>
      <c r="T149" t="e">
        <v>#N/A</v>
      </c>
      <c r="U149" t="e">
        <v>#N/A</v>
      </c>
      <c r="V149" t="e">
        <v>#N/A</v>
      </c>
    </row>
    <row r="150" spans="1:22" x14ac:dyDescent="0.25">
      <c r="A150">
        <v>147</v>
      </c>
      <c r="B150">
        <v>2</v>
      </c>
      <c r="C150" t="s">
        <v>1240</v>
      </c>
      <c r="D150">
        <v>1</v>
      </c>
      <c r="E150">
        <v>1</v>
      </c>
      <c r="F150">
        <v>1</v>
      </c>
      <c r="G150" t="s">
        <v>447</v>
      </c>
      <c r="H150">
        <v>5</v>
      </c>
      <c r="I150" t="s">
        <v>53</v>
      </c>
      <c r="K150" t="s">
        <v>441</v>
      </c>
      <c r="M150" t="e">
        <v>#N/A</v>
      </c>
      <c r="N150" t="e">
        <v>#N/A</v>
      </c>
      <c r="O150" t="e">
        <v>#N/A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e">
        <v>#N/A</v>
      </c>
    </row>
    <row r="151" spans="1:22" x14ac:dyDescent="0.25">
      <c r="A151">
        <v>148</v>
      </c>
      <c r="B151">
        <v>2</v>
      </c>
      <c r="C151" t="s">
        <v>54</v>
      </c>
      <c r="D151">
        <v>1</v>
      </c>
      <c r="E151">
        <v>1</v>
      </c>
      <c r="F151">
        <v>1</v>
      </c>
      <c r="G151" t="s">
        <v>544</v>
      </c>
      <c r="H151">
        <v>5</v>
      </c>
      <c r="I151" t="s">
        <v>55</v>
      </c>
      <c r="K151" t="s">
        <v>441</v>
      </c>
      <c r="M151" t="e">
        <v>#N/A</v>
      </c>
      <c r="N151" t="e">
        <v>#N/A</v>
      </c>
      <c r="O151" t="e">
        <v>#N/A</v>
      </c>
      <c r="Q151" t="e">
        <v>#N/A</v>
      </c>
      <c r="R151" t="e">
        <v>#N/A</v>
      </c>
      <c r="S151" t="e">
        <v>#N/A</v>
      </c>
      <c r="T151" t="e">
        <v>#N/A</v>
      </c>
      <c r="U151" t="e">
        <v>#N/A</v>
      </c>
      <c r="V151" t="e">
        <v>#N/A</v>
      </c>
    </row>
    <row r="152" spans="1:22" x14ac:dyDescent="0.25">
      <c r="A152">
        <v>149</v>
      </c>
      <c r="B152">
        <v>2</v>
      </c>
      <c r="C152" t="s">
        <v>1076</v>
      </c>
      <c r="D152">
        <v>2</v>
      </c>
      <c r="E152">
        <v>2</v>
      </c>
      <c r="F152">
        <v>2</v>
      </c>
      <c r="G152" t="s">
        <v>447</v>
      </c>
      <c r="H152">
        <v>4</v>
      </c>
      <c r="I152" t="s">
        <v>56</v>
      </c>
      <c r="K152" t="s">
        <v>441</v>
      </c>
      <c r="M152" t="s">
        <v>1076</v>
      </c>
      <c r="N152">
        <v>0</v>
      </c>
      <c r="O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 spans="1:22" x14ac:dyDescent="0.25">
      <c r="A153">
        <v>150</v>
      </c>
      <c r="B153">
        <v>2</v>
      </c>
      <c r="C153" t="s">
        <v>57</v>
      </c>
      <c r="D153">
        <v>1</v>
      </c>
      <c r="E153">
        <v>1</v>
      </c>
      <c r="F153">
        <v>1</v>
      </c>
      <c r="G153" t="s">
        <v>544</v>
      </c>
      <c r="H153">
        <v>1</v>
      </c>
      <c r="I153" t="s">
        <v>58</v>
      </c>
      <c r="K153" t="s">
        <v>441</v>
      </c>
      <c r="M153" t="e">
        <v>#N/A</v>
      </c>
      <c r="N153" t="e">
        <v>#N/A</v>
      </c>
      <c r="O153" t="e">
        <v>#N/A</v>
      </c>
      <c r="Q153" t="e">
        <v>#N/A</v>
      </c>
      <c r="R153" t="e">
        <v>#N/A</v>
      </c>
      <c r="S153" t="e">
        <v>#N/A</v>
      </c>
      <c r="T153" t="e">
        <v>#N/A</v>
      </c>
      <c r="U153" t="e">
        <v>#N/A</v>
      </c>
      <c r="V153" t="e">
        <v>#N/A</v>
      </c>
    </row>
    <row r="154" spans="1:22" x14ac:dyDescent="0.25">
      <c r="A154">
        <v>151</v>
      </c>
      <c r="B154">
        <v>2</v>
      </c>
      <c r="C154" t="s">
        <v>1241</v>
      </c>
      <c r="D154">
        <v>6</v>
      </c>
      <c r="E154">
        <v>1</v>
      </c>
      <c r="F154">
        <v>1</v>
      </c>
      <c r="G154" t="s">
        <v>544</v>
      </c>
      <c r="H154">
        <v>1</v>
      </c>
      <c r="I154" t="s">
        <v>59</v>
      </c>
      <c r="K154" t="s">
        <v>441</v>
      </c>
      <c r="M154" t="e">
        <v>#N/A</v>
      </c>
      <c r="N154" t="e">
        <v>#N/A</v>
      </c>
      <c r="O154" t="e">
        <v>#N/A</v>
      </c>
      <c r="Q154" t="e">
        <v>#N/A</v>
      </c>
      <c r="R154" t="e">
        <v>#N/A</v>
      </c>
      <c r="S154" t="e">
        <v>#N/A</v>
      </c>
      <c r="T154" t="e">
        <v>#N/A</v>
      </c>
      <c r="U154" t="e">
        <v>#N/A</v>
      </c>
      <c r="V154" t="e">
        <v>#N/A</v>
      </c>
    </row>
    <row r="155" spans="1:22" x14ac:dyDescent="0.25">
      <c r="A155">
        <v>152</v>
      </c>
      <c r="B155">
        <v>2</v>
      </c>
      <c r="C155" t="s">
        <v>60</v>
      </c>
      <c r="D155">
        <v>2</v>
      </c>
      <c r="E155">
        <v>2</v>
      </c>
      <c r="F155">
        <v>14</v>
      </c>
      <c r="G155" t="s">
        <v>544</v>
      </c>
      <c r="H155">
        <v>1</v>
      </c>
      <c r="I155" t="s">
        <v>61</v>
      </c>
      <c r="K155" t="s">
        <v>441</v>
      </c>
      <c r="M155" t="e">
        <v>#N/A</v>
      </c>
      <c r="N155" t="e">
        <v>#N/A</v>
      </c>
      <c r="O155" t="e">
        <v>#N/A</v>
      </c>
      <c r="Q155" t="e">
        <v>#N/A</v>
      </c>
      <c r="R155" t="e">
        <v>#N/A</v>
      </c>
      <c r="S155" t="e">
        <v>#N/A</v>
      </c>
      <c r="T155" t="e">
        <v>#N/A</v>
      </c>
      <c r="U155" t="e">
        <v>#N/A</v>
      </c>
      <c r="V155" t="e">
        <v>#N/A</v>
      </c>
    </row>
    <row r="156" spans="1:22" x14ac:dyDescent="0.25">
      <c r="A156">
        <v>153</v>
      </c>
      <c r="B156">
        <v>2</v>
      </c>
      <c r="C156" t="s">
        <v>62</v>
      </c>
      <c r="D156">
        <v>2</v>
      </c>
      <c r="E156">
        <v>14</v>
      </c>
      <c r="F156">
        <v>1</v>
      </c>
      <c r="G156" t="s">
        <v>544</v>
      </c>
      <c r="H156">
        <v>1</v>
      </c>
      <c r="I156" t="s">
        <v>63</v>
      </c>
      <c r="K156" t="s">
        <v>441</v>
      </c>
      <c r="M156" t="e">
        <v>#N/A</v>
      </c>
      <c r="N156" t="e">
        <v>#N/A</v>
      </c>
      <c r="O156" t="e">
        <v>#N/A</v>
      </c>
      <c r="Q156" t="e">
        <v>#N/A</v>
      </c>
      <c r="R156" t="e">
        <v>#N/A</v>
      </c>
      <c r="S156" t="e">
        <v>#N/A</v>
      </c>
      <c r="T156" t="e">
        <v>#N/A</v>
      </c>
      <c r="U156" t="e">
        <v>#N/A</v>
      </c>
      <c r="V156" t="e">
        <v>#N/A</v>
      </c>
    </row>
    <row r="157" spans="1:22" x14ac:dyDescent="0.25">
      <c r="A157">
        <v>154</v>
      </c>
      <c r="B157">
        <v>2</v>
      </c>
      <c r="C157" t="s">
        <v>1032</v>
      </c>
      <c r="D157">
        <v>2</v>
      </c>
      <c r="E157">
        <v>2</v>
      </c>
      <c r="F157">
        <v>14</v>
      </c>
      <c r="G157" t="s">
        <v>544</v>
      </c>
      <c r="H157">
        <v>1</v>
      </c>
      <c r="I157" t="s">
        <v>1033</v>
      </c>
      <c r="K157" t="s">
        <v>441</v>
      </c>
      <c r="M157" t="s">
        <v>1032</v>
      </c>
      <c r="N157" t="s">
        <v>445</v>
      </c>
      <c r="O157" t="s">
        <v>1342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 spans="1:22" x14ac:dyDescent="0.25">
      <c r="A158">
        <v>155</v>
      </c>
      <c r="B158">
        <v>2</v>
      </c>
      <c r="C158" t="s">
        <v>1050</v>
      </c>
      <c r="D158">
        <v>1</v>
      </c>
      <c r="E158">
        <v>1</v>
      </c>
      <c r="F158">
        <v>1</v>
      </c>
      <c r="G158" t="s">
        <v>589</v>
      </c>
      <c r="H158">
        <v>1</v>
      </c>
      <c r="I158" t="s">
        <v>1325</v>
      </c>
      <c r="K158" t="s">
        <v>441</v>
      </c>
      <c r="M158" t="s">
        <v>1050</v>
      </c>
      <c r="N158" t="s">
        <v>445</v>
      </c>
      <c r="O158" t="s">
        <v>1342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 spans="1:22" x14ac:dyDescent="0.25">
      <c r="A159">
        <v>156</v>
      </c>
      <c r="B159">
        <v>2</v>
      </c>
      <c r="C159" t="s">
        <v>1060</v>
      </c>
      <c r="D159">
        <v>4</v>
      </c>
      <c r="E159">
        <v>2</v>
      </c>
      <c r="F159">
        <v>1</v>
      </c>
      <c r="G159" t="s">
        <v>589</v>
      </c>
      <c r="H159">
        <v>1</v>
      </c>
      <c r="I159" t="s">
        <v>1061</v>
      </c>
      <c r="K159" t="s">
        <v>441</v>
      </c>
      <c r="M159" t="s">
        <v>1060</v>
      </c>
      <c r="N159" t="s">
        <v>445</v>
      </c>
      <c r="O159" t="s">
        <v>1342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</row>
    <row r="160" spans="1:22" x14ac:dyDescent="0.25">
      <c r="A160">
        <v>157</v>
      </c>
      <c r="B160">
        <v>2</v>
      </c>
      <c r="C160" t="s">
        <v>64</v>
      </c>
      <c r="D160">
        <v>3</v>
      </c>
      <c r="E160">
        <v>1</v>
      </c>
      <c r="F160">
        <v>1</v>
      </c>
      <c r="G160" t="s">
        <v>589</v>
      </c>
      <c r="H160">
        <v>1</v>
      </c>
      <c r="I160" t="s">
        <v>65</v>
      </c>
      <c r="K160" t="s">
        <v>441</v>
      </c>
      <c r="M160" t="e">
        <v>#N/A</v>
      </c>
      <c r="N160" t="e">
        <v>#N/A</v>
      </c>
      <c r="O160" t="e">
        <v>#N/A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e">
        <v>#N/A</v>
      </c>
    </row>
    <row r="161" spans="1:22" x14ac:dyDescent="0.25">
      <c r="A161">
        <v>158</v>
      </c>
      <c r="B161">
        <v>2</v>
      </c>
      <c r="C161" t="s">
        <v>1235</v>
      </c>
      <c r="D161">
        <v>4</v>
      </c>
      <c r="E161">
        <v>1</v>
      </c>
      <c r="F161">
        <v>1</v>
      </c>
      <c r="G161" t="s">
        <v>589</v>
      </c>
      <c r="H161">
        <v>1</v>
      </c>
      <c r="I161" t="s">
        <v>66</v>
      </c>
      <c r="K161" t="s">
        <v>441</v>
      </c>
      <c r="M161" t="e">
        <v>#N/A</v>
      </c>
      <c r="N161" t="e">
        <v>#N/A</v>
      </c>
      <c r="O161" t="e">
        <v>#N/A</v>
      </c>
      <c r="Q161" t="e">
        <v>#N/A</v>
      </c>
      <c r="R161" t="e">
        <v>#N/A</v>
      </c>
      <c r="S161" t="e">
        <v>#N/A</v>
      </c>
      <c r="T161" t="e">
        <v>#N/A</v>
      </c>
      <c r="U161" t="e">
        <v>#N/A</v>
      </c>
      <c r="V161" t="e">
        <v>#N/A</v>
      </c>
    </row>
    <row r="162" spans="1:22" x14ac:dyDescent="0.25">
      <c r="A162">
        <v>159</v>
      </c>
      <c r="B162">
        <v>2</v>
      </c>
      <c r="C162" t="s">
        <v>1058</v>
      </c>
      <c r="D162">
        <v>1</v>
      </c>
      <c r="E162">
        <v>1</v>
      </c>
      <c r="F162">
        <v>1</v>
      </c>
      <c r="G162" t="s">
        <v>589</v>
      </c>
      <c r="H162">
        <v>1</v>
      </c>
      <c r="I162" t="s">
        <v>1329</v>
      </c>
      <c r="K162" t="s">
        <v>441</v>
      </c>
      <c r="M162" t="s">
        <v>1058</v>
      </c>
      <c r="N162" t="s">
        <v>1247</v>
      </c>
      <c r="O162" t="s">
        <v>1342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</row>
    <row r="163" spans="1:22" x14ac:dyDescent="0.25">
      <c r="A163">
        <v>160</v>
      </c>
      <c r="B163">
        <v>2</v>
      </c>
      <c r="C163" t="s">
        <v>67</v>
      </c>
      <c r="D163">
        <v>1</v>
      </c>
      <c r="E163">
        <v>1</v>
      </c>
      <c r="F163">
        <v>1</v>
      </c>
      <c r="G163" t="s">
        <v>447</v>
      </c>
      <c r="H163">
        <v>19</v>
      </c>
      <c r="I163" t="s">
        <v>68</v>
      </c>
      <c r="K163" t="s">
        <v>441</v>
      </c>
      <c r="M163" t="e">
        <v>#N/A</v>
      </c>
      <c r="N163" t="e">
        <v>#N/A</v>
      </c>
      <c r="O163" t="e">
        <v>#N/A</v>
      </c>
      <c r="Q163" t="e">
        <v>#N/A</v>
      </c>
      <c r="R163" t="e">
        <v>#N/A</v>
      </c>
      <c r="S163" t="e">
        <v>#N/A</v>
      </c>
      <c r="T163" t="e">
        <v>#N/A</v>
      </c>
      <c r="U163" t="e">
        <v>#N/A</v>
      </c>
      <c r="V163" t="e">
        <v>#N/A</v>
      </c>
    </row>
    <row r="164" spans="1:22" x14ac:dyDescent="0.25">
      <c r="A164">
        <v>161</v>
      </c>
      <c r="B164">
        <v>2</v>
      </c>
      <c r="C164" t="s">
        <v>69</v>
      </c>
      <c r="D164">
        <v>2</v>
      </c>
      <c r="E164">
        <v>2</v>
      </c>
      <c r="F164">
        <v>1</v>
      </c>
      <c r="G164" t="s">
        <v>447</v>
      </c>
      <c r="H164">
        <v>9</v>
      </c>
      <c r="I164" t="s">
        <v>70</v>
      </c>
      <c r="K164" t="s">
        <v>441</v>
      </c>
      <c r="M164" t="e">
        <v>#N/A</v>
      </c>
      <c r="N164" t="e">
        <v>#N/A</v>
      </c>
      <c r="O164" t="e">
        <v>#N/A</v>
      </c>
      <c r="Q164" t="e">
        <v>#N/A</v>
      </c>
      <c r="R164" t="e">
        <v>#N/A</v>
      </c>
      <c r="S164" t="e">
        <v>#N/A</v>
      </c>
      <c r="T164" t="e">
        <v>#N/A</v>
      </c>
      <c r="U164" t="e">
        <v>#N/A</v>
      </c>
      <c r="V164" t="e">
        <v>#N/A</v>
      </c>
    </row>
    <row r="165" spans="1:22" x14ac:dyDescent="0.25">
      <c r="A165">
        <v>162</v>
      </c>
      <c r="B165">
        <v>2</v>
      </c>
      <c r="C165" t="s">
        <v>71</v>
      </c>
      <c r="D165">
        <v>1</v>
      </c>
      <c r="E165">
        <v>1</v>
      </c>
      <c r="F165">
        <v>1</v>
      </c>
      <c r="G165" t="s">
        <v>544</v>
      </c>
      <c r="H165">
        <v>12</v>
      </c>
      <c r="I165" t="s">
        <v>72</v>
      </c>
      <c r="K165" t="s">
        <v>441</v>
      </c>
      <c r="M165" t="e">
        <v>#N/A</v>
      </c>
      <c r="N165" t="e">
        <v>#N/A</v>
      </c>
      <c r="O165" t="e">
        <v>#N/A</v>
      </c>
      <c r="Q165" t="e">
        <v>#N/A</v>
      </c>
      <c r="R165" t="e">
        <v>#N/A</v>
      </c>
      <c r="S165" t="e">
        <v>#N/A</v>
      </c>
      <c r="T165" t="e">
        <v>#N/A</v>
      </c>
      <c r="U165" t="e">
        <v>#N/A</v>
      </c>
      <c r="V165" t="e">
        <v>#N/A</v>
      </c>
    </row>
    <row r="166" spans="1:22" x14ac:dyDescent="0.25">
      <c r="A166">
        <v>163</v>
      </c>
      <c r="B166">
        <v>2</v>
      </c>
      <c r="C166" t="s">
        <v>73</v>
      </c>
      <c r="D166">
        <v>8</v>
      </c>
      <c r="E166">
        <v>1</v>
      </c>
      <c r="F166">
        <v>1</v>
      </c>
      <c r="G166" t="s">
        <v>447</v>
      </c>
      <c r="H166">
        <v>2</v>
      </c>
      <c r="I166" t="s">
        <v>74</v>
      </c>
      <c r="K166" t="s">
        <v>441</v>
      </c>
      <c r="M166" t="e">
        <v>#N/A</v>
      </c>
      <c r="N166" t="e">
        <v>#N/A</v>
      </c>
      <c r="O166" t="e">
        <v>#N/A</v>
      </c>
      <c r="Q166" t="e">
        <v>#N/A</v>
      </c>
      <c r="R166" t="e">
        <v>#N/A</v>
      </c>
      <c r="S166" t="e">
        <v>#N/A</v>
      </c>
      <c r="T166" t="e">
        <v>#N/A</v>
      </c>
      <c r="U166" t="e">
        <v>#N/A</v>
      </c>
      <c r="V166" t="e">
        <v>#N/A</v>
      </c>
    </row>
    <row r="167" spans="1:22" x14ac:dyDescent="0.25">
      <c r="A167">
        <v>164</v>
      </c>
      <c r="B167">
        <v>2</v>
      </c>
      <c r="C167" t="s">
        <v>75</v>
      </c>
      <c r="D167">
        <v>1</v>
      </c>
      <c r="E167">
        <v>1</v>
      </c>
      <c r="F167">
        <v>1</v>
      </c>
      <c r="G167" t="s">
        <v>447</v>
      </c>
      <c r="H167">
        <v>2</v>
      </c>
      <c r="I167" t="s">
        <v>76</v>
      </c>
      <c r="K167" t="s">
        <v>441</v>
      </c>
      <c r="M167" t="e">
        <v>#N/A</v>
      </c>
      <c r="N167" t="e">
        <v>#N/A</v>
      </c>
      <c r="O167" t="e">
        <v>#N/A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e">
        <v>#N/A</v>
      </c>
    </row>
    <row r="168" spans="1:22" x14ac:dyDescent="0.25">
      <c r="A168">
        <v>165</v>
      </c>
      <c r="B168">
        <v>2</v>
      </c>
      <c r="C168" t="s">
        <v>77</v>
      </c>
      <c r="D168">
        <v>1</v>
      </c>
      <c r="E168">
        <v>1</v>
      </c>
      <c r="F168">
        <v>1</v>
      </c>
      <c r="G168" t="s">
        <v>447</v>
      </c>
      <c r="H168">
        <v>2</v>
      </c>
      <c r="I168" t="s">
        <v>78</v>
      </c>
      <c r="K168" t="s">
        <v>441</v>
      </c>
      <c r="M168" t="e">
        <v>#N/A</v>
      </c>
      <c r="N168" t="e">
        <v>#N/A</v>
      </c>
      <c r="O168" t="e">
        <v>#N/A</v>
      </c>
      <c r="Q168" t="e">
        <v>#N/A</v>
      </c>
      <c r="R168" t="e">
        <v>#N/A</v>
      </c>
      <c r="S168" t="e">
        <v>#N/A</v>
      </c>
      <c r="T168" t="e">
        <v>#N/A</v>
      </c>
      <c r="U168" t="e">
        <v>#N/A</v>
      </c>
      <c r="V168" t="e">
        <v>#N/A</v>
      </c>
    </row>
    <row r="169" spans="1:22" x14ac:dyDescent="0.25">
      <c r="A169">
        <v>166</v>
      </c>
      <c r="B169">
        <v>2</v>
      </c>
      <c r="C169" t="s">
        <v>79</v>
      </c>
      <c r="D169">
        <v>1</v>
      </c>
      <c r="E169">
        <v>1</v>
      </c>
      <c r="F169">
        <v>1</v>
      </c>
      <c r="G169" t="s">
        <v>447</v>
      </c>
      <c r="H169">
        <v>2</v>
      </c>
      <c r="I169" t="s">
        <v>80</v>
      </c>
      <c r="K169" t="s">
        <v>441</v>
      </c>
      <c r="M169" t="e">
        <v>#N/A</v>
      </c>
      <c r="N169" t="e">
        <v>#N/A</v>
      </c>
      <c r="O169" t="e">
        <v>#N/A</v>
      </c>
      <c r="Q169" t="e">
        <v>#N/A</v>
      </c>
      <c r="R169" t="e">
        <v>#N/A</v>
      </c>
      <c r="S169" t="e">
        <v>#N/A</v>
      </c>
      <c r="T169" t="e">
        <v>#N/A</v>
      </c>
      <c r="U169" t="e">
        <v>#N/A</v>
      </c>
      <c r="V169" t="e">
        <v>#N/A</v>
      </c>
    </row>
    <row r="170" spans="1:22" x14ac:dyDescent="0.25">
      <c r="A170">
        <v>167</v>
      </c>
      <c r="B170">
        <v>2</v>
      </c>
      <c r="C170" t="s">
        <v>81</v>
      </c>
      <c r="D170">
        <v>2</v>
      </c>
      <c r="E170">
        <v>8</v>
      </c>
      <c r="F170">
        <v>1</v>
      </c>
      <c r="G170" t="s">
        <v>544</v>
      </c>
      <c r="H170">
        <v>2</v>
      </c>
      <c r="I170" t="s">
        <v>82</v>
      </c>
      <c r="K170" t="s">
        <v>441</v>
      </c>
      <c r="M170" t="e">
        <v>#N/A</v>
      </c>
      <c r="N170" t="e">
        <v>#N/A</v>
      </c>
      <c r="O170" t="e">
        <v>#N/A</v>
      </c>
      <c r="Q170" t="e">
        <v>#N/A</v>
      </c>
      <c r="R170" t="e">
        <v>#N/A</v>
      </c>
      <c r="S170" t="e">
        <v>#N/A</v>
      </c>
      <c r="T170" t="e">
        <v>#N/A</v>
      </c>
      <c r="U170" t="e">
        <v>#N/A</v>
      </c>
      <c r="V170" t="e">
        <v>#N/A</v>
      </c>
    </row>
    <row r="171" spans="1:22" x14ac:dyDescent="0.25">
      <c r="A171">
        <v>168</v>
      </c>
      <c r="B171">
        <v>2</v>
      </c>
      <c r="C171" t="s">
        <v>83</v>
      </c>
      <c r="D171">
        <v>1</v>
      </c>
      <c r="E171">
        <v>1</v>
      </c>
      <c r="F171">
        <v>1</v>
      </c>
      <c r="G171" t="s">
        <v>544</v>
      </c>
      <c r="H171">
        <v>2</v>
      </c>
      <c r="I171" t="s">
        <v>84</v>
      </c>
      <c r="K171" t="s">
        <v>441</v>
      </c>
      <c r="M171" t="e">
        <v>#N/A</v>
      </c>
      <c r="N171" t="e">
        <v>#N/A</v>
      </c>
      <c r="O171" t="e">
        <v>#N/A</v>
      </c>
      <c r="Q171" t="e">
        <v>#N/A</v>
      </c>
      <c r="R171" t="e">
        <v>#N/A</v>
      </c>
      <c r="S171" t="e">
        <v>#N/A</v>
      </c>
      <c r="T171" t="e">
        <v>#N/A</v>
      </c>
      <c r="U171" t="e">
        <v>#N/A</v>
      </c>
      <c r="V171" t="e">
        <v>#N/A</v>
      </c>
    </row>
    <row r="172" spans="1:22" x14ac:dyDescent="0.25">
      <c r="A172">
        <v>169</v>
      </c>
      <c r="B172">
        <v>2</v>
      </c>
      <c r="C172" t="s">
        <v>85</v>
      </c>
      <c r="D172">
        <v>8</v>
      </c>
      <c r="E172">
        <v>1</v>
      </c>
      <c r="F172">
        <v>1</v>
      </c>
      <c r="G172" t="s">
        <v>544</v>
      </c>
      <c r="H172">
        <v>2</v>
      </c>
      <c r="I172" t="s">
        <v>86</v>
      </c>
      <c r="K172" t="s">
        <v>441</v>
      </c>
      <c r="M172" t="e">
        <v>#N/A</v>
      </c>
      <c r="N172" t="e">
        <v>#N/A</v>
      </c>
      <c r="O172" t="e">
        <v>#N/A</v>
      </c>
      <c r="Q172" t="e">
        <v>#N/A</v>
      </c>
      <c r="R172" t="e">
        <v>#N/A</v>
      </c>
      <c r="S172" t="e">
        <v>#N/A</v>
      </c>
      <c r="T172" t="e">
        <v>#N/A</v>
      </c>
      <c r="U172" t="e">
        <v>#N/A</v>
      </c>
      <c r="V172" t="e">
        <v>#N/A</v>
      </c>
    </row>
    <row r="173" spans="1:22" x14ac:dyDescent="0.25">
      <c r="A173">
        <v>170</v>
      </c>
      <c r="B173">
        <v>2</v>
      </c>
      <c r="C173" t="s">
        <v>87</v>
      </c>
      <c r="D173">
        <v>2</v>
      </c>
      <c r="E173">
        <v>8</v>
      </c>
      <c r="F173">
        <v>1</v>
      </c>
      <c r="G173" t="s">
        <v>544</v>
      </c>
      <c r="H173">
        <v>2</v>
      </c>
      <c r="I173" t="s">
        <v>88</v>
      </c>
      <c r="K173" t="s">
        <v>441</v>
      </c>
      <c r="M173" t="e">
        <v>#N/A</v>
      </c>
      <c r="N173" t="e">
        <v>#N/A</v>
      </c>
      <c r="O173" t="e">
        <v>#N/A</v>
      </c>
      <c r="Q173" t="e">
        <v>#N/A</v>
      </c>
      <c r="R173" t="e">
        <v>#N/A</v>
      </c>
      <c r="S173" t="e">
        <v>#N/A</v>
      </c>
      <c r="T173" t="e">
        <v>#N/A</v>
      </c>
      <c r="U173" t="e">
        <v>#N/A</v>
      </c>
      <c r="V173" t="e">
        <v>#N/A</v>
      </c>
    </row>
    <row r="174" spans="1:22" x14ac:dyDescent="0.25">
      <c r="A174">
        <v>171</v>
      </c>
      <c r="B174">
        <v>2</v>
      </c>
      <c r="C174" t="s">
        <v>1228</v>
      </c>
      <c r="D174">
        <v>1</v>
      </c>
      <c r="E174">
        <v>1</v>
      </c>
      <c r="F174">
        <v>1</v>
      </c>
      <c r="G174" t="s">
        <v>447</v>
      </c>
      <c r="H174">
        <v>2</v>
      </c>
      <c r="I174" t="s">
        <v>89</v>
      </c>
      <c r="K174" t="s">
        <v>441</v>
      </c>
      <c r="M174" t="e">
        <v>#N/A</v>
      </c>
      <c r="N174" t="e">
        <v>#N/A</v>
      </c>
      <c r="O174" t="e">
        <v>#N/A</v>
      </c>
      <c r="Q174" t="e">
        <v>#N/A</v>
      </c>
      <c r="R174" t="e">
        <v>#N/A</v>
      </c>
      <c r="S174" t="e">
        <v>#N/A</v>
      </c>
      <c r="T174" t="e">
        <v>#N/A</v>
      </c>
      <c r="U174" t="e">
        <v>#N/A</v>
      </c>
      <c r="V174" t="e">
        <v>#N/A</v>
      </c>
    </row>
    <row r="175" spans="1:22" x14ac:dyDescent="0.25">
      <c r="A175">
        <v>172</v>
      </c>
      <c r="B175">
        <v>2</v>
      </c>
      <c r="C175" t="s">
        <v>90</v>
      </c>
      <c r="D175">
        <v>1</v>
      </c>
      <c r="E175">
        <v>1</v>
      </c>
      <c r="F175">
        <v>1</v>
      </c>
      <c r="G175" t="s">
        <v>447</v>
      </c>
      <c r="H175">
        <v>1</v>
      </c>
      <c r="I175" t="s">
        <v>91</v>
      </c>
      <c r="K175" t="s">
        <v>441</v>
      </c>
      <c r="M175" t="e">
        <v>#N/A</v>
      </c>
      <c r="N175" t="e">
        <v>#N/A</v>
      </c>
      <c r="O175" t="e">
        <v>#N/A</v>
      </c>
      <c r="Q175" t="e">
        <v>#N/A</v>
      </c>
      <c r="R175" t="e">
        <v>#N/A</v>
      </c>
      <c r="S175" t="e">
        <v>#N/A</v>
      </c>
      <c r="T175" t="e">
        <v>#N/A</v>
      </c>
      <c r="U175" t="e">
        <v>#N/A</v>
      </c>
      <c r="V175" t="e">
        <v>#N/A</v>
      </c>
    </row>
    <row r="176" spans="1:22" x14ac:dyDescent="0.25">
      <c r="A176">
        <v>173</v>
      </c>
      <c r="B176">
        <v>2</v>
      </c>
      <c r="C176" t="s">
        <v>92</v>
      </c>
      <c r="D176">
        <v>2</v>
      </c>
      <c r="E176">
        <v>8</v>
      </c>
      <c r="F176">
        <v>1</v>
      </c>
      <c r="G176" t="s">
        <v>544</v>
      </c>
      <c r="H176">
        <v>1</v>
      </c>
      <c r="I176" t="s">
        <v>93</v>
      </c>
      <c r="K176" t="s">
        <v>441</v>
      </c>
      <c r="M176" t="e">
        <v>#N/A</v>
      </c>
      <c r="N176" t="e">
        <v>#N/A</v>
      </c>
      <c r="O176" t="e">
        <v>#N/A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  <c r="V176" t="e">
        <v>#N/A</v>
      </c>
    </row>
    <row r="177" spans="1:22" x14ac:dyDescent="0.25">
      <c r="A177">
        <v>174</v>
      </c>
      <c r="B177">
        <v>3</v>
      </c>
      <c r="C177" t="s">
        <v>1445</v>
      </c>
      <c r="D177">
        <v>2</v>
      </c>
      <c r="E177">
        <v>1</v>
      </c>
      <c r="F177">
        <v>1</v>
      </c>
      <c r="G177" t="s">
        <v>447</v>
      </c>
      <c r="H177">
        <v>1</v>
      </c>
      <c r="I177" t="s">
        <v>95</v>
      </c>
      <c r="K177" t="s">
        <v>441</v>
      </c>
      <c r="M177" t="e">
        <v>#N/A</v>
      </c>
      <c r="N177" t="e">
        <v>#N/A</v>
      </c>
      <c r="O177" t="e">
        <v>#N/A</v>
      </c>
      <c r="Q177" t="e">
        <v>#N/A</v>
      </c>
      <c r="R177" t="e">
        <v>#N/A</v>
      </c>
      <c r="S177" t="e">
        <v>#N/A</v>
      </c>
      <c r="T177" t="e">
        <v>#N/A</v>
      </c>
      <c r="U177" t="e">
        <v>#N/A</v>
      </c>
      <c r="V177" t="e">
        <v>#N/A</v>
      </c>
    </row>
    <row r="178" spans="1:22" x14ac:dyDescent="0.25">
      <c r="A178">
        <v>175</v>
      </c>
      <c r="B178">
        <v>3</v>
      </c>
      <c r="C178" t="s">
        <v>1447</v>
      </c>
      <c r="D178">
        <v>2</v>
      </c>
      <c r="E178">
        <v>1</v>
      </c>
      <c r="F178">
        <v>1</v>
      </c>
      <c r="G178" t="s">
        <v>447</v>
      </c>
      <c r="H178">
        <v>1</v>
      </c>
      <c r="I178" t="s">
        <v>96</v>
      </c>
      <c r="K178" t="s">
        <v>441</v>
      </c>
      <c r="M178" t="e">
        <v>#N/A</v>
      </c>
      <c r="N178" t="e">
        <v>#N/A</v>
      </c>
      <c r="O178" t="e">
        <v>#N/A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e">
        <v>#N/A</v>
      </c>
    </row>
    <row r="179" spans="1:22" x14ac:dyDescent="0.25">
      <c r="A179">
        <v>176</v>
      </c>
      <c r="B179">
        <v>3</v>
      </c>
      <c r="C179" t="s">
        <v>1449</v>
      </c>
      <c r="D179">
        <v>2</v>
      </c>
      <c r="E179">
        <v>1</v>
      </c>
      <c r="F179">
        <v>1</v>
      </c>
      <c r="G179" t="s">
        <v>447</v>
      </c>
      <c r="H179">
        <v>1</v>
      </c>
      <c r="I179" t="s">
        <v>97</v>
      </c>
      <c r="K179" t="s">
        <v>441</v>
      </c>
      <c r="M179" t="e">
        <v>#N/A</v>
      </c>
      <c r="N179" t="e">
        <v>#N/A</v>
      </c>
      <c r="O179" t="e">
        <v>#N/A</v>
      </c>
      <c r="Q179" t="e">
        <v>#N/A</v>
      </c>
      <c r="R179" t="e">
        <v>#N/A</v>
      </c>
      <c r="S179" t="e">
        <v>#N/A</v>
      </c>
      <c r="T179" t="e">
        <v>#N/A</v>
      </c>
      <c r="U179" t="e">
        <v>#N/A</v>
      </c>
      <c r="V179" t="e">
        <v>#N/A</v>
      </c>
    </row>
    <row r="180" spans="1:22" x14ac:dyDescent="0.25">
      <c r="A180">
        <v>177</v>
      </c>
      <c r="B180">
        <v>3</v>
      </c>
      <c r="C180" t="s">
        <v>958</v>
      </c>
      <c r="D180">
        <v>5</v>
      </c>
      <c r="E180">
        <v>1</v>
      </c>
      <c r="F180">
        <v>1</v>
      </c>
      <c r="G180" t="s">
        <v>544</v>
      </c>
      <c r="H180">
        <v>1</v>
      </c>
      <c r="I180" t="s">
        <v>98</v>
      </c>
      <c r="K180" t="s">
        <v>441</v>
      </c>
      <c r="M180" t="s">
        <v>958</v>
      </c>
      <c r="N180" t="s">
        <v>1247</v>
      </c>
      <c r="O180" t="s">
        <v>1342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 spans="1:22" x14ac:dyDescent="0.25">
      <c r="A181">
        <v>178</v>
      </c>
      <c r="B181">
        <v>3</v>
      </c>
      <c r="C181" t="s">
        <v>1241</v>
      </c>
      <c r="D181">
        <v>6</v>
      </c>
      <c r="E181">
        <v>1</v>
      </c>
      <c r="F181">
        <v>1</v>
      </c>
      <c r="G181" t="s">
        <v>544</v>
      </c>
      <c r="H181">
        <v>1</v>
      </c>
      <c r="I181" t="s">
        <v>99</v>
      </c>
      <c r="K181" t="s">
        <v>441</v>
      </c>
      <c r="M181" t="e">
        <v>#N/A</v>
      </c>
      <c r="N181" t="e">
        <v>#N/A</v>
      </c>
      <c r="O181" t="e">
        <v>#N/A</v>
      </c>
      <c r="Q181" t="e">
        <v>#N/A</v>
      </c>
      <c r="R181" t="e">
        <v>#N/A</v>
      </c>
      <c r="S181" t="e">
        <v>#N/A</v>
      </c>
      <c r="T181" t="e">
        <v>#N/A</v>
      </c>
      <c r="U181" t="e">
        <v>#N/A</v>
      </c>
      <c r="V181" t="e">
        <v>#N/A</v>
      </c>
    </row>
    <row r="182" spans="1:22" x14ac:dyDescent="0.25">
      <c r="A182">
        <v>179</v>
      </c>
      <c r="B182">
        <v>3</v>
      </c>
      <c r="C182" t="s">
        <v>1405</v>
      </c>
      <c r="D182">
        <v>1</v>
      </c>
      <c r="E182">
        <v>1</v>
      </c>
      <c r="F182">
        <v>1</v>
      </c>
      <c r="G182" t="s">
        <v>447</v>
      </c>
      <c r="H182">
        <v>1</v>
      </c>
      <c r="I182" t="s">
        <v>27</v>
      </c>
      <c r="K182" t="s">
        <v>441</v>
      </c>
      <c r="M182" t="e">
        <v>#N/A</v>
      </c>
      <c r="N182" t="e">
        <v>#N/A</v>
      </c>
      <c r="O182" t="e">
        <v>#N/A</v>
      </c>
      <c r="Q182" t="e">
        <v>#N/A</v>
      </c>
      <c r="R182" t="e">
        <v>#N/A</v>
      </c>
      <c r="S182" t="e">
        <v>#N/A</v>
      </c>
      <c r="T182" t="e">
        <v>#N/A</v>
      </c>
      <c r="U182" t="e">
        <v>#N/A</v>
      </c>
      <c r="V182" t="e">
        <v>#N/A</v>
      </c>
    </row>
    <row r="183" spans="1:22" x14ac:dyDescent="0.25">
      <c r="A183">
        <v>180</v>
      </c>
      <c r="B183">
        <v>3</v>
      </c>
      <c r="C183" t="s">
        <v>100</v>
      </c>
      <c r="D183">
        <v>1</v>
      </c>
      <c r="E183">
        <v>1</v>
      </c>
      <c r="F183">
        <v>1</v>
      </c>
      <c r="G183" t="s">
        <v>544</v>
      </c>
      <c r="H183">
        <v>1</v>
      </c>
      <c r="I183" t="s">
        <v>101</v>
      </c>
      <c r="K183" t="s">
        <v>441</v>
      </c>
      <c r="M183" t="e">
        <v>#N/A</v>
      </c>
      <c r="N183" t="e">
        <v>#N/A</v>
      </c>
      <c r="O183" t="e">
        <v>#N/A</v>
      </c>
      <c r="Q183" t="e">
        <v>#N/A</v>
      </c>
      <c r="R183" t="e">
        <v>#N/A</v>
      </c>
      <c r="S183" t="e">
        <v>#N/A</v>
      </c>
      <c r="T183" t="e">
        <v>#N/A</v>
      </c>
      <c r="U183" t="e">
        <v>#N/A</v>
      </c>
      <c r="V183" t="e">
        <v>#N/A</v>
      </c>
    </row>
    <row r="184" spans="1:22" x14ac:dyDescent="0.25">
      <c r="A184">
        <v>181</v>
      </c>
      <c r="B184">
        <v>3</v>
      </c>
      <c r="C184" t="s">
        <v>57</v>
      </c>
      <c r="D184">
        <v>1</v>
      </c>
      <c r="E184">
        <v>1</v>
      </c>
      <c r="F184">
        <v>1</v>
      </c>
      <c r="G184" t="s">
        <v>544</v>
      </c>
      <c r="H184">
        <v>1</v>
      </c>
      <c r="I184" t="s">
        <v>102</v>
      </c>
      <c r="K184" t="s">
        <v>441</v>
      </c>
      <c r="M184" t="e">
        <v>#N/A</v>
      </c>
      <c r="N184" t="e">
        <v>#N/A</v>
      </c>
      <c r="O184" t="e">
        <v>#N/A</v>
      </c>
      <c r="Q184" t="e">
        <v>#N/A</v>
      </c>
      <c r="R184" t="e">
        <v>#N/A</v>
      </c>
      <c r="S184" t="e">
        <v>#N/A</v>
      </c>
      <c r="T184" t="e">
        <v>#N/A</v>
      </c>
      <c r="U184" t="e">
        <v>#N/A</v>
      </c>
      <c r="V184" t="e">
        <v>#N/A</v>
      </c>
    </row>
    <row r="185" spans="1:22" x14ac:dyDescent="0.25">
      <c r="A185">
        <v>182</v>
      </c>
      <c r="B185">
        <v>3</v>
      </c>
      <c r="C185" t="s">
        <v>62</v>
      </c>
      <c r="D185">
        <v>2</v>
      </c>
      <c r="E185">
        <v>14</v>
      </c>
      <c r="F185">
        <v>1</v>
      </c>
      <c r="G185" t="s">
        <v>544</v>
      </c>
      <c r="H185">
        <v>1</v>
      </c>
      <c r="I185" t="s">
        <v>63</v>
      </c>
      <c r="K185" t="s">
        <v>441</v>
      </c>
      <c r="M185" t="e">
        <v>#N/A</v>
      </c>
      <c r="N185" t="e">
        <v>#N/A</v>
      </c>
      <c r="O185" t="e">
        <v>#N/A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  <c r="V185" t="e">
        <v>#N/A</v>
      </c>
    </row>
    <row r="186" spans="1:22" x14ac:dyDescent="0.25">
      <c r="A186">
        <v>183</v>
      </c>
      <c r="B186">
        <v>3</v>
      </c>
      <c r="C186" t="s">
        <v>60</v>
      </c>
      <c r="D186">
        <v>2</v>
      </c>
      <c r="E186">
        <v>2</v>
      </c>
      <c r="F186">
        <v>14</v>
      </c>
      <c r="G186" t="s">
        <v>544</v>
      </c>
      <c r="H186">
        <v>1</v>
      </c>
      <c r="I186" t="s">
        <v>61</v>
      </c>
      <c r="K186" t="s">
        <v>441</v>
      </c>
      <c r="M186" t="e">
        <v>#N/A</v>
      </c>
      <c r="N186" t="e">
        <v>#N/A</v>
      </c>
      <c r="O186" t="e">
        <v>#N/A</v>
      </c>
      <c r="Q186" t="e">
        <v>#N/A</v>
      </c>
      <c r="R186" t="e">
        <v>#N/A</v>
      </c>
      <c r="S186" t="e">
        <v>#N/A</v>
      </c>
      <c r="T186" t="e">
        <v>#N/A</v>
      </c>
      <c r="U186" t="e">
        <v>#N/A</v>
      </c>
      <c r="V186" t="e">
        <v>#N/A</v>
      </c>
    </row>
    <row r="187" spans="1:22" x14ac:dyDescent="0.25">
      <c r="A187">
        <v>184</v>
      </c>
      <c r="B187">
        <v>3</v>
      </c>
      <c r="C187" t="s">
        <v>103</v>
      </c>
      <c r="D187">
        <v>3</v>
      </c>
      <c r="E187">
        <v>1</v>
      </c>
      <c r="F187">
        <v>1</v>
      </c>
      <c r="G187" t="s">
        <v>589</v>
      </c>
      <c r="H187">
        <v>1</v>
      </c>
      <c r="I187" t="s">
        <v>104</v>
      </c>
      <c r="K187" t="s">
        <v>441</v>
      </c>
      <c r="M187" t="e">
        <v>#N/A</v>
      </c>
      <c r="N187" t="e">
        <v>#N/A</v>
      </c>
      <c r="O187" t="e">
        <v>#N/A</v>
      </c>
      <c r="Q187" t="e">
        <v>#N/A</v>
      </c>
      <c r="R187" t="e">
        <v>#N/A</v>
      </c>
      <c r="S187" t="e">
        <v>#N/A</v>
      </c>
      <c r="T187" t="e">
        <v>#N/A</v>
      </c>
      <c r="U187" t="e">
        <v>#N/A</v>
      </c>
      <c r="V187" t="e">
        <v>#N/A</v>
      </c>
    </row>
    <row r="188" spans="1:22" x14ac:dyDescent="0.25">
      <c r="A188">
        <v>185</v>
      </c>
      <c r="B188">
        <v>3</v>
      </c>
      <c r="C188" t="s">
        <v>1235</v>
      </c>
      <c r="D188">
        <v>4</v>
      </c>
      <c r="E188">
        <v>1</v>
      </c>
      <c r="F188">
        <v>1</v>
      </c>
      <c r="G188" t="s">
        <v>589</v>
      </c>
      <c r="H188">
        <v>1</v>
      </c>
      <c r="I188" t="s">
        <v>105</v>
      </c>
      <c r="K188" t="s">
        <v>441</v>
      </c>
      <c r="M188" t="e">
        <v>#N/A</v>
      </c>
      <c r="N188" t="e">
        <v>#N/A</v>
      </c>
      <c r="O188" t="e">
        <v>#N/A</v>
      </c>
      <c r="Q188" t="e">
        <v>#N/A</v>
      </c>
      <c r="R188" t="e">
        <v>#N/A</v>
      </c>
      <c r="S188" t="e">
        <v>#N/A</v>
      </c>
      <c r="T188" t="e">
        <v>#N/A</v>
      </c>
      <c r="U188" t="e">
        <v>#N/A</v>
      </c>
      <c r="V188" t="e">
        <v>#N/A</v>
      </c>
    </row>
    <row r="189" spans="1:22" x14ac:dyDescent="0.25">
      <c r="A189">
        <v>186</v>
      </c>
      <c r="B189">
        <v>3</v>
      </c>
      <c r="C189" t="s">
        <v>64</v>
      </c>
      <c r="D189">
        <v>3</v>
      </c>
      <c r="E189">
        <v>1</v>
      </c>
      <c r="F189">
        <v>1</v>
      </c>
      <c r="G189" t="s">
        <v>589</v>
      </c>
      <c r="H189">
        <v>1</v>
      </c>
      <c r="I189" t="s">
        <v>106</v>
      </c>
      <c r="K189" t="s">
        <v>441</v>
      </c>
      <c r="M189" t="e">
        <v>#N/A</v>
      </c>
      <c r="N189" t="e">
        <v>#N/A</v>
      </c>
      <c r="O189" t="e">
        <v>#N/A</v>
      </c>
      <c r="Q189" t="e">
        <v>#N/A</v>
      </c>
      <c r="R189" t="e">
        <v>#N/A</v>
      </c>
      <c r="S189" t="e">
        <v>#N/A</v>
      </c>
      <c r="T189" t="e">
        <v>#N/A</v>
      </c>
      <c r="U189" t="e">
        <v>#N/A</v>
      </c>
      <c r="V189" t="e">
        <v>#N/A</v>
      </c>
    </row>
    <row r="190" spans="1:22" x14ac:dyDescent="0.25">
      <c r="A190">
        <v>187</v>
      </c>
      <c r="B190">
        <v>3</v>
      </c>
      <c r="C190" t="s">
        <v>543</v>
      </c>
      <c r="D190">
        <v>1</v>
      </c>
      <c r="E190">
        <v>1</v>
      </c>
      <c r="F190">
        <v>1</v>
      </c>
      <c r="G190" t="s">
        <v>544</v>
      </c>
      <c r="H190">
        <v>1</v>
      </c>
      <c r="I190" t="s">
        <v>1258</v>
      </c>
      <c r="K190" t="s">
        <v>441</v>
      </c>
      <c r="M190" t="s">
        <v>543</v>
      </c>
      <c r="N190" t="s">
        <v>1247</v>
      </c>
      <c r="O190" t="s">
        <v>1247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 spans="1:22" x14ac:dyDescent="0.25">
      <c r="A191">
        <v>188</v>
      </c>
      <c r="B191">
        <v>3</v>
      </c>
      <c r="C191" t="s">
        <v>32</v>
      </c>
      <c r="D191">
        <v>2</v>
      </c>
      <c r="E191">
        <v>14</v>
      </c>
      <c r="F191">
        <v>1</v>
      </c>
      <c r="G191" t="s">
        <v>544</v>
      </c>
      <c r="H191">
        <v>1</v>
      </c>
      <c r="I191" t="s">
        <v>33</v>
      </c>
      <c r="K191" t="s">
        <v>441</v>
      </c>
      <c r="M191" t="e">
        <v>#N/A</v>
      </c>
      <c r="N191" t="e">
        <v>#N/A</v>
      </c>
      <c r="O191" t="e">
        <v>#N/A</v>
      </c>
      <c r="Q191" t="e">
        <v>#N/A</v>
      </c>
      <c r="R191" t="e">
        <v>#N/A</v>
      </c>
      <c r="S191" t="e">
        <v>#N/A</v>
      </c>
      <c r="T191" t="e">
        <v>#N/A</v>
      </c>
      <c r="U191" t="e">
        <v>#N/A</v>
      </c>
      <c r="V191" t="e">
        <v>#N/A</v>
      </c>
    </row>
    <row r="192" spans="1:22" x14ac:dyDescent="0.25">
      <c r="A192">
        <v>189</v>
      </c>
      <c r="B192">
        <v>3</v>
      </c>
      <c r="C192" t="s">
        <v>783</v>
      </c>
      <c r="D192">
        <v>1</v>
      </c>
      <c r="E192">
        <v>1</v>
      </c>
      <c r="F192">
        <v>1</v>
      </c>
      <c r="G192" t="s">
        <v>447</v>
      </c>
      <c r="H192">
        <v>9</v>
      </c>
      <c r="I192" t="s">
        <v>107</v>
      </c>
      <c r="K192" t="s">
        <v>441</v>
      </c>
      <c r="M192" t="s">
        <v>783</v>
      </c>
      <c r="N192" t="s">
        <v>445</v>
      </c>
      <c r="O192" t="s">
        <v>1342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 spans="1:22" x14ac:dyDescent="0.25">
      <c r="A193">
        <v>190</v>
      </c>
      <c r="B193">
        <v>3</v>
      </c>
      <c r="C193" t="s">
        <v>785</v>
      </c>
      <c r="D193">
        <v>1</v>
      </c>
      <c r="E193">
        <v>1</v>
      </c>
      <c r="F193">
        <v>1</v>
      </c>
      <c r="G193" t="s">
        <v>447</v>
      </c>
      <c r="H193">
        <v>9</v>
      </c>
      <c r="I193" t="s">
        <v>1296</v>
      </c>
      <c r="K193" t="s">
        <v>441</v>
      </c>
      <c r="M193" t="s">
        <v>785</v>
      </c>
      <c r="N193" t="s">
        <v>445</v>
      </c>
      <c r="O193" t="s">
        <v>1342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 spans="1:22" x14ac:dyDescent="0.25">
      <c r="A194">
        <v>191</v>
      </c>
      <c r="B194">
        <v>3</v>
      </c>
      <c r="C194" t="s">
        <v>108</v>
      </c>
      <c r="D194">
        <v>1</v>
      </c>
      <c r="E194">
        <v>1</v>
      </c>
      <c r="F194">
        <v>1</v>
      </c>
      <c r="G194" t="s">
        <v>447</v>
      </c>
      <c r="H194">
        <v>2</v>
      </c>
      <c r="I194" t="s">
        <v>109</v>
      </c>
      <c r="K194" t="s">
        <v>441</v>
      </c>
      <c r="M194" t="e">
        <v>#N/A</v>
      </c>
      <c r="N194" t="e">
        <v>#N/A</v>
      </c>
      <c r="O194" t="e">
        <v>#N/A</v>
      </c>
      <c r="Q194" t="e">
        <v>#N/A</v>
      </c>
      <c r="R194" t="e">
        <v>#N/A</v>
      </c>
      <c r="S194" t="e">
        <v>#N/A</v>
      </c>
      <c r="T194" t="e">
        <v>#N/A</v>
      </c>
      <c r="U194" t="e">
        <v>#N/A</v>
      </c>
      <c r="V194" t="e">
        <v>#N/A</v>
      </c>
    </row>
    <row r="195" spans="1:22" x14ac:dyDescent="0.25">
      <c r="A195">
        <v>192</v>
      </c>
      <c r="B195">
        <v>3</v>
      </c>
      <c r="C195" t="s">
        <v>110</v>
      </c>
      <c r="D195">
        <v>2</v>
      </c>
      <c r="E195">
        <v>1</v>
      </c>
      <c r="F195">
        <v>1</v>
      </c>
      <c r="G195" t="s">
        <v>447</v>
      </c>
      <c r="H195">
        <v>2</v>
      </c>
      <c r="I195" t="s">
        <v>111</v>
      </c>
      <c r="K195" t="s">
        <v>441</v>
      </c>
      <c r="M195" t="e">
        <v>#N/A</v>
      </c>
      <c r="N195" t="e">
        <v>#N/A</v>
      </c>
      <c r="O195" t="e">
        <v>#N/A</v>
      </c>
      <c r="Q195" t="e">
        <v>#N/A</v>
      </c>
      <c r="R195" t="e">
        <v>#N/A</v>
      </c>
      <c r="S195" t="e">
        <v>#N/A</v>
      </c>
      <c r="T195" t="e">
        <v>#N/A</v>
      </c>
      <c r="U195" t="e">
        <v>#N/A</v>
      </c>
      <c r="V195" t="e">
        <v>#N/A</v>
      </c>
    </row>
    <row r="196" spans="1:22" x14ac:dyDescent="0.25">
      <c r="A196">
        <v>193</v>
      </c>
      <c r="B196">
        <v>3</v>
      </c>
      <c r="C196" t="s">
        <v>112</v>
      </c>
      <c r="D196">
        <v>1</v>
      </c>
      <c r="E196">
        <v>1</v>
      </c>
      <c r="F196">
        <v>1</v>
      </c>
      <c r="G196" t="s">
        <v>544</v>
      </c>
      <c r="H196">
        <v>2</v>
      </c>
      <c r="I196" t="s">
        <v>113</v>
      </c>
      <c r="K196" t="s">
        <v>441</v>
      </c>
      <c r="M196" t="e">
        <v>#N/A</v>
      </c>
      <c r="N196" t="e">
        <v>#N/A</v>
      </c>
      <c r="O196" t="e">
        <v>#N/A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e">
        <v>#N/A</v>
      </c>
    </row>
    <row r="197" spans="1:22" x14ac:dyDescent="0.25">
      <c r="A197">
        <v>194</v>
      </c>
      <c r="B197">
        <v>3</v>
      </c>
      <c r="C197" t="s">
        <v>114</v>
      </c>
      <c r="D197">
        <v>2</v>
      </c>
      <c r="E197">
        <v>1</v>
      </c>
      <c r="F197">
        <v>1</v>
      </c>
      <c r="G197" t="s">
        <v>544</v>
      </c>
      <c r="H197">
        <v>2</v>
      </c>
      <c r="I197" t="s">
        <v>118</v>
      </c>
      <c r="K197" t="s">
        <v>441</v>
      </c>
      <c r="M197" t="e">
        <v>#N/A</v>
      </c>
      <c r="N197" t="e">
        <v>#N/A</v>
      </c>
      <c r="O197" t="e">
        <v>#N/A</v>
      </c>
      <c r="Q197" t="e">
        <v>#N/A</v>
      </c>
      <c r="R197" t="e">
        <v>#N/A</v>
      </c>
      <c r="S197" t="e">
        <v>#N/A</v>
      </c>
      <c r="T197" t="e">
        <v>#N/A</v>
      </c>
      <c r="U197" t="e">
        <v>#N/A</v>
      </c>
      <c r="V197" t="e">
        <v>#N/A</v>
      </c>
    </row>
    <row r="198" spans="1:22" x14ac:dyDescent="0.25">
      <c r="A198">
        <v>195</v>
      </c>
      <c r="B198">
        <v>3</v>
      </c>
      <c r="C198" t="s">
        <v>119</v>
      </c>
      <c r="D198">
        <v>2</v>
      </c>
      <c r="E198">
        <v>1</v>
      </c>
      <c r="F198">
        <v>1</v>
      </c>
      <c r="G198" t="s">
        <v>544</v>
      </c>
      <c r="H198">
        <v>2</v>
      </c>
      <c r="I198" t="s">
        <v>120</v>
      </c>
      <c r="K198" t="s">
        <v>441</v>
      </c>
      <c r="M198" t="e">
        <v>#N/A</v>
      </c>
      <c r="N198" t="e">
        <v>#N/A</v>
      </c>
      <c r="O198" t="e">
        <v>#N/A</v>
      </c>
      <c r="Q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e">
        <v>#N/A</v>
      </c>
    </row>
    <row r="199" spans="1:22" x14ac:dyDescent="0.25">
      <c r="A199">
        <v>196</v>
      </c>
      <c r="B199">
        <v>3</v>
      </c>
      <c r="C199" t="s">
        <v>121</v>
      </c>
      <c r="D199">
        <v>2</v>
      </c>
      <c r="E199">
        <v>1</v>
      </c>
      <c r="F199">
        <v>1</v>
      </c>
      <c r="G199" t="s">
        <v>544</v>
      </c>
      <c r="H199">
        <v>2</v>
      </c>
      <c r="I199" t="s">
        <v>122</v>
      </c>
      <c r="K199" t="s">
        <v>441</v>
      </c>
      <c r="M199" t="e">
        <v>#N/A</v>
      </c>
      <c r="N199" t="e">
        <v>#N/A</v>
      </c>
      <c r="O199" t="e">
        <v>#N/A</v>
      </c>
      <c r="Q199" t="e">
        <v>#N/A</v>
      </c>
      <c r="R199" t="e">
        <v>#N/A</v>
      </c>
      <c r="S199" t="e">
        <v>#N/A</v>
      </c>
      <c r="T199" t="e">
        <v>#N/A</v>
      </c>
      <c r="U199" t="e">
        <v>#N/A</v>
      </c>
      <c r="V199" t="e">
        <v>#N/A</v>
      </c>
    </row>
    <row r="200" spans="1:22" x14ac:dyDescent="0.25">
      <c r="A200">
        <v>197</v>
      </c>
      <c r="B200">
        <v>3</v>
      </c>
      <c r="C200" t="s">
        <v>123</v>
      </c>
      <c r="D200">
        <v>1</v>
      </c>
      <c r="E200">
        <v>1</v>
      </c>
      <c r="F200">
        <v>1</v>
      </c>
      <c r="G200" t="s">
        <v>544</v>
      </c>
      <c r="H200">
        <v>2</v>
      </c>
      <c r="I200" t="s">
        <v>124</v>
      </c>
      <c r="K200" t="s">
        <v>441</v>
      </c>
      <c r="M200" t="e">
        <v>#N/A</v>
      </c>
      <c r="N200" t="e">
        <v>#N/A</v>
      </c>
      <c r="O200" t="e">
        <v>#N/A</v>
      </c>
      <c r="Q200" t="e">
        <v>#N/A</v>
      </c>
      <c r="R200" t="e">
        <v>#N/A</v>
      </c>
      <c r="S200" t="e">
        <v>#N/A</v>
      </c>
      <c r="T200" t="e">
        <v>#N/A</v>
      </c>
      <c r="U200" t="e">
        <v>#N/A</v>
      </c>
      <c r="V200" t="e">
        <v>#N/A</v>
      </c>
    </row>
    <row r="201" spans="1:22" x14ac:dyDescent="0.25">
      <c r="A201">
        <v>198</v>
      </c>
      <c r="B201">
        <v>3</v>
      </c>
      <c r="C201" t="s">
        <v>125</v>
      </c>
      <c r="D201">
        <v>1</v>
      </c>
      <c r="E201">
        <v>1</v>
      </c>
      <c r="F201">
        <v>1</v>
      </c>
      <c r="G201" t="s">
        <v>544</v>
      </c>
      <c r="H201">
        <v>2</v>
      </c>
      <c r="I201" t="s">
        <v>126</v>
      </c>
      <c r="K201" t="s">
        <v>441</v>
      </c>
      <c r="M201" t="e">
        <v>#N/A</v>
      </c>
      <c r="N201" t="e">
        <v>#N/A</v>
      </c>
      <c r="O201" t="e">
        <v>#N/A</v>
      </c>
      <c r="Q201" t="e">
        <v>#N/A</v>
      </c>
      <c r="R201" t="e">
        <v>#N/A</v>
      </c>
      <c r="S201" t="e">
        <v>#N/A</v>
      </c>
      <c r="T201" t="e">
        <v>#N/A</v>
      </c>
      <c r="U201" t="e">
        <v>#N/A</v>
      </c>
      <c r="V201" t="e">
        <v>#N/A</v>
      </c>
    </row>
    <row r="202" spans="1:22" x14ac:dyDescent="0.25">
      <c r="A202">
        <v>199</v>
      </c>
      <c r="B202">
        <v>3</v>
      </c>
      <c r="C202" t="s">
        <v>127</v>
      </c>
      <c r="D202">
        <v>1</v>
      </c>
      <c r="E202">
        <v>1</v>
      </c>
      <c r="F202">
        <v>1</v>
      </c>
      <c r="G202" t="s">
        <v>447</v>
      </c>
      <c r="H202">
        <v>1</v>
      </c>
      <c r="I202" t="s">
        <v>128</v>
      </c>
      <c r="K202" t="s">
        <v>441</v>
      </c>
      <c r="M202" t="e">
        <v>#N/A</v>
      </c>
      <c r="N202" t="e">
        <v>#N/A</v>
      </c>
      <c r="O202" t="e">
        <v>#N/A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e">
        <v>#N/A</v>
      </c>
    </row>
    <row r="203" spans="1:22" x14ac:dyDescent="0.25">
      <c r="A203">
        <v>200</v>
      </c>
      <c r="B203">
        <v>3</v>
      </c>
      <c r="C203" t="s">
        <v>129</v>
      </c>
      <c r="D203">
        <v>2</v>
      </c>
      <c r="E203">
        <v>1</v>
      </c>
      <c r="F203">
        <v>1</v>
      </c>
      <c r="G203" t="s">
        <v>447</v>
      </c>
      <c r="H203">
        <v>1</v>
      </c>
      <c r="I203" t="s">
        <v>130</v>
      </c>
      <c r="K203" t="s">
        <v>441</v>
      </c>
      <c r="M203" t="e">
        <v>#N/A</v>
      </c>
      <c r="N203" t="e">
        <v>#N/A</v>
      </c>
      <c r="O203" t="e">
        <v>#N/A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e">
        <v>#N/A</v>
      </c>
    </row>
    <row r="204" spans="1:22" x14ac:dyDescent="0.25">
      <c r="A204">
        <v>201</v>
      </c>
      <c r="B204">
        <v>3</v>
      </c>
      <c r="C204" t="s">
        <v>131</v>
      </c>
      <c r="D204">
        <v>2</v>
      </c>
      <c r="E204">
        <v>1</v>
      </c>
      <c r="F204">
        <v>1</v>
      </c>
      <c r="G204" t="s">
        <v>447</v>
      </c>
      <c r="H204">
        <v>1</v>
      </c>
      <c r="I204" t="s">
        <v>132</v>
      </c>
      <c r="K204" t="s">
        <v>441</v>
      </c>
      <c r="M204" t="e">
        <v>#N/A</v>
      </c>
      <c r="N204" t="e">
        <v>#N/A</v>
      </c>
      <c r="O204" t="e">
        <v>#N/A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  <c r="V204" t="e">
        <v>#N/A</v>
      </c>
    </row>
    <row r="205" spans="1:22" x14ac:dyDescent="0.25">
      <c r="A205">
        <v>202</v>
      </c>
      <c r="B205">
        <v>3</v>
      </c>
      <c r="C205" t="s">
        <v>133</v>
      </c>
      <c r="D205">
        <v>2</v>
      </c>
      <c r="E205">
        <v>1</v>
      </c>
      <c r="F205">
        <v>1</v>
      </c>
      <c r="G205" t="s">
        <v>447</v>
      </c>
      <c r="H205">
        <v>1</v>
      </c>
      <c r="I205" t="s">
        <v>134</v>
      </c>
      <c r="K205" t="s">
        <v>441</v>
      </c>
      <c r="M205" t="e">
        <v>#N/A</v>
      </c>
      <c r="N205" t="e">
        <v>#N/A</v>
      </c>
      <c r="O205" t="e">
        <v>#N/A</v>
      </c>
      <c r="Q205" t="e">
        <v>#N/A</v>
      </c>
      <c r="R205" t="e">
        <v>#N/A</v>
      </c>
      <c r="S205" t="e">
        <v>#N/A</v>
      </c>
      <c r="T205" t="e">
        <v>#N/A</v>
      </c>
      <c r="U205" t="e">
        <v>#N/A</v>
      </c>
      <c r="V205" t="e">
        <v>#N/A</v>
      </c>
    </row>
    <row r="206" spans="1:22" x14ac:dyDescent="0.25">
      <c r="A206">
        <v>203</v>
      </c>
      <c r="B206">
        <v>3</v>
      </c>
      <c r="C206" t="s">
        <v>135</v>
      </c>
      <c r="D206">
        <v>2</v>
      </c>
      <c r="E206">
        <v>1</v>
      </c>
      <c r="F206">
        <v>1</v>
      </c>
      <c r="G206" t="s">
        <v>447</v>
      </c>
      <c r="H206">
        <v>1</v>
      </c>
      <c r="I206" t="s">
        <v>136</v>
      </c>
      <c r="K206" t="s">
        <v>441</v>
      </c>
      <c r="M206" t="e">
        <v>#N/A</v>
      </c>
      <c r="N206" t="e">
        <v>#N/A</v>
      </c>
      <c r="O206" t="e">
        <v>#N/A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e">
        <v>#N/A</v>
      </c>
    </row>
    <row r="207" spans="1:22" x14ac:dyDescent="0.25">
      <c r="A207">
        <v>204</v>
      </c>
      <c r="B207">
        <v>1</v>
      </c>
      <c r="C207" t="s">
        <v>449</v>
      </c>
      <c r="D207">
        <v>3</v>
      </c>
      <c r="E207">
        <v>1</v>
      </c>
      <c r="F207">
        <v>1</v>
      </c>
      <c r="G207" t="s">
        <v>447</v>
      </c>
      <c r="H207">
        <v>1</v>
      </c>
      <c r="I207" t="s">
        <v>450</v>
      </c>
      <c r="K207" t="s">
        <v>1348</v>
      </c>
      <c r="M207" t="s">
        <v>449</v>
      </c>
      <c r="N207" t="s">
        <v>1247</v>
      </c>
      <c r="O207" t="s">
        <v>1344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 spans="1:22" x14ac:dyDescent="0.25">
      <c r="A208">
        <v>205</v>
      </c>
      <c r="B208">
        <v>1</v>
      </c>
      <c r="C208" t="s">
        <v>451</v>
      </c>
      <c r="D208">
        <v>1</v>
      </c>
      <c r="E208">
        <v>1</v>
      </c>
      <c r="F208">
        <v>1</v>
      </c>
      <c r="G208" t="s">
        <v>447</v>
      </c>
      <c r="H208">
        <v>1</v>
      </c>
      <c r="I208" t="s">
        <v>452</v>
      </c>
      <c r="K208" t="s">
        <v>1348</v>
      </c>
      <c r="M208" t="s">
        <v>451</v>
      </c>
      <c r="N208" t="s">
        <v>1247</v>
      </c>
      <c r="O208" t="s">
        <v>1344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 spans="1:22" x14ac:dyDescent="0.25">
      <c r="A209">
        <v>206</v>
      </c>
      <c r="B209">
        <v>1</v>
      </c>
      <c r="C209" t="s">
        <v>453</v>
      </c>
      <c r="D209">
        <v>1</v>
      </c>
      <c r="E209">
        <v>1</v>
      </c>
      <c r="F209">
        <v>1</v>
      </c>
      <c r="G209" t="s">
        <v>447</v>
      </c>
      <c r="H209">
        <v>1</v>
      </c>
      <c r="I209" t="s">
        <v>454</v>
      </c>
      <c r="K209" t="s">
        <v>1348</v>
      </c>
      <c r="M209" t="s">
        <v>453</v>
      </c>
      <c r="N209" t="s">
        <v>1247</v>
      </c>
      <c r="O209" t="s">
        <v>1344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 spans="1:22" x14ac:dyDescent="0.25">
      <c r="A210">
        <v>207</v>
      </c>
      <c r="B210">
        <v>1</v>
      </c>
      <c r="C210" t="s">
        <v>455</v>
      </c>
      <c r="D210">
        <v>1</v>
      </c>
      <c r="E210">
        <v>1</v>
      </c>
      <c r="F210">
        <v>1</v>
      </c>
      <c r="G210" t="s">
        <v>447</v>
      </c>
      <c r="H210">
        <v>1</v>
      </c>
      <c r="I210" t="s">
        <v>456</v>
      </c>
      <c r="K210" t="s">
        <v>1348</v>
      </c>
      <c r="M210" t="s">
        <v>455</v>
      </c>
      <c r="N210" t="s">
        <v>1247</v>
      </c>
      <c r="O210" t="s">
        <v>1344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</row>
    <row r="211" spans="1:22" x14ac:dyDescent="0.25">
      <c r="A211">
        <v>208</v>
      </c>
      <c r="B211">
        <v>1</v>
      </c>
      <c r="C211" t="s">
        <v>457</v>
      </c>
      <c r="D211">
        <v>1</v>
      </c>
      <c r="E211">
        <v>1</v>
      </c>
      <c r="F211">
        <v>1</v>
      </c>
      <c r="G211" t="s">
        <v>447</v>
      </c>
      <c r="H211">
        <v>1</v>
      </c>
      <c r="I211" t="s">
        <v>458</v>
      </c>
      <c r="K211" t="s">
        <v>1348</v>
      </c>
      <c r="M211" t="s">
        <v>457</v>
      </c>
      <c r="N211" t="s">
        <v>445</v>
      </c>
      <c r="O211" t="s">
        <v>1344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 spans="1:22" x14ac:dyDescent="0.25">
      <c r="A212">
        <v>209</v>
      </c>
      <c r="B212">
        <v>1</v>
      </c>
      <c r="C212" t="s">
        <v>459</v>
      </c>
      <c r="D212">
        <v>1</v>
      </c>
      <c r="E212">
        <v>1</v>
      </c>
      <c r="F212">
        <v>1</v>
      </c>
      <c r="G212" t="s">
        <v>447</v>
      </c>
      <c r="H212">
        <v>1</v>
      </c>
      <c r="I212" t="s">
        <v>460</v>
      </c>
      <c r="K212" t="s">
        <v>1348</v>
      </c>
      <c r="M212" t="s">
        <v>459</v>
      </c>
      <c r="N212" t="s">
        <v>445</v>
      </c>
      <c r="O212" t="s">
        <v>1344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 spans="1:22" x14ac:dyDescent="0.25">
      <c r="A213">
        <v>210</v>
      </c>
      <c r="B213">
        <v>1</v>
      </c>
      <c r="C213" t="s">
        <v>461</v>
      </c>
      <c r="D213">
        <v>1</v>
      </c>
      <c r="E213">
        <v>1</v>
      </c>
      <c r="F213">
        <v>1</v>
      </c>
      <c r="G213" t="s">
        <v>447</v>
      </c>
      <c r="H213">
        <v>1</v>
      </c>
      <c r="I213" t="s">
        <v>462</v>
      </c>
      <c r="K213" t="s">
        <v>1348</v>
      </c>
      <c r="M213" t="s">
        <v>461</v>
      </c>
      <c r="N213" t="s">
        <v>1247</v>
      </c>
      <c r="O213" t="s">
        <v>1344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 spans="1:22" x14ac:dyDescent="0.25">
      <c r="A214">
        <v>211</v>
      </c>
      <c r="B214">
        <v>1</v>
      </c>
      <c r="C214" t="s">
        <v>463</v>
      </c>
      <c r="D214">
        <v>1</v>
      </c>
      <c r="E214">
        <v>1</v>
      </c>
      <c r="F214">
        <v>1</v>
      </c>
      <c r="G214" t="s">
        <v>447</v>
      </c>
      <c r="H214">
        <v>1</v>
      </c>
      <c r="I214" t="s">
        <v>464</v>
      </c>
      <c r="K214" t="s">
        <v>1348</v>
      </c>
      <c r="M214" t="s">
        <v>463</v>
      </c>
      <c r="N214" t="s">
        <v>445</v>
      </c>
      <c r="O214" t="s">
        <v>1344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 spans="1:22" x14ac:dyDescent="0.25">
      <c r="A215">
        <v>212</v>
      </c>
      <c r="B215">
        <v>1</v>
      </c>
      <c r="C215" t="s">
        <v>465</v>
      </c>
      <c r="D215">
        <v>1</v>
      </c>
      <c r="E215">
        <v>1</v>
      </c>
      <c r="F215">
        <v>1</v>
      </c>
      <c r="G215" t="s">
        <v>447</v>
      </c>
      <c r="H215">
        <v>1</v>
      </c>
      <c r="I215" t="s">
        <v>466</v>
      </c>
      <c r="K215" t="s">
        <v>1348</v>
      </c>
      <c r="M215" t="s">
        <v>465</v>
      </c>
      <c r="N215" t="s">
        <v>445</v>
      </c>
      <c r="O215" t="s">
        <v>1344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 spans="1:22" x14ac:dyDescent="0.25">
      <c r="A216">
        <v>213</v>
      </c>
      <c r="B216">
        <v>1</v>
      </c>
      <c r="C216" t="s">
        <v>467</v>
      </c>
      <c r="D216">
        <v>1</v>
      </c>
      <c r="E216">
        <v>1</v>
      </c>
      <c r="F216">
        <v>1</v>
      </c>
      <c r="G216" t="s">
        <v>447</v>
      </c>
      <c r="H216">
        <v>1</v>
      </c>
      <c r="I216" t="s">
        <v>468</v>
      </c>
      <c r="K216" t="s">
        <v>1348</v>
      </c>
      <c r="M216" t="s">
        <v>467</v>
      </c>
      <c r="N216" t="s">
        <v>445</v>
      </c>
      <c r="O216" t="s">
        <v>1344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 spans="1:22" x14ac:dyDescent="0.25">
      <c r="A217">
        <v>214</v>
      </c>
      <c r="B217">
        <v>1</v>
      </c>
      <c r="C217" t="s">
        <v>469</v>
      </c>
      <c r="D217">
        <v>1</v>
      </c>
      <c r="E217">
        <v>1</v>
      </c>
      <c r="F217">
        <v>1</v>
      </c>
      <c r="G217" t="s">
        <v>447</v>
      </c>
      <c r="H217">
        <v>1</v>
      </c>
      <c r="I217" t="s">
        <v>470</v>
      </c>
      <c r="K217" t="s">
        <v>1348</v>
      </c>
      <c r="M217" t="s">
        <v>469</v>
      </c>
      <c r="N217" t="s">
        <v>445</v>
      </c>
      <c r="O217" t="s">
        <v>1344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 spans="1:22" x14ac:dyDescent="0.25">
      <c r="A218">
        <v>215</v>
      </c>
      <c r="B218">
        <v>1</v>
      </c>
      <c r="C218" t="s">
        <v>471</v>
      </c>
      <c r="D218">
        <v>1</v>
      </c>
      <c r="E218">
        <v>1</v>
      </c>
      <c r="F218">
        <v>1</v>
      </c>
      <c r="G218" t="s">
        <v>447</v>
      </c>
      <c r="H218">
        <v>1</v>
      </c>
      <c r="I218" t="s">
        <v>472</v>
      </c>
      <c r="K218" t="s">
        <v>1348</v>
      </c>
      <c r="M218" t="s">
        <v>471</v>
      </c>
      <c r="N218" t="s">
        <v>445</v>
      </c>
      <c r="O218" t="s">
        <v>1344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 spans="1:22" x14ac:dyDescent="0.25">
      <c r="A219">
        <v>216</v>
      </c>
      <c r="B219">
        <v>1</v>
      </c>
      <c r="C219" t="s">
        <v>473</v>
      </c>
      <c r="D219">
        <v>1</v>
      </c>
      <c r="E219">
        <v>1</v>
      </c>
      <c r="F219">
        <v>1</v>
      </c>
      <c r="G219" t="s">
        <v>447</v>
      </c>
      <c r="H219">
        <v>1</v>
      </c>
      <c r="I219" t="s">
        <v>474</v>
      </c>
      <c r="K219" t="s">
        <v>1348</v>
      </c>
      <c r="M219" t="s">
        <v>473</v>
      </c>
      <c r="N219" t="s">
        <v>445</v>
      </c>
      <c r="O219" t="s">
        <v>1344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</row>
    <row r="220" spans="1:22" x14ac:dyDescent="0.25">
      <c r="A220">
        <v>217</v>
      </c>
      <c r="B220">
        <v>1</v>
      </c>
      <c r="C220" t="s">
        <v>475</v>
      </c>
      <c r="D220">
        <v>1</v>
      </c>
      <c r="E220">
        <v>1</v>
      </c>
      <c r="F220">
        <v>1</v>
      </c>
      <c r="G220" t="s">
        <v>447</v>
      </c>
      <c r="H220">
        <v>1</v>
      </c>
      <c r="I220" t="s">
        <v>476</v>
      </c>
      <c r="K220" t="s">
        <v>1348</v>
      </c>
      <c r="M220" t="s">
        <v>475</v>
      </c>
      <c r="N220" t="s">
        <v>445</v>
      </c>
      <c r="O220" t="s">
        <v>1344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 spans="1:22" x14ac:dyDescent="0.25">
      <c r="A221">
        <v>218</v>
      </c>
      <c r="B221">
        <v>1</v>
      </c>
      <c r="C221" t="s">
        <v>477</v>
      </c>
      <c r="D221">
        <v>1</v>
      </c>
      <c r="E221">
        <v>1</v>
      </c>
      <c r="F221">
        <v>1</v>
      </c>
      <c r="G221" t="s">
        <v>447</v>
      </c>
      <c r="H221">
        <v>1</v>
      </c>
      <c r="I221" t="s">
        <v>478</v>
      </c>
      <c r="K221" t="s">
        <v>1348</v>
      </c>
      <c r="M221" t="s">
        <v>477</v>
      </c>
      <c r="N221" t="s">
        <v>445</v>
      </c>
      <c r="O221" t="s">
        <v>1344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 spans="1:22" x14ac:dyDescent="0.25">
      <c r="A222">
        <v>219</v>
      </c>
      <c r="B222">
        <v>1</v>
      </c>
      <c r="C222" t="s">
        <v>479</v>
      </c>
      <c r="D222">
        <v>1</v>
      </c>
      <c r="E222">
        <v>1</v>
      </c>
      <c r="F222">
        <v>1</v>
      </c>
      <c r="G222" t="s">
        <v>447</v>
      </c>
      <c r="H222">
        <v>1</v>
      </c>
      <c r="I222" t="s">
        <v>480</v>
      </c>
      <c r="K222" t="s">
        <v>1348</v>
      </c>
      <c r="M222" t="s">
        <v>479</v>
      </c>
      <c r="N222" t="s">
        <v>445</v>
      </c>
      <c r="O222" t="s">
        <v>1344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</row>
    <row r="223" spans="1:22" x14ac:dyDescent="0.25">
      <c r="A223">
        <v>220</v>
      </c>
      <c r="B223">
        <v>1</v>
      </c>
      <c r="C223" t="s">
        <v>481</v>
      </c>
      <c r="D223">
        <v>1</v>
      </c>
      <c r="E223">
        <v>1</v>
      </c>
      <c r="F223">
        <v>1</v>
      </c>
      <c r="G223" t="s">
        <v>447</v>
      </c>
      <c r="H223">
        <v>1</v>
      </c>
      <c r="I223" t="s">
        <v>139</v>
      </c>
      <c r="K223" t="s">
        <v>1348</v>
      </c>
      <c r="M223" t="s">
        <v>481</v>
      </c>
      <c r="N223" t="s">
        <v>445</v>
      </c>
      <c r="O223" t="s">
        <v>1344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 spans="1:22" x14ac:dyDescent="0.25">
      <c r="A224">
        <v>221</v>
      </c>
      <c r="B224">
        <v>1</v>
      </c>
      <c r="C224" t="s">
        <v>483</v>
      </c>
      <c r="D224">
        <v>3</v>
      </c>
      <c r="E224">
        <v>2</v>
      </c>
      <c r="F224">
        <v>1</v>
      </c>
      <c r="G224" t="s">
        <v>447</v>
      </c>
      <c r="H224">
        <v>2</v>
      </c>
      <c r="I224" t="s">
        <v>484</v>
      </c>
      <c r="K224" t="s">
        <v>1348</v>
      </c>
      <c r="M224" t="s">
        <v>483</v>
      </c>
      <c r="N224" t="s">
        <v>1247</v>
      </c>
      <c r="O224" t="s">
        <v>1247</v>
      </c>
      <c r="Q224" t="s">
        <v>1243</v>
      </c>
      <c r="R224" t="s">
        <v>1243</v>
      </c>
      <c r="S224" t="s">
        <v>1243</v>
      </c>
      <c r="T224" t="s">
        <v>1243</v>
      </c>
      <c r="U224" t="s">
        <v>1243</v>
      </c>
      <c r="V224" t="s">
        <v>1243</v>
      </c>
    </row>
    <row r="225" spans="1:22" x14ac:dyDescent="0.25">
      <c r="A225">
        <v>222</v>
      </c>
      <c r="B225">
        <v>1</v>
      </c>
      <c r="C225" t="s">
        <v>485</v>
      </c>
      <c r="D225">
        <v>2</v>
      </c>
      <c r="E225">
        <v>1</v>
      </c>
      <c r="F225">
        <v>1</v>
      </c>
      <c r="G225" t="s">
        <v>447</v>
      </c>
      <c r="H225">
        <v>2</v>
      </c>
      <c r="I225" t="s">
        <v>486</v>
      </c>
      <c r="K225" t="s">
        <v>1348</v>
      </c>
      <c r="M225" t="s">
        <v>485</v>
      </c>
      <c r="N225" t="s">
        <v>1247</v>
      </c>
      <c r="O225" t="s">
        <v>1247</v>
      </c>
      <c r="Q225" t="s">
        <v>1243</v>
      </c>
      <c r="R225" t="s">
        <v>1243</v>
      </c>
      <c r="S225" t="s">
        <v>1243</v>
      </c>
      <c r="T225" t="s">
        <v>1243</v>
      </c>
      <c r="U225" t="s">
        <v>1243</v>
      </c>
      <c r="V225" t="s">
        <v>1243</v>
      </c>
    </row>
    <row r="226" spans="1:22" x14ac:dyDescent="0.25">
      <c r="A226">
        <v>223</v>
      </c>
      <c r="B226">
        <v>1</v>
      </c>
      <c r="C226" t="s">
        <v>487</v>
      </c>
      <c r="D226">
        <v>2</v>
      </c>
      <c r="E226">
        <v>1</v>
      </c>
      <c r="F226">
        <v>1</v>
      </c>
      <c r="G226" t="s">
        <v>447</v>
      </c>
      <c r="H226">
        <v>2</v>
      </c>
      <c r="I226" t="s">
        <v>488</v>
      </c>
      <c r="K226" t="s">
        <v>1348</v>
      </c>
      <c r="M226" t="s">
        <v>487</v>
      </c>
      <c r="N226" t="s">
        <v>1247</v>
      </c>
      <c r="O226" t="s">
        <v>1247</v>
      </c>
      <c r="Q226" t="s">
        <v>1243</v>
      </c>
      <c r="R226" t="s">
        <v>1243</v>
      </c>
      <c r="S226" t="s">
        <v>1243</v>
      </c>
      <c r="T226" t="s">
        <v>1243</v>
      </c>
      <c r="U226" t="s">
        <v>1243</v>
      </c>
      <c r="V226" t="s">
        <v>1243</v>
      </c>
    </row>
    <row r="227" spans="1:22" x14ac:dyDescent="0.25">
      <c r="A227">
        <v>224</v>
      </c>
      <c r="B227">
        <v>1</v>
      </c>
      <c r="C227" t="s">
        <v>489</v>
      </c>
      <c r="D227">
        <v>11</v>
      </c>
      <c r="E227">
        <v>2</v>
      </c>
      <c r="F227">
        <v>1</v>
      </c>
      <c r="G227" t="s">
        <v>447</v>
      </c>
      <c r="H227">
        <v>2</v>
      </c>
      <c r="I227" t="s">
        <v>140</v>
      </c>
      <c r="K227" t="s">
        <v>1348</v>
      </c>
      <c r="M227" t="s">
        <v>489</v>
      </c>
      <c r="N227" t="s">
        <v>445</v>
      </c>
      <c r="O227" t="s">
        <v>1344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 spans="1:22" x14ac:dyDescent="0.25">
      <c r="A228">
        <v>225</v>
      </c>
      <c r="B228">
        <v>1</v>
      </c>
      <c r="C228" t="s">
        <v>491</v>
      </c>
      <c r="D228">
        <v>11</v>
      </c>
      <c r="E228">
        <v>2</v>
      </c>
      <c r="F228">
        <v>1</v>
      </c>
      <c r="G228" t="s">
        <v>447</v>
      </c>
      <c r="H228">
        <v>2</v>
      </c>
      <c r="I228" t="s">
        <v>492</v>
      </c>
      <c r="K228" t="s">
        <v>1348</v>
      </c>
      <c r="M228" t="s">
        <v>491</v>
      </c>
      <c r="N228" t="s">
        <v>445</v>
      </c>
      <c r="O228" t="s">
        <v>1344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</row>
    <row r="229" spans="1:22" x14ac:dyDescent="0.25">
      <c r="A229">
        <v>226</v>
      </c>
      <c r="B229">
        <v>1</v>
      </c>
      <c r="C229" t="s">
        <v>493</v>
      </c>
      <c r="D229">
        <v>11</v>
      </c>
      <c r="E229">
        <v>2</v>
      </c>
      <c r="F229">
        <v>2</v>
      </c>
      <c r="G229" t="s">
        <v>447</v>
      </c>
      <c r="H229">
        <v>2</v>
      </c>
      <c r="I229" t="s">
        <v>494</v>
      </c>
      <c r="K229" t="s">
        <v>1348</v>
      </c>
      <c r="M229" t="s">
        <v>493</v>
      </c>
      <c r="N229" t="s">
        <v>445</v>
      </c>
      <c r="O229" t="s">
        <v>1344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 spans="1:22" x14ac:dyDescent="0.25">
      <c r="A230">
        <v>227</v>
      </c>
      <c r="B230">
        <v>1</v>
      </c>
      <c r="C230" t="s">
        <v>495</v>
      </c>
      <c r="D230">
        <v>11</v>
      </c>
      <c r="E230">
        <v>2</v>
      </c>
      <c r="F230">
        <v>2</v>
      </c>
      <c r="G230" t="s">
        <v>447</v>
      </c>
      <c r="H230">
        <v>2</v>
      </c>
      <c r="I230" t="s">
        <v>496</v>
      </c>
      <c r="K230" t="s">
        <v>1348</v>
      </c>
      <c r="M230" t="s">
        <v>495</v>
      </c>
      <c r="N230" t="s">
        <v>445</v>
      </c>
      <c r="O230" t="s">
        <v>1344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</row>
    <row r="231" spans="1:22" x14ac:dyDescent="0.25">
      <c r="A231">
        <v>228</v>
      </c>
      <c r="B231">
        <v>1</v>
      </c>
      <c r="C231" t="s">
        <v>497</v>
      </c>
      <c r="D231">
        <v>2</v>
      </c>
      <c r="E231">
        <v>14</v>
      </c>
      <c r="F231">
        <v>1</v>
      </c>
      <c r="G231" t="s">
        <v>447</v>
      </c>
      <c r="H231">
        <v>2</v>
      </c>
      <c r="I231" t="s">
        <v>498</v>
      </c>
      <c r="K231" t="s">
        <v>1348</v>
      </c>
      <c r="M231" t="s">
        <v>497</v>
      </c>
      <c r="N231" t="s">
        <v>1247</v>
      </c>
      <c r="O231" t="s">
        <v>1247</v>
      </c>
      <c r="Q231" t="s">
        <v>1243</v>
      </c>
      <c r="R231" t="s">
        <v>1243</v>
      </c>
      <c r="S231" t="s">
        <v>1243</v>
      </c>
      <c r="T231" t="s">
        <v>1243</v>
      </c>
      <c r="U231" t="s">
        <v>1243</v>
      </c>
      <c r="V231" t="s">
        <v>1243</v>
      </c>
    </row>
    <row r="232" spans="1:22" x14ac:dyDescent="0.25">
      <c r="A232">
        <v>229</v>
      </c>
      <c r="B232">
        <v>1</v>
      </c>
      <c r="C232" t="s">
        <v>499</v>
      </c>
      <c r="D232">
        <v>4</v>
      </c>
      <c r="E232">
        <v>1</v>
      </c>
      <c r="F232">
        <v>1</v>
      </c>
      <c r="G232" t="s">
        <v>447</v>
      </c>
      <c r="H232">
        <v>2</v>
      </c>
      <c r="I232" t="s">
        <v>500</v>
      </c>
      <c r="K232" t="s">
        <v>1348</v>
      </c>
      <c r="M232" t="s">
        <v>499</v>
      </c>
      <c r="N232" t="s">
        <v>1247</v>
      </c>
      <c r="O232" t="s">
        <v>1247</v>
      </c>
      <c r="Q232" t="s">
        <v>1243</v>
      </c>
      <c r="R232" t="s">
        <v>1243</v>
      </c>
      <c r="S232" t="s">
        <v>1243</v>
      </c>
      <c r="T232" t="s">
        <v>1243</v>
      </c>
      <c r="U232" t="s">
        <v>1243</v>
      </c>
      <c r="V232" t="s">
        <v>1243</v>
      </c>
    </row>
    <row r="233" spans="1:22" x14ac:dyDescent="0.25">
      <c r="A233">
        <v>230</v>
      </c>
      <c r="B233">
        <v>1</v>
      </c>
      <c r="C233" t="s">
        <v>501</v>
      </c>
      <c r="D233">
        <v>15</v>
      </c>
      <c r="E233">
        <v>1</v>
      </c>
      <c r="F233">
        <v>1</v>
      </c>
      <c r="G233" t="s">
        <v>447</v>
      </c>
      <c r="H233">
        <v>2</v>
      </c>
      <c r="I233" t="s">
        <v>502</v>
      </c>
      <c r="K233" t="s">
        <v>1348</v>
      </c>
      <c r="M233" t="s">
        <v>501</v>
      </c>
      <c r="N233" t="s">
        <v>1247</v>
      </c>
      <c r="O233" t="s">
        <v>1342</v>
      </c>
      <c r="Q233" t="s">
        <v>1243</v>
      </c>
      <c r="R233" t="s">
        <v>1243</v>
      </c>
      <c r="S233" t="s">
        <v>1243</v>
      </c>
      <c r="T233" t="s">
        <v>1243</v>
      </c>
      <c r="U233" t="s">
        <v>1243</v>
      </c>
      <c r="V233" t="s">
        <v>1243</v>
      </c>
    </row>
    <row r="234" spans="1:22" x14ac:dyDescent="0.25">
      <c r="A234">
        <v>231</v>
      </c>
      <c r="B234">
        <v>1</v>
      </c>
      <c r="C234" t="s">
        <v>503</v>
      </c>
      <c r="D234">
        <v>3</v>
      </c>
      <c r="E234">
        <v>1</v>
      </c>
      <c r="F234">
        <v>1</v>
      </c>
      <c r="G234" t="s">
        <v>447</v>
      </c>
      <c r="H234">
        <v>2</v>
      </c>
      <c r="I234" t="s">
        <v>504</v>
      </c>
      <c r="K234" t="s">
        <v>1348</v>
      </c>
      <c r="M234" t="s">
        <v>503</v>
      </c>
      <c r="N234" t="s">
        <v>445</v>
      </c>
      <c r="O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 spans="1:22" x14ac:dyDescent="0.25">
      <c r="A235">
        <v>232</v>
      </c>
      <c r="B235">
        <v>1</v>
      </c>
      <c r="C235" t="s">
        <v>505</v>
      </c>
      <c r="D235">
        <v>3</v>
      </c>
      <c r="E235">
        <v>1</v>
      </c>
      <c r="F235">
        <v>1</v>
      </c>
      <c r="G235" t="s">
        <v>447</v>
      </c>
      <c r="H235">
        <v>2</v>
      </c>
      <c r="I235" t="s">
        <v>506</v>
      </c>
      <c r="K235" t="s">
        <v>1348</v>
      </c>
      <c r="M235" t="s">
        <v>505</v>
      </c>
      <c r="N235" t="s">
        <v>445</v>
      </c>
      <c r="O235">
        <v>0</v>
      </c>
      <c r="Q235" t="s">
        <v>1243</v>
      </c>
      <c r="R235" t="s">
        <v>1243</v>
      </c>
      <c r="S235" t="s">
        <v>1243</v>
      </c>
      <c r="T235" t="s">
        <v>1243</v>
      </c>
      <c r="U235" t="s">
        <v>1243</v>
      </c>
      <c r="V235" t="s">
        <v>1243</v>
      </c>
    </row>
    <row r="236" spans="1:22" x14ac:dyDescent="0.25">
      <c r="A236">
        <v>233</v>
      </c>
      <c r="B236">
        <v>1</v>
      </c>
      <c r="C236" t="s">
        <v>507</v>
      </c>
      <c r="D236">
        <v>3</v>
      </c>
      <c r="E236">
        <v>1</v>
      </c>
      <c r="F236">
        <v>1</v>
      </c>
      <c r="G236" t="s">
        <v>447</v>
      </c>
      <c r="H236">
        <v>2</v>
      </c>
      <c r="I236" t="s">
        <v>508</v>
      </c>
      <c r="K236" t="s">
        <v>1348</v>
      </c>
      <c r="M236" t="s">
        <v>507</v>
      </c>
      <c r="N236" t="s">
        <v>445</v>
      </c>
      <c r="O236">
        <v>0</v>
      </c>
      <c r="Q236" t="s">
        <v>1243</v>
      </c>
      <c r="R236" t="s">
        <v>1243</v>
      </c>
      <c r="S236" t="s">
        <v>1243</v>
      </c>
      <c r="T236" t="s">
        <v>1243</v>
      </c>
      <c r="U236" t="s">
        <v>1243</v>
      </c>
      <c r="V236" t="s">
        <v>1243</v>
      </c>
    </row>
    <row r="237" spans="1:22" x14ac:dyDescent="0.25">
      <c r="A237">
        <v>234</v>
      </c>
      <c r="B237">
        <v>1</v>
      </c>
      <c r="C237" t="s">
        <v>509</v>
      </c>
      <c r="D237">
        <v>2</v>
      </c>
      <c r="E237">
        <v>1</v>
      </c>
      <c r="F237">
        <v>1</v>
      </c>
      <c r="G237" t="s">
        <v>447</v>
      </c>
      <c r="H237">
        <v>2</v>
      </c>
      <c r="I237" t="s">
        <v>510</v>
      </c>
      <c r="K237" t="s">
        <v>1348</v>
      </c>
      <c r="M237" t="s">
        <v>509</v>
      </c>
      <c r="N237" t="s">
        <v>1247</v>
      </c>
      <c r="O237" t="s">
        <v>1342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 spans="1:22" x14ac:dyDescent="0.25">
      <c r="A238">
        <v>235</v>
      </c>
      <c r="B238">
        <v>1</v>
      </c>
      <c r="C238" t="s">
        <v>511</v>
      </c>
      <c r="D238">
        <v>2</v>
      </c>
      <c r="E238">
        <v>1</v>
      </c>
      <c r="F238">
        <v>1</v>
      </c>
      <c r="G238" t="s">
        <v>447</v>
      </c>
      <c r="H238">
        <v>2</v>
      </c>
      <c r="I238" t="s">
        <v>512</v>
      </c>
      <c r="K238" t="s">
        <v>1348</v>
      </c>
      <c r="M238" t="s">
        <v>511</v>
      </c>
      <c r="N238" t="s">
        <v>1247</v>
      </c>
      <c r="O238" t="s">
        <v>1342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 spans="1:22" x14ac:dyDescent="0.25">
      <c r="A239">
        <v>236</v>
      </c>
      <c r="B239">
        <v>1</v>
      </c>
      <c r="C239" t="s">
        <v>513</v>
      </c>
      <c r="D239">
        <v>2</v>
      </c>
      <c r="E239">
        <v>1</v>
      </c>
      <c r="F239">
        <v>1</v>
      </c>
      <c r="G239" t="s">
        <v>447</v>
      </c>
      <c r="H239">
        <v>2</v>
      </c>
      <c r="I239" t="s">
        <v>514</v>
      </c>
      <c r="K239" t="s">
        <v>1348</v>
      </c>
      <c r="M239" t="s">
        <v>513</v>
      </c>
      <c r="N239" t="s">
        <v>1247</v>
      </c>
      <c r="O239" t="s">
        <v>1342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</row>
    <row r="240" spans="1:22" x14ac:dyDescent="0.25">
      <c r="A240">
        <v>237</v>
      </c>
      <c r="B240">
        <v>1</v>
      </c>
      <c r="C240" t="s">
        <v>515</v>
      </c>
      <c r="D240">
        <v>3</v>
      </c>
      <c r="E240">
        <v>1</v>
      </c>
      <c r="F240">
        <v>1</v>
      </c>
      <c r="G240" t="s">
        <v>447</v>
      </c>
      <c r="H240">
        <v>2</v>
      </c>
      <c r="I240" t="s">
        <v>516</v>
      </c>
      <c r="K240" t="s">
        <v>1348</v>
      </c>
      <c r="M240" t="s">
        <v>515</v>
      </c>
      <c r="N240" t="s">
        <v>1247</v>
      </c>
      <c r="O240" t="s">
        <v>1342</v>
      </c>
      <c r="Q240" t="s">
        <v>1243</v>
      </c>
      <c r="R240" t="s">
        <v>1243</v>
      </c>
      <c r="S240" t="s">
        <v>1243</v>
      </c>
      <c r="T240" t="s">
        <v>1243</v>
      </c>
      <c r="U240" t="s">
        <v>1243</v>
      </c>
      <c r="V240" t="s">
        <v>1243</v>
      </c>
    </row>
    <row r="241" spans="1:22" x14ac:dyDescent="0.25">
      <c r="A241">
        <v>238</v>
      </c>
      <c r="B241">
        <v>1</v>
      </c>
      <c r="C241" t="s">
        <v>517</v>
      </c>
      <c r="D241">
        <v>2</v>
      </c>
      <c r="E241">
        <v>15</v>
      </c>
      <c r="F241">
        <v>1</v>
      </c>
      <c r="G241" t="s">
        <v>447</v>
      </c>
      <c r="H241">
        <v>2</v>
      </c>
      <c r="I241" t="s">
        <v>518</v>
      </c>
      <c r="K241" t="s">
        <v>1348</v>
      </c>
      <c r="M241" t="s">
        <v>517</v>
      </c>
      <c r="N241" t="s">
        <v>1247</v>
      </c>
      <c r="O241" t="s">
        <v>1342</v>
      </c>
      <c r="Q241" t="s">
        <v>1243</v>
      </c>
      <c r="R241" t="s">
        <v>1243</v>
      </c>
      <c r="S241" t="s">
        <v>1243</v>
      </c>
      <c r="T241" t="s">
        <v>1243</v>
      </c>
      <c r="U241" t="s">
        <v>1243</v>
      </c>
      <c r="V241" t="s">
        <v>1243</v>
      </c>
    </row>
    <row r="242" spans="1:22" x14ac:dyDescent="0.25">
      <c r="A242">
        <v>239</v>
      </c>
      <c r="B242">
        <v>1</v>
      </c>
      <c r="C242" t="s">
        <v>519</v>
      </c>
      <c r="D242">
        <v>1</v>
      </c>
      <c r="E242">
        <v>1</v>
      </c>
      <c r="F242">
        <v>1</v>
      </c>
      <c r="G242" t="s">
        <v>447</v>
      </c>
      <c r="H242">
        <v>2</v>
      </c>
      <c r="I242" t="s">
        <v>520</v>
      </c>
      <c r="K242" t="s">
        <v>1348</v>
      </c>
      <c r="M242" t="s">
        <v>519</v>
      </c>
      <c r="N242" t="s">
        <v>1247</v>
      </c>
      <c r="O242" t="s">
        <v>1342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</row>
    <row r="243" spans="1:22" x14ac:dyDescent="0.25">
      <c r="A243">
        <v>240</v>
      </c>
      <c r="B243">
        <v>1</v>
      </c>
      <c r="C243" t="s">
        <v>521</v>
      </c>
      <c r="D243">
        <v>2</v>
      </c>
      <c r="E243">
        <v>1</v>
      </c>
      <c r="F243">
        <v>1</v>
      </c>
      <c r="G243" t="s">
        <v>447</v>
      </c>
      <c r="H243">
        <v>3</v>
      </c>
      <c r="I243" t="s">
        <v>522</v>
      </c>
      <c r="K243" t="s">
        <v>1348</v>
      </c>
      <c r="M243" t="s">
        <v>521</v>
      </c>
      <c r="N243" t="s">
        <v>445</v>
      </c>
      <c r="O243" t="s">
        <v>1344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</row>
    <row r="244" spans="1:22" x14ac:dyDescent="0.25">
      <c r="A244">
        <v>241</v>
      </c>
      <c r="B244">
        <v>1</v>
      </c>
      <c r="C244" t="s">
        <v>525</v>
      </c>
      <c r="D244">
        <v>2</v>
      </c>
      <c r="E244">
        <v>1</v>
      </c>
      <c r="F244">
        <v>1</v>
      </c>
      <c r="G244" t="s">
        <v>447</v>
      </c>
      <c r="H244">
        <v>4</v>
      </c>
      <c r="I244" t="s">
        <v>526</v>
      </c>
      <c r="K244" t="s">
        <v>1348</v>
      </c>
      <c r="M244" t="s">
        <v>525</v>
      </c>
      <c r="N244" t="s">
        <v>1247</v>
      </c>
      <c r="O244" t="s">
        <v>1344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 spans="1:22" x14ac:dyDescent="0.25">
      <c r="A245">
        <v>242</v>
      </c>
      <c r="B245">
        <v>1</v>
      </c>
      <c r="C245" t="s">
        <v>527</v>
      </c>
      <c r="D245">
        <v>1</v>
      </c>
      <c r="E245">
        <v>1</v>
      </c>
      <c r="F245">
        <v>1</v>
      </c>
      <c r="G245" t="s">
        <v>447</v>
      </c>
      <c r="H245">
        <v>4</v>
      </c>
      <c r="I245" t="s">
        <v>528</v>
      </c>
      <c r="K245" t="s">
        <v>1348</v>
      </c>
      <c r="M245" t="s">
        <v>527</v>
      </c>
      <c r="N245" t="s">
        <v>1247</v>
      </c>
      <c r="O245" t="s">
        <v>1344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 spans="1:22" x14ac:dyDescent="0.25">
      <c r="A246">
        <v>243</v>
      </c>
      <c r="B246">
        <v>1</v>
      </c>
      <c r="C246" t="s">
        <v>529</v>
      </c>
      <c r="D246">
        <v>1</v>
      </c>
      <c r="E246">
        <v>1</v>
      </c>
      <c r="F246">
        <v>1</v>
      </c>
      <c r="G246" t="s">
        <v>447</v>
      </c>
      <c r="H246">
        <v>4</v>
      </c>
      <c r="I246" t="s">
        <v>530</v>
      </c>
      <c r="K246" t="s">
        <v>1348</v>
      </c>
      <c r="M246" t="s">
        <v>529</v>
      </c>
      <c r="N246" t="s">
        <v>1247</v>
      </c>
      <c r="O246" t="s">
        <v>1344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</row>
    <row r="247" spans="1:22" x14ac:dyDescent="0.25">
      <c r="A247">
        <v>244</v>
      </c>
      <c r="B247">
        <v>1</v>
      </c>
      <c r="C247" t="s">
        <v>141</v>
      </c>
      <c r="D247">
        <v>2</v>
      </c>
      <c r="E247">
        <v>1</v>
      </c>
      <c r="F247">
        <v>1</v>
      </c>
      <c r="G247" t="s">
        <v>447</v>
      </c>
      <c r="H247">
        <v>4</v>
      </c>
      <c r="I247" t="s">
        <v>142</v>
      </c>
      <c r="K247" t="s">
        <v>1348</v>
      </c>
      <c r="M247" t="e">
        <v>#N/A</v>
      </c>
      <c r="N247" t="e">
        <v>#N/A</v>
      </c>
      <c r="O247" t="e">
        <v>#N/A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e">
        <v>#N/A</v>
      </c>
    </row>
    <row r="248" spans="1:22" x14ac:dyDescent="0.25">
      <c r="A248">
        <v>245</v>
      </c>
      <c r="B248">
        <v>1</v>
      </c>
      <c r="C248" t="s">
        <v>143</v>
      </c>
      <c r="D248">
        <v>2</v>
      </c>
      <c r="E248">
        <v>1</v>
      </c>
      <c r="F248">
        <v>1</v>
      </c>
      <c r="G248" t="s">
        <v>447</v>
      </c>
      <c r="H248">
        <v>4</v>
      </c>
      <c r="I248" t="s">
        <v>142</v>
      </c>
      <c r="K248" t="s">
        <v>1348</v>
      </c>
      <c r="M248" t="e">
        <v>#N/A</v>
      </c>
      <c r="N248" t="e">
        <v>#N/A</v>
      </c>
      <c r="O248" t="e">
        <v>#N/A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e">
        <v>#N/A</v>
      </c>
    </row>
    <row r="249" spans="1:22" x14ac:dyDescent="0.25">
      <c r="A249">
        <v>246</v>
      </c>
      <c r="B249">
        <v>1</v>
      </c>
      <c r="C249" t="s">
        <v>144</v>
      </c>
      <c r="D249">
        <v>1</v>
      </c>
      <c r="E249">
        <v>1</v>
      </c>
      <c r="F249">
        <v>1</v>
      </c>
      <c r="G249" t="s">
        <v>447</v>
      </c>
      <c r="H249">
        <v>4</v>
      </c>
      <c r="I249" t="s">
        <v>145</v>
      </c>
      <c r="K249" t="s">
        <v>1348</v>
      </c>
      <c r="M249" t="e">
        <v>#N/A</v>
      </c>
      <c r="N249" t="e">
        <v>#N/A</v>
      </c>
      <c r="O249" t="e">
        <v>#N/A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e">
        <v>#N/A</v>
      </c>
    </row>
    <row r="250" spans="1:22" x14ac:dyDescent="0.25">
      <c r="A250">
        <v>247</v>
      </c>
      <c r="B250">
        <v>1</v>
      </c>
      <c r="C250" t="s">
        <v>146</v>
      </c>
      <c r="D250">
        <v>1</v>
      </c>
      <c r="E250">
        <v>1</v>
      </c>
      <c r="F250">
        <v>1</v>
      </c>
      <c r="G250" t="s">
        <v>447</v>
      </c>
      <c r="H250">
        <v>4</v>
      </c>
      <c r="I250" t="s">
        <v>145</v>
      </c>
      <c r="K250" t="s">
        <v>1348</v>
      </c>
      <c r="M250" t="e">
        <v>#N/A</v>
      </c>
      <c r="N250" t="e">
        <v>#N/A</v>
      </c>
      <c r="O250" t="e">
        <v>#N/A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e">
        <v>#N/A</v>
      </c>
    </row>
    <row r="251" spans="1:22" x14ac:dyDescent="0.25">
      <c r="A251">
        <v>248</v>
      </c>
      <c r="B251">
        <v>1</v>
      </c>
      <c r="C251" t="s">
        <v>541</v>
      </c>
      <c r="D251">
        <v>3</v>
      </c>
      <c r="E251">
        <v>2</v>
      </c>
      <c r="F251">
        <v>1</v>
      </c>
      <c r="G251" t="s">
        <v>447</v>
      </c>
      <c r="H251">
        <v>4</v>
      </c>
      <c r="I251" t="s">
        <v>542</v>
      </c>
      <c r="K251" t="s">
        <v>1348</v>
      </c>
      <c r="M251" t="s">
        <v>541</v>
      </c>
      <c r="N251" t="s">
        <v>445</v>
      </c>
      <c r="O251" t="s">
        <v>1247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</row>
    <row r="252" spans="1:22" x14ac:dyDescent="0.25">
      <c r="A252">
        <v>249</v>
      </c>
      <c r="B252">
        <v>1</v>
      </c>
      <c r="C252" t="s">
        <v>558</v>
      </c>
      <c r="D252">
        <v>2</v>
      </c>
      <c r="E252">
        <v>1</v>
      </c>
      <c r="F252">
        <v>1</v>
      </c>
      <c r="G252" t="s">
        <v>544</v>
      </c>
      <c r="H252">
        <v>2</v>
      </c>
      <c r="I252" t="s">
        <v>147</v>
      </c>
      <c r="K252" t="s">
        <v>1348</v>
      </c>
      <c r="M252" t="s">
        <v>558</v>
      </c>
      <c r="N252" t="s">
        <v>445</v>
      </c>
      <c r="O252" t="s">
        <v>1342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</row>
    <row r="253" spans="1:22" x14ac:dyDescent="0.25">
      <c r="A253">
        <v>250</v>
      </c>
      <c r="B253">
        <v>1</v>
      </c>
      <c r="C253" t="s">
        <v>560</v>
      </c>
      <c r="D253">
        <v>1</v>
      </c>
      <c r="E253">
        <v>1</v>
      </c>
      <c r="F253">
        <v>1</v>
      </c>
      <c r="G253" t="s">
        <v>544</v>
      </c>
      <c r="H253">
        <v>2</v>
      </c>
      <c r="I253" t="s">
        <v>561</v>
      </c>
      <c r="K253" t="s">
        <v>1348</v>
      </c>
      <c r="M253" t="s">
        <v>560</v>
      </c>
      <c r="N253" t="s">
        <v>1247</v>
      </c>
      <c r="O253" t="s">
        <v>1344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</row>
    <row r="254" spans="1:22" x14ac:dyDescent="0.25">
      <c r="A254">
        <v>251</v>
      </c>
      <c r="B254">
        <v>1</v>
      </c>
      <c r="C254" t="s">
        <v>562</v>
      </c>
      <c r="D254">
        <v>31</v>
      </c>
      <c r="E254">
        <v>1</v>
      </c>
      <c r="F254">
        <v>1</v>
      </c>
      <c r="G254" t="s">
        <v>544</v>
      </c>
      <c r="H254">
        <v>2</v>
      </c>
      <c r="I254" t="s">
        <v>563</v>
      </c>
      <c r="K254" t="s">
        <v>1348</v>
      </c>
      <c r="M254" t="s">
        <v>562</v>
      </c>
      <c r="N254" t="s">
        <v>445</v>
      </c>
      <c r="O254" t="s">
        <v>1344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</row>
    <row r="255" spans="1:22" x14ac:dyDescent="0.25">
      <c r="A255">
        <v>252</v>
      </c>
      <c r="B255">
        <v>1</v>
      </c>
      <c r="C255" t="s">
        <v>564</v>
      </c>
      <c r="D255">
        <v>1</v>
      </c>
      <c r="E255">
        <v>1</v>
      </c>
      <c r="F255">
        <v>1</v>
      </c>
      <c r="G255" t="s">
        <v>544</v>
      </c>
      <c r="H255">
        <v>4</v>
      </c>
      <c r="I255" t="s">
        <v>565</v>
      </c>
      <c r="K255" t="s">
        <v>1348</v>
      </c>
      <c r="M255" t="s">
        <v>564</v>
      </c>
      <c r="N255" t="s">
        <v>1247</v>
      </c>
      <c r="O255" t="s">
        <v>1342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</row>
    <row r="256" spans="1:22" x14ac:dyDescent="0.25">
      <c r="A256">
        <v>253</v>
      </c>
      <c r="B256">
        <v>1</v>
      </c>
      <c r="C256" t="s">
        <v>148</v>
      </c>
      <c r="D256">
        <v>1</v>
      </c>
      <c r="E256">
        <v>1</v>
      </c>
      <c r="F256">
        <v>1</v>
      </c>
      <c r="G256" t="s">
        <v>544</v>
      </c>
      <c r="H256">
        <v>4</v>
      </c>
      <c r="I256" t="s">
        <v>149</v>
      </c>
      <c r="K256" t="s">
        <v>1348</v>
      </c>
      <c r="M256" t="e">
        <v>#N/A</v>
      </c>
      <c r="N256" t="e">
        <v>#N/A</v>
      </c>
      <c r="O256" t="e">
        <v>#N/A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e">
        <v>#N/A</v>
      </c>
    </row>
    <row r="257" spans="1:22" x14ac:dyDescent="0.25">
      <c r="A257">
        <v>254</v>
      </c>
      <c r="B257">
        <v>1</v>
      </c>
      <c r="C257" t="s">
        <v>150</v>
      </c>
      <c r="D257">
        <v>1</v>
      </c>
      <c r="E257">
        <v>1</v>
      </c>
      <c r="F257">
        <v>1</v>
      </c>
      <c r="G257" t="s">
        <v>544</v>
      </c>
      <c r="H257">
        <v>4</v>
      </c>
      <c r="I257" t="s">
        <v>149</v>
      </c>
      <c r="K257" t="s">
        <v>1348</v>
      </c>
      <c r="M257" t="e">
        <v>#N/A</v>
      </c>
      <c r="N257" t="e">
        <v>#N/A</v>
      </c>
      <c r="O257" t="e">
        <v>#N/A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e">
        <v>#N/A</v>
      </c>
    </row>
    <row r="258" spans="1:22" x14ac:dyDescent="0.25">
      <c r="A258">
        <v>255</v>
      </c>
      <c r="B258">
        <v>1</v>
      </c>
      <c r="C258" t="s">
        <v>151</v>
      </c>
      <c r="D258">
        <v>1</v>
      </c>
      <c r="E258">
        <v>1</v>
      </c>
      <c r="F258">
        <v>1</v>
      </c>
      <c r="G258" t="s">
        <v>544</v>
      </c>
      <c r="H258">
        <v>4</v>
      </c>
      <c r="I258" t="s">
        <v>152</v>
      </c>
      <c r="K258" t="s">
        <v>1348</v>
      </c>
      <c r="M258" t="e">
        <v>#N/A</v>
      </c>
      <c r="N258" t="e">
        <v>#N/A</v>
      </c>
      <c r="O258" t="e">
        <v>#N/A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e">
        <v>#N/A</v>
      </c>
    </row>
    <row r="259" spans="1:22" x14ac:dyDescent="0.25">
      <c r="A259">
        <v>256</v>
      </c>
      <c r="B259">
        <v>1</v>
      </c>
      <c r="C259" t="s">
        <v>153</v>
      </c>
      <c r="D259">
        <v>1</v>
      </c>
      <c r="E259">
        <v>1</v>
      </c>
      <c r="F259">
        <v>1</v>
      </c>
      <c r="G259" t="s">
        <v>544</v>
      </c>
      <c r="H259">
        <v>4</v>
      </c>
      <c r="I259" t="s">
        <v>152</v>
      </c>
      <c r="K259" t="s">
        <v>1348</v>
      </c>
      <c r="M259" t="e">
        <v>#N/A</v>
      </c>
      <c r="N259" t="e">
        <v>#N/A</v>
      </c>
      <c r="O259" t="e">
        <v>#N/A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e">
        <v>#N/A</v>
      </c>
    </row>
    <row r="260" spans="1:22" x14ac:dyDescent="0.25">
      <c r="A260">
        <v>257</v>
      </c>
      <c r="B260">
        <v>1</v>
      </c>
      <c r="C260" t="s">
        <v>572</v>
      </c>
      <c r="D260">
        <v>4</v>
      </c>
      <c r="E260">
        <v>1</v>
      </c>
      <c r="F260">
        <v>1</v>
      </c>
      <c r="G260" t="s">
        <v>544</v>
      </c>
      <c r="H260">
        <v>4</v>
      </c>
      <c r="I260" t="s">
        <v>573</v>
      </c>
      <c r="K260" t="s">
        <v>1348</v>
      </c>
      <c r="M260" t="s">
        <v>572</v>
      </c>
      <c r="N260" t="s">
        <v>1247</v>
      </c>
      <c r="O260" t="s">
        <v>1344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</row>
    <row r="261" spans="1:22" x14ac:dyDescent="0.25">
      <c r="A261">
        <v>258</v>
      </c>
      <c r="B261">
        <v>1</v>
      </c>
      <c r="C261" t="s">
        <v>574</v>
      </c>
      <c r="D261">
        <v>14</v>
      </c>
      <c r="E261">
        <v>1</v>
      </c>
      <c r="F261">
        <v>1</v>
      </c>
      <c r="G261" t="s">
        <v>544</v>
      </c>
      <c r="H261">
        <v>4</v>
      </c>
      <c r="I261" t="s">
        <v>575</v>
      </c>
      <c r="K261" t="s">
        <v>1348</v>
      </c>
      <c r="M261" t="s">
        <v>574</v>
      </c>
      <c r="N261" t="s">
        <v>1247</v>
      </c>
      <c r="O261" t="s">
        <v>1344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</row>
    <row r="262" spans="1:22" x14ac:dyDescent="0.25">
      <c r="A262">
        <v>259</v>
      </c>
      <c r="B262">
        <v>1</v>
      </c>
      <c r="C262" t="s">
        <v>578</v>
      </c>
      <c r="D262">
        <v>2</v>
      </c>
      <c r="E262">
        <v>1</v>
      </c>
      <c r="F262">
        <v>1</v>
      </c>
      <c r="G262" t="s">
        <v>544</v>
      </c>
      <c r="H262">
        <v>4</v>
      </c>
      <c r="I262" t="s">
        <v>579</v>
      </c>
      <c r="K262" t="s">
        <v>1348</v>
      </c>
      <c r="M262" t="s">
        <v>578</v>
      </c>
      <c r="N262" t="s">
        <v>1247</v>
      </c>
      <c r="O262" t="s">
        <v>1344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</row>
    <row r="263" spans="1:22" x14ac:dyDescent="0.25">
      <c r="A263">
        <v>260</v>
      </c>
      <c r="B263">
        <v>1</v>
      </c>
      <c r="C263" t="s">
        <v>580</v>
      </c>
      <c r="D263">
        <v>7</v>
      </c>
      <c r="E263">
        <v>2</v>
      </c>
      <c r="F263">
        <v>1</v>
      </c>
      <c r="G263" t="s">
        <v>544</v>
      </c>
      <c r="H263">
        <v>4</v>
      </c>
      <c r="I263" t="s">
        <v>581</v>
      </c>
      <c r="K263" t="s">
        <v>1348</v>
      </c>
      <c r="M263" t="s">
        <v>580</v>
      </c>
      <c r="N263" t="s">
        <v>1247</v>
      </c>
      <c r="O263" t="s">
        <v>1344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</row>
    <row r="264" spans="1:22" x14ac:dyDescent="0.25">
      <c r="A264">
        <v>261</v>
      </c>
      <c r="B264">
        <v>1</v>
      </c>
      <c r="C264" t="s">
        <v>582</v>
      </c>
      <c r="D264">
        <v>1</v>
      </c>
      <c r="E264">
        <v>1</v>
      </c>
      <c r="F264">
        <v>1</v>
      </c>
      <c r="G264" t="s">
        <v>544</v>
      </c>
      <c r="H264">
        <v>4</v>
      </c>
      <c r="I264" t="s">
        <v>583</v>
      </c>
      <c r="K264" t="s">
        <v>1348</v>
      </c>
      <c r="M264" t="s">
        <v>582</v>
      </c>
      <c r="N264" t="s">
        <v>1247</v>
      </c>
      <c r="O264" t="s">
        <v>1344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</row>
    <row r="265" spans="1:22" x14ac:dyDescent="0.25">
      <c r="A265">
        <v>262</v>
      </c>
      <c r="B265">
        <v>1</v>
      </c>
      <c r="C265" t="s">
        <v>584</v>
      </c>
      <c r="D265">
        <v>2</v>
      </c>
      <c r="E265">
        <v>1</v>
      </c>
      <c r="F265">
        <v>1</v>
      </c>
      <c r="G265" t="s">
        <v>544</v>
      </c>
      <c r="H265">
        <v>4</v>
      </c>
      <c r="I265" t="s">
        <v>585</v>
      </c>
      <c r="K265" t="s">
        <v>1348</v>
      </c>
      <c r="M265" t="s">
        <v>584</v>
      </c>
      <c r="N265" t="s">
        <v>1247</v>
      </c>
      <c r="O265" t="s">
        <v>1344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</row>
    <row r="266" spans="1:22" x14ac:dyDescent="0.25">
      <c r="A266">
        <v>263</v>
      </c>
      <c r="B266">
        <v>1</v>
      </c>
      <c r="C266" t="s">
        <v>586</v>
      </c>
      <c r="D266">
        <v>1</v>
      </c>
      <c r="E266">
        <v>1</v>
      </c>
      <c r="F266">
        <v>1</v>
      </c>
      <c r="G266" t="s">
        <v>544</v>
      </c>
      <c r="H266">
        <v>4</v>
      </c>
      <c r="I266" t="s">
        <v>587</v>
      </c>
      <c r="K266" t="s">
        <v>1348</v>
      </c>
      <c r="M266" t="s">
        <v>586</v>
      </c>
      <c r="N266" t="s">
        <v>1247</v>
      </c>
      <c r="O266" t="s">
        <v>1344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</row>
    <row r="267" spans="1:22" x14ac:dyDescent="0.25">
      <c r="A267">
        <v>264</v>
      </c>
      <c r="B267">
        <v>1</v>
      </c>
      <c r="C267" t="s">
        <v>605</v>
      </c>
      <c r="D267">
        <v>40</v>
      </c>
      <c r="E267">
        <v>1</v>
      </c>
      <c r="F267">
        <v>1</v>
      </c>
      <c r="G267" t="s">
        <v>589</v>
      </c>
      <c r="H267">
        <v>1</v>
      </c>
      <c r="I267" t="s">
        <v>606</v>
      </c>
      <c r="K267" t="s">
        <v>1348</v>
      </c>
      <c r="M267" t="s">
        <v>605</v>
      </c>
      <c r="N267" t="s">
        <v>445</v>
      </c>
      <c r="O267" t="s">
        <v>1344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</row>
    <row r="268" spans="1:22" x14ac:dyDescent="0.25">
      <c r="A268">
        <v>265</v>
      </c>
      <c r="B268">
        <v>1</v>
      </c>
      <c r="C268" t="s">
        <v>611</v>
      </c>
      <c r="D268">
        <v>40</v>
      </c>
      <c r="E268">
        <v>1</v>
      </c>
      <c r="F268">
        <v>1</v>
      </c>
      <c r="G268" t="s">
        <v>589</v>
      </c>
      <c r="H268">
        <v>2</v>
      </c>
      <c r="I268" t="s">
        <v>612</v>
      </c>
      <c r="K268" t="s">
        <v>1348</v>
      </c>
      <c r="M268" t="s">
        <v>611</v>
      </c>
      <c r="N268" t="s">
        <v>445</v>
      </c>
      <c r="O268" t="s">
        <v>1342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</row>
    <row r="269" spans="1:22" x14ac:dyDescent="0.25">
      <c r="A269">
        <v>266</v>
      </c>
      <c r="B269">
        <v>1</v>
      </c>
      <c r="C269" t="s">
        <v>613</v>
      </c>
      <c r="D269">
        <v>40</v>
      </c>
      <c r="E269">
        <v>1</v>
      </c>
      <c r="F269">
        <v>1</v>
      </c>
      <c r="G269" t="s">
        <v>589</v>
      </c>
      <c r="H269">
        <v>2</v>
      </c>
      <c r="I269" t="s">
        <v>614</v>
      </c>
      <c r="K269" t="s">
        <v>1348</v>
      </c>
      <c r="M269" t="s">
        <v>613</v>
      </c>
      <c r="N269" t="s">
        <v>445</v>
      </c>
      <c r="O269" t="s">
        <v>1342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</row>
    <row r="270" spans="1:22" x14ac:dyDescent="0.25">
      <c r="A270">
        <v>267</v>
      </c>
      <c r="B270">
        <v>1</v>
      </c>
      <c r="C270" t="s">
        <v>615</v>
      </c>
      <c r="D270">
        <v>40</v>
      </c>
      <c r="E270">
        <v>1</v>
      </c>
      <c r="F270">
        <v>1</v>
      </c>
      <c r="G270" t="s">
        <v>589</v>
      </c>
      <c r="H270">
        <v>2</v>
      </c>
      <c r="I270" t="s">
        <v>616</v>
      </c>
      <c r="K270" t="s">
        <v>1348</v>
      </c>
      <c r="M270" t="s">
        <v>615</v>
      </c>
      <c r="N270" t="s">
        <v>445</v>
      </c>
      <c r="O270" t="s">
        <v>1342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</row>
    <row r="271" spans="1:22" x14ac:dyDescent="0.25">
      <c r="A271">
        <v>268</v>
      </c>
      <c r="B271">
        <v>1</v>
      </c>
      <c r="C271" t="s">
        <v>617</v>
      </c>
      <c r="D271">
        <v>40</v>
      </c>
      <c r="E271">
        <v>1</v>
      </c>
      <c r="F271">
        <v>1</v>
      </c>
      <c r="G271" t="s">
        <v>589</v>
      </c>
      <c r="H271">
        <v>2</v>
      </c>
      <c r="I271" t="s">
        <v>618</v>
      </c>
      <c r="K271" t="s">
        <v>1348</v>
      </c>
      <c r="M271" t="s">
        <v>617</v>
      </c>
      <c r="N271" t="s">
        <v>445</v>
      </c>
      <c r="O271" t="s">
        <v>1342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</row>
    <row r="272" spans="1:22" x14ac:dyDescent="0.25">
      <c r="A272">
        <v>269</v>
      </c>
      <c r="B272">
        <v>1</v>
      </c>
      <c r="C272" t="s">
        <v>619</v>
      </c>
      <c r="D272">
        <v>40</v>
      </c>
      <c r="E272">
        <v>1</v>
      </c>
      <c r="F272">
        <v>1</v>
      </c>
      <c r="G272" t="s">
        <v>589</v>
      </c>
      <c r="H272">
        <v>2</v>
      </c>
      <c r="I272" t="s">
        <v>620</v>
      </c>
      <c r="K272" t="s">
        <v>1348</v>
      </c>
      <c r="M272" t="s">
        <v>619</v>
      </c>
      <c r="N272" t="s">
        <v>445</v>
      </c>
      <c r="O272" t="s">
        <v>1342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</row>
    <row r="273" spans="1:22" x14ac:dyDescent="0.25">
      <c r="A273">
        <v>270</v>
      </c>
      <c r="B273">
        <v>1</v>
      </c>
      <c r="C273" t="s">
        <v>621</v>
      </c>
      <c r="D273">
        <v>40</v>
      </c>
      <c r="E273">
        <v>1</v>
      </c>
      <c r="F273">
        <v>1</v>
      </c>
      <c r="G273" t="s">
        <v>589</v>
      </c>
      <c r="H273">
        <v>2</v>
      </c>
      <c r="I273" t="s">
        <v>622</v>
      </c>
      <c r="K273" t="s">
        <v>1348</v>
      </c>
      <c r="M273" t="s">
        <v>621</v>
      </c>
      <c r="N273" t="s">
        <v>445</v>
      </c>
      <c r="O273" t="s">
        <v>1342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</row>
    <row r="274" spans="1:22" x14ac:dyDescent="0.25">
      <c r="A274">
        <v>271</v>
      </c>
      <c r="B274">
        <v>1</v>
      </c>
      <c r="C274" t="s">
        <v>623</v>
      </c>
      <c r="D274">
        <v>40</v>
      </c>
      <c r="E274">
        <v>1</v>
      </c>
      <c r="F274">
        <v>1</v>
      </c>
      <c r="G274" t="s">
        <v>589</v>
      </c>
      <c r="H274">
        <v>2</v>
      </c>
      <c r="I274" t="s">
        <v>624</v>
      </c>
      <c r="K274" t="s">
        <v>1348</v>
      </c>
      <c r="M274" t="s">
        <v>623</v>
      </c>
      <c r="N274" t="s">
        <v>445</v>
      </c>
      <c r="O274" t="s">
        <v>1342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</row>
    <row r="275" spans="1:22" x14ac:dyDescent="0.25">
      <c r="A275">
        <v>272</v>
      </c>
      <c r="B275">
        <v>1</v>
      </c>
      <c r="C275" t="s">
        <v>625</v>
      </c>
      <c r="D275">
        <v>40</v>
      </c>
      <c r="E275">
        <v>1</v>
      </c>
      <c r="F275">
        <v>1</v>
      </c>
      <c r="G275" t="s">
        <v>589</v>
      </c>
      <c r="H275">
        <v>2</v>
      </c>
      <c r="I275" t="s">
        <v>626</v>
      </c>
      <c r="K275" t="s">
        <v>1348</v>
      </c>
      <c r="M275" t="s">
        <v>625</v>
      </c>
      <c r="N275" t="s">
        <v>445</v>
      </c>
      <c r="O275" t="s">
        <v>1342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</row>
    <row r="276" spans="1:22" x14ac:dyDescent="0.25">
      <c r="A276">
        <v>273</v>
      </c>
      <c r="B276">
        <v>1</v>
      </c>
      <c r="C276" t="s">
        <v>627</v>
      </c>
      <c r="D276">
        <v>40</v>
      </c>
      <c r="E276">
        <v>1</v>
      </c>
      <c r="F276">
        <v>1</v>
      </c>
      <c r="G276" t="s">
        <v>589</v>
      </c>
      <c r="H276">
        <v>2</v>
      </c>
      <c r="I276" t="s">
        <v>628</v>
      </c>
      <c r="K276" t="s">
        <v>1348</v>
      </c>
      <c r="M276" t="s">
        <v>627</v>
      </c>
      <c r="N276" t="s">
        <v>445</v>
      </c>
      <c r="O276" t="s">
        <v>1342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</row>
    <row r="277" spans="1:22" x14ac:dyDescent="0.25">
      <c r="A277">
        <v>274</v>
      </c>
      <c r="B277">
        <v>1</v>
      </c>
      <c r="C277" t="s">
        <v>629</v>
      </c>
      <c r="D277">
        <v>40</v>
      </c>
      <c r="E277">
        <v>1</v>
      </c>
      <c r="F277">
        <v>1</v>
      </c>
      <c r="G277" t="s">
        <v>589</v>
      </c>
      <c r="H277">
        <v>2</v>
      </c>
      <c r="I277" t="s">
        <v>630</v>
      </c>
      <c r="K277" t="s">
        <v>1348</v>
      </c>
      <c r="M277" t="s">
        <v>629</v>
      </c>
      <c r="N277" t="s">
        <v>445</v>
      </c>
      <c r="O277" t="s">
        <v>1342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</row>
    <row r="278" spans="1:22" x14ac:dyDescent="0.25">
      <c r="A278">
        <v>275</v>
      </c>
      <c r="B278">
        <v>1</v>
      </c>
      <c r="C278" t="s">
        <v>631</v>
      </c>
      <c r="D278">
        <v>40</v>
      </c>
      <c r="E278">
        <v>1</v>
      </c>
      <c r="F278">
        <v>1</v>
      </c>
      <c r="G278" t="s">
        <v>589</v>
      </c>
      <c r="H278">
        <v>2</v>
      </c>
      <c r="I278" t="s">
        <v>632</v>
      </c>
      <c r="K278" t="s">
        <v>1348</v>
      </c>
      <c r="M278" t="s">
        <v>631</v>
      </c>
      <c r="N278" t="s">
        <v>445</v>
      </c>
      <c r="O278" t="s">
        <v>1342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</row>
    <row r="279" spans="1:22" x14ac:dyDescent="0.25">
      <c r="A279">
        <v>276</v>
      </c>
      <c r="B279">
        <v>1</v>
      </c>
      <c r="C279" t="s">
        <v>633</v>
      </c>
      <c r="D279">
        <v>40</v>
      </c>
      <c r="E279">
        <v>1</v>
      </c>
      <c r="F279">
        <v>1</v>
      </c>
      <c r="G279" t="s">
        <v>589</v>
      </c>
      <c r="H279">
        <v>2</v>
      </c>
      <c r="I279" t="s">
        <v>634</v>
      </c>
      <c r="K279" t="s">
        <v>1348</v>
      </c>
      <c r="M279" t="s">
        <v>633</v>
      </c>
      <c r="N279" t="s">
        <v>445</v>
      </c>
      <c r="O279" t="s">
        <v>1342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</row>
    <row r="280" spans="1:22" x14ac:dyDescent="0.25">
      <c r="A280">
        <v>277</v>
      </c>
      <c r="B280">
        <v>1</v>
      </c>
      <c r="C280" t="s">
        <v>635</v>
      </c>
      <c r="D280">
        <v>40</v>
      </c>
      <c r="E280">
        <v>1</v>
      </c>
      <c r="F280">
        <v>1</v>
      </c>
      <c r="G280" t="s">
        <v>589</v>
      </c>
      <c r="H280">
        <v>2</v>
      </c>
      <c r="I280" t="s">
        <v>636</v>
      </c>
      <c r="K280" t="s">
        <v>1348</v>
      </c>
      <c r="M280" t="s">
        <v>635</v>
      </c>
      <c r="N280" t="s">
        <v>445</v>
      </c>
      <c r="O280" t="s">
        <v>1342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</row>
    <row r="281" spans="1:22" x14ac:dyDescent="0.25">
      <c r="A281">
        <v>278</v>
      </c>
      <c r="B281">
        <v>1</v>
      </c>
      <c r="C281" t="s">
        <v>637</v>
      </c>
      <c r="D281">
        <v>40</v>
      </c>
      <c r="E281">
        <v>1</v>
      </c>
      <c r="F281">
        <v>1</v>
      </c>
      <c r="G281" t="s">
        <v>589</v>
      </c>
      <c r="H281">
        <v>2</v>
      </c>
      <c r="I281" t="s">
        <v>638</v>
      </c>
      <c r="K281" t="s">
        <v>1348</v>
      </c>
      <c r="M281" t="s">
        <v>637</v>
      </c>
      <c r="N281" t="s">
        <v>445</v>
      </c>
      <c r="O281" t="s">
        <v>1342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</row>
    <row r="282" spans="1:22" x14ac:dyDescent="0.25">
      <c r="A282">
        <v>279</v>
      </c>
      <c r="B282">
        <v>1</v>
      </c>
      <c r="C282" t="s">
        <v>639</v>
      </c>
      <c r="D282">
        <v>40</v>
      </c>
      <c r="E282">
        <v>1</v>
      </c>
      <c r="F282">
        <v>1</v>
      </c>
      <c r="G282" t="s">
        <v>589</v>
      </c>
      <c r="H282">
        <v>2</v>
      </c>
      <c r="I282" t="s">
        <v>640</v>
      </c>
      <c r="K282" t="s">
        <v>1348</v>
      </c>
      <c r="M282" t="s">
        <v>639</v>
      </c>
      <c r="N282" t="s">
        <v>445</v>
      </c>
      <c r="O282" t="s">
        <v>1342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</row>
    <row r="283" spans="1:22" x14ac:dyDescent="0.25">
      <c r="A283">
        <v>280</v>
      </c>
      <c r="B283">
        <v>1</v>
      </c>
      <c r="C283" t="s">
        <v>641</v>
      </c>
      <c r="D283">
        <v>40</v>
      </c>
      <c r="E283">
        <v>1</v>
      </c>
      <c r="F283">
        <v>1</v>
      </c>
      <c r="G283" t="s">
        <v>589</v>
      </c>
      <c r="H283">
        <v>2</v>
      </c>
      <c r="I283" t="s">
        <v>642</v>
      </c>
      <c r="K283" t="s">
        <v>1348</v>
      </c>
      <c r="M283" t="s">
        <v>641</v>
      </c>
      <c r="N283" t="s">
        <v>445</v>
      </c>
      <c r="O283" t="s">
        <v>1342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</row>
    <row r="284" spans="1:22" x14ac:dyDescent="0.25">
      <c r="A284">
        <v>281</v>
      </c>
      <c r="B284">
        <v>1</v>
      </c>
      <c r="C284" t="s">
        <v>643</v>
      </c>
      <c r="D284">
        <v>2</v>
      </c>
      <c r="E284">
        <v>2</v>
      </c>
      <c r="F284">
        <v>1</v>
      </c>
      <c r="G284" t="s">
        <v>589</v>
      </c>
      <c r="H284">
        <v>2</v>
      </c>
      <c r="I284" t="s">
        <v>154</v>
      </c>
      <c r="K284" t="s">
        <v>1348</v>
      </c>
      <c r="M284" t="s">
        <v>643</v>
      </c>
      <c r="N284" t="s">
        <v>445</v>
      </c>
      <c r="O284" t="s">
        <v>1342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</row>
    <row r="285" spans="1:22" x14ac:dyDescent="0.25">
      <c r="A285">
        <v>282</v>
      </c>
      <c r="B285">
        <v>1</v>
      </c>
      <c r="C285" t="s">
        <v>645</v>
      </c>
      <c r="D285">
        <v>2</v>
      </c>
      <c r="E285">
        <v>2</v>
      </c>
      <c r="F285">
        <v>1</v>
      </c>
      <c r="G285" t="s">
        <v>589</v>
      </c>
      <c r="H285">
        <v>2</v>
      </c>
      <c r="I285" t="s">
        <v>155</v>
      </c>
      <c r="K285" t="s">
        <v>1348</v>
      </c>
      <c r="M285" t="s">
        <v>645</v>
      </c>
      <c r="N285" t="s">
        <v>445</v>
      </c>
      <c r="O285" t="s">
        <v>1342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</row>
    <row r="286" spans="1:22" x14ac:dyDescent="0.25">
      <c r="A286">
        <v>283</v>
      </c>
      <c r="B286">
        <v>1</v>
      </c>
      <c r="C286" t="s">
        <v>647</v>
      </c>
      <c r="D286">
        <v>40</v>
      </c>
      <c r="E286">
        <v>1</v>
      </c>
      <c r="F286">
        <v>1</v>
      </c>
      <c r="G286" t="s">
        <v>589</v>
      </c>
      <c r="H286">
        <v>2</v>
      </c>
      <c r="I286" t="s">
        <v>648</v>
      </c>
      <c r="K286" t="s">
        <v>1348</v>
      </c>
      <c r="M286" t="s">
        <v>647</v>
      </c>
      <c r="N286" t="s">
        <v>445</v>
      </c>
      <c r="O286" t="s">
        <v>1342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</row>
    <row r="287" spans="1:22" x14ac:dyDescent="0.25">
      <c r="A287">
        <v>284</v>
      </c>
      <c r="B287">
        <v>1</v>
      </c>
      <c r="C287" t="s">
        <v>649</v>
      </c>
      <c r="D287">
        <v>40</v>
      </c>
      <c r="E287">
        <v>1</v>
      </c>
      <c r="F287">
        <v>1</v>
      </c>
      <c r="G287" t="s">
        <v>589</v>
      </c>
      <c r="H287">
        <v>2</v>
      </c>
      <c r="I287" t="s">
        <v>650</v>
      </c>
      <c r="K287" t="s">
        <v>1348</v>
      </c>
      <c r="M287" t="s">
        <v>649</v>
      </c>
      <c r="N287" t="s">
        <v>445</v>
      </c>
      <c r="O287" t="s">
        <v>1342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</row>
    <row r="288" spans="1:22" x14ac:dyDescent="0.25">
      <c r="A288">
        <v>285</v>
      </c>
      <c r="B288">
        <v>1</v>
      </c>
      <c r="C288" t="s">
        <v>651</v>
      </c>
      <c r="D288">
        <v>10</v>
      </c>
      <c r="E288">
        <v>14</v>
      </c>
      <c r="F288">
        <v>1</v>
      </c>
      <c r="G288" t="s">
        <v>589</v>
      </c>
      <c r="H288">
        <v>2</v>
      </c>
      <c r="I288" t="s">
        <v>652</v>
      </c>
      <c r="K288" t="s">
        <v>1348</v>
      </c>
      <c r="M288" t="s">
        <v>651</v>
      </c>
      <c r="N288" t="s">
        <v>445</v>
      </c>
      <c r="O288" t="s">
        <v>1342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</row>
    <row r="289" spans="1:22" x14ac:dyDescent="0.25">
      <c r="A289">
        <v>286</v>
      </c>
      <c r="B289">
        <v>1</v>
      </c>
      <c r="C289" t="s">
        <v>653</v>
      </c>
      <c r="D289">
        <v>40</v>
      </c>
      <c r="E289">
        <v>1</v>
      </c>
      <c r="F289">
        <v>1</v>
      </c>
      <c r="G289" t="s">
        <v>589</v>
      </c>
      <c r="H289">
        <v>2</v>
      </c>
      <c r="I289" t="s">
        <v>654</v>
      </c>
      <c r="K289" t="s">
        <v>1348</v>
      </c>
      <c r="M289" t="s">
        <v>653</v>
      </c>
      <c r="N289" t="s">
        <v>445</v>
      </c>
      <c r="O289" t="s">
        <v>1342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</row>
    <row r="290" spans="1:22" x14ac:dyDescent="0.25">
      <c r="A290">
        <v>287</v>
      </c>
      <c r="B290">
        <v>1</v>
      </c>
      <c r="C290" t="s">
        <v>655</v>
      </c>
      <c r="D290">
        <v>40</v>
      </c>
      <c r="E290">
        <v>1</v>
      </c>
      <c r="F290">
        <v>1</v>
      </c>
      <c r="G290" t="s">
        <v>589</v>
      </c>
      <c r="H290">
        <v>2</v>
      </c>
      <c r="I290" t="s">
        <v>656</v>
      </c>
      <c r="K290" t="s">
        <v>1348</v>
      </c>
      <c r="M290" t="s">
        <v>655</v>
      </c>
      <c r="N290" t="s">
        <v>1247</v>
      </c>
      <c r="O290" t="s">
        <v>1342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</row>
    <row r="291" spans="1:22" x14ac:dyDescent="0.25">
      <c r="A291">
        <v>288</v>
      </c>
      <c r="B291">
        <v>1</v>
      </c>
      <c r="C291" t="s">
        <v>657</v>
      </c>
      <c r="D291">
        <v>30</v>
      </c>
      <c r="E291">
        <v>1</v>
      </c>
      <c r="F291">
        <v>1</v>
      </c>
      <c r="G291" t="s">
        <v>589</v>
      </c>
      <c r="H291">
        <v>2</v>
      </c>
      <c r="I291" t="s">
        <v>658</v>
      </c>
      <c r="K291" t="s">
        <v>1348</v>
      </c>
      <c r="M291" t="s">
        <v>657</v>
      </c>
      <c r="N291" t="s">
        <v>1247</v>
      </c>
      <c r="O291" t="s">
        <v>1342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</row>
    <row r="292" spans="1:22" x14ac:dyDescent="0.25">
      <c r="A292">
        <v>289</v>
      </c>
      <c r="B292">
        <v>1</v>
      </c>
      <c r="C292" t="s">
        <v>659</v>
      </c>
      <c r="D292">
        <v>40</v>
      </c>
      <c r="E292">
        <v>1</v>
      </c>
      <c r="F292">
        <v>1</v>
      </c>
      <c r="G292" t="s">
        <v>589</v>
      </c>
      <c r="H292">
        <v>2</v>
      </c>
      <c r="I292" t="s">
        <v>156</v>
      </c>
      <c r="K292" t="s">
        <v>1348</v>
      </c>
      <c r="M292" t="s">
        <v>659</v>
      </c>
      <c r="N292" t="s">
        <v>445</v>
      </c>
      <c r="O292" t="s">
        <v>1342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</row>
    <row r="293" spans="1:22" x14ac:dyDescent="0.25">
      <c r="A293">
        <v>290</v>
      </c>
      <c r="B293">
        <v>1</v>
      </c>
      <c r="C293" t="s">
        <v>661</v>
      </c>
      <c r="D293">
        <v>4</v>
      </c>
      <c r="E293">
        <v>1</v>
      </c>
      <c r="F293">
        <v>1</v>
      </c>
      <c r="G293" t="s">
        <v>589</v>
      </c>
      <c r="H293">
        <v>2</v>
      </c>
      <c r="I293" t="s">
        <v>157</v>
      </c>
      <c r="K293" t="s">
        <v>1348</v>
      </c>
      <c r="M293" t="s">
        <v>661</v>
      </c>
      <c r="N293" t="s">
        <v>1247</v>
      </c>
      <c r="O293" t="s">
        <v>1342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</row>
    <row r="294" spans="1:22" x14ac:dyDescent="0.25">
      <c r="A294">
        <v>291</v>
      </c>
      <c r="B294">
        <v>1</v>
      </c>
      <c r="C294" t="s">
        <v>663</v>
      </c>
      <c r="D294">
        <v>40</v>
      </c>
      <c r="E294">
        <v>1</v>
      </c>
      <c r="F294">
        <v>1</v>
      </c>
      <c r="G294" t="s">
        <v>589</v>
      </c>
      <c r="H294">
        <v>2</v>
      </c>
      <c r="I294" t="s">
        <v>664</v>
      </c>
      <c r="K294" t="s">
        <v>1348</v>
      </c>
      <c r="M294" t="s">
        <v>663</v>
      </c>
      <c r="N294" t="s">
        <v>445</v>
      </c>
      <c r="O294" t="s">
        <v>1342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</row>
    <row r="295" spans="1:22" x14ac:dyDescent="0.25">
      <c r="A295">
        <v>292</v>
      </c>
      <c r="B295">
        <v>1</v>
      </c>
      <c r="C295" t="s">
        <v>665</v>
      </c>
      <c r="D295">
        <v>30</v>
      </c>
      <c r="E295">
        <v>1</v>
      </c>
      <c r="F295">
        <v>1</v>
      </c>
      <c r="G295" t="s">
        <v>589</v>
      </c>
      <c r="H295">
        <v>2</v>
      </c>
      <c r="I295" t="s">
        <v>666</v>
      </c>
      <c r="K295" t="s">
        <v>1348</v>
      </c>
      <c r="M295" t="s">
        <v>665</v>
      </c>
      <c r="N295" t="s">
        <v>1247</v>
      </c>
      <c r="O295" t="s">
        <v>1342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</row>
    <row r="296" spans="1:22" x14ac:dyDescent="0.25">
      <c r="A296">
        <v>293</v>
      </c>
      <c r="B296">
        <v>1</v>
      </c>
      <c r="C296" t="s">
        <v>667</v>
      </c>
      <c r="D296">
        <v>40</v>
      </c>
      <c r="E296">
        <v>1</v>
      </c>
      <c r="F296">
        <v>1</v>
      </c>
      <c r="G296" t="s">
        <v>589</v>
      </c>
      <c r="H296">
        <v>2</v>
      </c>
      <c r="I296" t="s">
        <v>668</v>
      </c>
      <c r="K296" t="s">
        <v>1348</v>
      </c>
      <c r="M296" t="s">
        <v>667</v>
      </c>
      <c r="N296" t="s">
        <v>445</v>
      </c>
      <c r="O296" t="s">
        <v>1342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</row>
    <row r="297" spans="1:22" x14ac:dyDescent="0.25">
      <c r="A297">
        <v>294</v>
      </c>
      <c r="B297">
        <v>1</v>
      </c>
      <c r="C297" t="s">
        <v>669</v>
      </c>
      <c r="D297">
        <v>40</v>
      </c>
      <c r="E297">
        <v>1</v>
      </c>
      <c r="F297">
        <v>1</v>
      </c>
      <c r="G297" t="s">
        <v>589</v>
      </c>
      <c r="H297">
        <v>2</v>
      </c>
      <c r="I297" t="s">
        <v>670</v>
      </c>
      <c r="K297" t="s">
        <v>1348</v>
      </c>
      <c r="M297" t="s">
        <v>669</v>
      </c>
      <c r="N297" t="s">
        <v>445</v>
      </c>
      <c r="O297" t="s">
        <v>1342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</row>
    <row r="298" spans="1:22" x14ac:dyDescent="0.25">
      <c r="A298">
        <v>295</v>
      </c>
      <c r="B298">
        <v>1</v>
      </c>
      <c r="C298" t="s">
        <v>671</v>
      </c>
      <c r="D298">
        <v>40</v>
      </c>
      <c r="E298">
        <v>1</v>
      </c>
      <c r="F298">
        <v>1</v>
      </c>
      <c r="G298" t="s">
        <v>589</v>
      </c>
      <c r="H298">
        <v>2</v>
      </c>
      <c r="I298" t="s">
        <v>672</v>
      </c>
      <c r="K298" t="s">
        <v>1348</v>
      </c>
      <c r="M298" t="s">
        <v>671</v>
      </c>
      <c r="N298" t="s">
        <v>445</v>
      </c>
      <c r="O298" t="s">
        <v>1342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</row>
    <row r="299" spans="1:22" x14ac:dyDescent="0.25">
      <c r="A299">
        <v>296</v>
      </c>
      <c r="B299">
        <v>1</v>
      </c>
      <c r="C299" t="s">
        <v>673</v>
      </c>
      <c r="D299">
        <v>40</v>
      </c>
      <c r="E299">
        <v>1</v>
      </c>
      <c r="F299">
        <v>1</v>
      </c>
      <c r="G299" t="s">
        <v>589</v>
      </c>
      <c r="H299">
        <v>2</v>
      </c>
      <c r="I299" t="s">
        <v>674</v>
      </c>
      <c r="K299" t="s">
        <v>1348</v>
      </c>
      <c r="M299" t="s">
        <v>673</v>
      </c>
      <c r="N299" t="s">
        <v>445</v>
      </c>
      <c r="O299" t="s">
        <v>1342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</row>
    <row r="300" spans="1:22" x14ac:dyDescent="0.25">
      <c r="A300">
        <v>297</v>
      </c>
      <c r="B300">
        <v>1</v>
      </c>
      <c r="C300" t="s">
        <v>675</v>
      </c>
      <c r="D300">
        <v>40</v>
      </c>
      <c r="E300">
        <v>1</v>
      </c>
      <c r="F300">
        <v>1</v>
      </c>
      <c r="G300" t="s">
        <v>589</v>
      </c>
      <c r="H300">
        <v>2</v>
      </c>
      <c r="I300" t="s">
        <v>676</v>
      </c>
      <c r="K300" t="s">
        <v>1348</v>
      </c>
      <c r="M300" t="s">
        <v>675</v>
      </c>
      <c r="N300" t="s">
        <v>445</v>
      </c>
      <c r="O300" t="s">
        <v>1342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</row>
    <row r="301" spans="1:22" x14ac:dyDescent="0.25">
      <c r="A301">
        <v>298</v>
      </c>
      <c r="B301">
        <v>1</v>
      </c>
      <c r="C301" t="s">
        <v>677</v>
      </c>
      <c r="D301">
        <v>40</v>
      </c>
      <c r="E301">
        <v>1</v>
      </c>
      <c r="F301">
        <v>1</v>
      </c>
      <c r="G301" t="s">
        <v>589</v>
      </c>
      <c r="H301">
        <v>2</v>
      </c>
      <c r="I301" t="s">
        <v>678</v>
      </c>
      <c r="K301" t="s">
        <v>1348</v>
      </c>
      <c r="M301" t="s">
        <v>677</v>
      </c>
      <c r="N301" t="s">
        <v>445</v>
      </c>
      <c r="O301" t="s">
        <v>1342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</row>
    <row r="302" spans="1:22" x14ac:dyDescent="0.25">
      <c r="A302">
        <v>299</v>
      </c>
      <c r="B302">
        <v>1</v>
      </c>
      <c r="C302" t="s">
        <v>679</v>
      </c>
      <c r="D302">
        <v>40</v>
      </c>
      <c r="E302">
        <v>1</v>
      </c>
      <c r="F302">
        <v>1</v>
      </c>
      <c r="G302" t="s">
        <v>589</v>
      </c>
      <c r="H302">
        <v>2</v>
      </c>
      <c r="I302" t="s">
        <v>680</v>
      </c>
      <c r="K302" t="s">
        <v>1348</v>
      </c>
      <c r="M302" t="s">
        <v>679</v>
      </c>
      <c r="N302" t="s">
        <v>445</v>
      </c>
      <c r="O302" t="s">
        <v>1342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</row>
    <row r="303" spans="1:22" x14ac:dyDescent="0.25">
      <c r="A303">
        <v>300</v>
      </c>
      <c r="B303">
        <v>1</v>
      </c>
      <c r="C303" t="s">
        <v>158</v>
      </c>
      <c r="D303">
        <v>64</v>
      </c>
      <c r="E303">
        <v>1</v>
      </c>
      <c r="F303">
        <v>1</v>
      </c>
      <c r="G303" t="s">
        <v>589</v>
      </c>
      <c r="H303">
        <v>2</v>
      </c>
      <c r="I303" t="s">
        <v>159</v>
      </c>
      <c r="K303" t="s">
        <v>1348</v>
      </c>
      <c r="M303" t="e">
        <v>#N/A</v>
      </c>
      <c r="N303" t="e">
        <v>#N/A</v>
      </c>
      <c r="O303" t="e">
        <v>#N/A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e">
        <v>#N/A</v>
      </c>
    </row>
    <row r="304" spans="1:22" x14ac:dyDescent="0.25">
      <c r="A304">
        <v>301</v>
      </c>
      <c r="B304">
        <v>1</v>
      </c>
      <c r="C304" t="s">
        <v>681</v>
      </c>
      <c r="D304">
        <v>40</v>
      </c>
      <c r="E304">
        <v>1</v>
      </c>
      <c r="F304">
        <v>1</v>
      </c>
      <c r="G304" t="s">
        <v>589</v>
      </c>
      <c r="H304">
        <v>2</v>
      </c>
      <c r="I304" t="s">
        <v>682</v>
      </c>
      <c r="K304" t="s">
        <v>1348</v>
      </c>
      <c r="M304" t="s">
        <v>681</v>
      </c>
      <c r="N304" t="s">
        <v>445</v>
      </c>
      <c r="O304" t="s">
        <v>1342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 spans="1:22" x14ac:dyDescent="0.25">
      <c r="A305">
        <v>302</v>
      </c>
      <c r="B305">
        <v>1</v>
      </c>
      <c r="C305" t="s">
        <v>683</v>
      </c>
      <c r="D305">
        <v>30</v>
      </c>
      <c r="E305">
        <v>1</v>
      </c>
      <c r="F305">
        <v>1</v>
      </c>
      <c r="G305" t="s">
        <v>589</v>
      </c>
      <c r="H305">
        <v>2</v>
      </c>
      <c r="I305" t="s">
        <v>684</v>
      </c>
      <c r="K305" t="s">
        <v>1348</v>
      </c>
      <c r="M305" t="s">
        <v>683</v>
      </c>
      <c r="N305" t="s">
        <v>445</v>
      </c>
      <c r="O305" t="s">
        <v>1342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</row>
    <row r="306" spans="1:22" x14ac:dyDescent="0.25">
      <c r="A306">
        <v>303</v>
      </c>
      <c r="B306">
        <v>1</v>
      </c>
      <c r="C306" t="s">
        <v>685</v>
      </c>
      <c r="D306">
        <v>2</v>
      </c>
      <c r="E306">
        <v>31</v>
      </c>
      <c r="F306">
        <v>1</v>
      </c>
      <c r="G306" t="s">
        <v>589</v>
      </c>
      <c r="H306">
        <v>2</v>
      </c>
      <c r="I306" t="s">
        <v>686</v>
      </c>
      <c r="K306" t="s">
        <v>1348</v>
      </c>
      <c r="M306" t="s">
        <v>685</v>
      </c>
      <c r="N306" t="s">
        <v>445</v>
      </c>
      <c r="O306" t="s">
        <v>1344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</row>
    <row r="307" spans="1:22" x14ac:dyDescent="0.25">
      <c r="A307">
        <v>304</v>
      </c>
      <c r="B307">
        <v>1</v>
      </c>
      <c r="C307" t="s">
        <v>687</v>
      </c>
      <c r="D307">
        <v>40</v>
      </c>
      <c r="E307">
        <v>1</v>
      </c>
      <c r="F307">
        <v>1</v>
      </c>
      <c r="G307" t="s">
        <v>589</v>
      </c>
      <c r="H307">
        <v>2</v>
      </c>
      <c r="I307" t="s">
        <v>688</v>
      </c>
      <c r="K307" t="s">
        <v>1348</v>
      </c>
      <c r="M307" t="s">
        <v>687</v>
      </c>
      <c r="N307" t="s">
        <v>445</v>
      </c>
      <c r="O307" t="s">
        <v>1344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</row>
    <row r="308" spans="1:22" x14ac:dyDescent="0.25">
      <c r="A308">
        <v>305</v>
      </c>
      <c r="B308">
        <v>1</v>
      </c>
      <c r="C308" t="s">
        <v>689</v>
      </c>
      <c r="D308">
        <v>40</v>
      </c>
      <c r="E308">
        <v>1</v>
      </c>
      <c r="F308">
        <v>1</v>
      </c>
      <c r="G308" t="s">
        <v>589</v>
      </c>
      <c r="H308">
        <v>2</v>
      </c>
      <c r="I308" t="s">
        <v>650</v>
      </c>
      <c r="K308" t="s">
        <v>1348</v>
      </c>
      <c r="M308" t="s">
        <v>689</v>
      </c>
      <c r="N308" t="s">
        <v>445</v>
      </c>
      <c r="O308" t="s">
        <v>1344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</row>
    <row r="309" spans="1:22" x14ac:dyDescent="0.25">
      <c r="A309">
        <v>306</v>
      </c>
      <c r="B309">
        <v>1</v>
      </c>
      <c r="C309" t="s">
        <v>160</v>
      </c>
      <c r="D309">
        <v>4</v>
      </c>
      <c r="E309">
        <v>2</v>
      </c>
      <c r="F309">
        <v>1</v>
      </c>
      <c r="G309" t="s">
        <v>589</v>
      </c>
      <c r="H309">
        <v>3</v>
      </c>
      <c r="I309" t="s">
        <v>161</v>
      </c>
      <c r="K309" t="s">
        <v>1348</v>
      </c>
      <c r="M309" t="e">
        <v>#N/A</v>
      </c>
      <c r="N309" t="e">
        <v>#N/A</v>
      </c>
      <c r="O309" t="e">
        <v>#N/A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e">
        <v>#N/A</v>
      </c>
    </row>
    <row r="310" spans="1:22" x14ac:dyDescent="0.25">
      <c r="A310">
        <v>307</v>
      </c>
      <c r="B310">
        <v>1</v>
      </c>
      <c r="C310" t="s">
        <v>694</v>
      </c>
      <c r="D310">
        <v>4</v>
      </c>
      <c r="E310">
        <v>2</v>
      </c>
      <c r="F310">
        <v>1</v>
      </c>
      <c r="G310" t="s">
        <v>589</v>
      </c>
      <c r="H310">
        <v>4</v>
      </c>
      <c r="I310" t="s">
        <v>695</v>
      </c>
      <c r="K310" t="s">
        <v>1348</v>
      </c>
      <c r="M310" t="s">
        <v>694</v>
      </c>
      <c r="N310" t="s">
        <v>1247</v>
      </c>
      <c r="O310" t="s">
        <v>1344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</row>
    <row r="311" spans="1:22" x14ac:dyDescent="0.25">
      <c r="A311">
        <v>308</v>
      </c>
      <c r="B311">
        <v>1</v>
      </c>
      <c r="C311" t="s">
        <v>696</v>
      </c>
      <c r="D311">
        <v>8</v>
      </c>
      <c r="E311">
        <v>1</v>
      </c>
      <c r="F311">
        <v>1</v>
      </c>
      <c r="G311" t="s">
        <v>589</v>
      </c>
      <c r="H311">
        <v>4</v>
      </c>
      <c r="I311" t="s">
        <v>697</v>
      </c>
      <c r="K311" t="s">
        <v>1348</v>
      </c>
      <c r="M311" t="s">
        <v>696</v>
      </c>
      <c r="N311" t="s">
        <v>1247</v>
      </c>
      <c r="O311" t="s">
        <v>1344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</row>
    <row r="312" spans="1:22" x14ac:dyDescent="0.25">
      <c r="A312">
        <v>309</v>
      </c>
      <c r="B312">
        <v>1</v>
      </c>
      <c r="C312" t="s">
        <v>702</v>
      </c>
      <c r="D312">
        <v>1</v>
      </c>
      <c r="E312">
        <v>1</v>
      </c>
      <c r="F312">
        <v>1</v>
      </c>
      <c r="G312" t="s">
        <v>589</v>
      </c>
      <c r="H312">
        <v>4</v>
      </c>
      <c r="I312" t="s">
        <v>703</v>
      </c>
      <c r="K312" t="s">
        <v>1348</v>
      </c>
      <c r="M312" t="s">
        <v>702</v>
      </c>
      <c r="N312" t="s">
        <v>1247</v>
      </c>
      <c r="O312" t="s">
        <v>1342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</row>
    <row r="313" spans="1:22" x14ac:dyDescent="0.25">
      <c r="A313">
        <v>310</v>
      </c>
      <c r="B313">
        <v>1</v>
      </c>
      <c r="C313" t="s">
        <v>704</v>
      </c>
      <c r="D313">
        <v>1</v>
      </c>
      <c r="E313">
        <v>1</v>
      </c>
      <c r="F313">
        <v>1</v>
      </c>
      <c r="G313" t="s">
        <v>589</v>
      </c>
      <c r="H313">
        <v>4</v>
      </c>
      <c r="I313" t="s">
        <v>705</v>
      </c>
      <c r="K313" t="s">
        <v>1348</v>
      </c>
      <c r="M313" t="s">
        <v>704</v>
      </c>
      <c r="N313" t="s">
        <v>1247</v>
      </c>
      <c r="O313" t="s">
        <v>1344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</row>
    <row r="314" spans="1:22" x14ac:dyDescent="0.25">
      <c r="A314">
        <v>311</v>
      </c>
      <c r="B314">
        <v>1</v>
      </c>
      <c r="C314" t="s">
        <v>706</v>
      </c>
      <c r="D314">
        <v>2</v>
      </c>
      <c r="E314">
        <v>1</v>
      </c>
      <c r="F314">
        <v>1</v>
      </c>
      <c r="G314" t="s">
        <v>589</v>
      </c>
      <c r="H314">
        <v>4</v>
      </c>
      <c r="I314" t="s">
        <v>707</v>
      </c>
      <c r="K314" t="s">
        <v>1348</v>
      </c>
      <c r="M314" t="s">
        <v>706</v>
      </c>
      <c r="N314" t="s">
        <v>1247</v>
      </c>
      <c r="O314" t="s">
        <v>1344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</row>
    <row r="315" spans="1:22" x14ac:dyDescent="0.25">
      <c r="A315">
        <v>312</v>
      </c>
      <c r="B315">
        <v>1</v>
      </c>
      <c r="C315" t="s">
        <v>1216</v>
      </c>
      <c r="D315">
        <v>4</v>
      </c>
      <c r="E315">
        <v>2</v>
      </c>
      <c r="F315">
        <v>1</v>
      </c>
      <c r="G315" t="s">
        <v>589</v>
      </c>
      <c r="H315">
        <v>4</v>
      </c>
      <c r="I315" t="s">
        <v>162</v>
      </c>
      <c r="K315" t="s">
        <v>1348</v>
      </c>
      <c r="M315" t="e">
        <v>#N/A</v>
      </c>
      <c r="N315" t="e">
        <v>#N/A</v>
      </c>
      <c r="O315" t="e">
        <v>#N/A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e">
        <v>#N/A</v>
      </c>
    </row>
    <row r="316" spans="1:22" x14ac:dyDescent="0.25">
      <c r="A316">
        <v>313</v>
      </c>
      <c r="B316">
        <v>1</v>
      </c>
      <c r="C316" t="s">
        <v>716</v>
      </c>
      <c r="D316">
        <v>4</v>
      </c>
      <c r="E316">
        <v>2</v>
      </c>
      <c r="F316">
        <v>1</v>
      </c>
      <c r="G316" t="s">
        <v>589</v>
      </c>
      <c r="H316">
        <v>4</v>
      </c>
      <c r="I316" t="s">
        <v>717</v>
      </c>
      <c r="K316" t="s">
        <v>1348</v>
      </c>
      <c r="M316" t="s">
        <v>716</v>
      </c>
      <c r="N316" t="s">
        <v>1247</v>
      </c>
      <c r="O316" t="s">
        <v>1342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</row>
    <row r="317" spans="1:22" x14ac:dyDescent="0.25">
      <c r="A317">
        <v>314</v>
      </c>
      <c r="B317">
        <v>1</v>
      </c>
      <c r="C317" t="s">
        <v>718</v>
      </c>
      <c r="D317">
        <v>4</v>
      </c>
      <c r="E317">
        <v>6</v>
      </c>
      <c r="F317">
        <v>1</v>
      </c>
      <c r="G317" t="s">
        <v>589</v>
      </c>
      <c r="H317">
        <v>4</v>
      </c>
      <c r="I317" t="s">
        <v>719</v>
      </c>
      <c r="K317" t="s">
        <v>1348</v>
      </c>
      <c r="M317" t="s">
        <v>718</v>
      </c>
      <c r="N317" t="s">
        <v>1247</v>
      </c>
      <c r="O317" t="s">
        <v>1342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</row>
    <row r="318" spans="1:22" x14ac:dyDescent="0.25">
      <c r="A318">
        <v>315</v>
      </c>
      <c r="B318">
        <v>1</v>
      </c>
      <c r="C318" t="s">
        <v>720</v>
      </c>
      <c r="D318">
        <v>4</v>
      </c>
      <c r="E318">
        <v>8</v>
      </c>
      <c r="F318">
        <v>1</v>
      </c>
      <c r="G318" t="s">
        <v>589</v>
      </c>
      <c r="H318">
        <v>4</v>
      </c>
      <c r="I318" t="s">
        <v>721</v>
      </c>
      <c r="K318" t="s">
        <v>1348</v>
      </c>
      <c r="M318" t="s">
        <v>720</v>
      </c>
      <c r="N318" t="s">
        <v>1247</v>
      </c>
      <c r="O318" t="s">
        <v>1342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</row>
    <row r="319" spans="1:22" x14ac:dyDescent="0.25">
      <c r="A319">
        <v>316</v>
      </c>
      <c r="B319">
        <v>1</v>
      </c>
      <c r="C319" t="s">
        <v>722</v>
      </c>
      <c r="D319">
        <v>4</v>
      </c>
      <c r="E319">
        <v>15</v>
      </c>
      <c r="F319">
        <v>1</v>
      </c>
      <c r="G319" t="s">
        <v>589</v>
      </c>
      <c r="H319">
        <v>4</v>
      </c>
      <c r="I319" t="s">
        <v>723</v>
      </c>
      <c r="K319" t="s">
        <v>1348</v>
      </c>
      <c r="M319" t="s">
        <v>722</v>
      </c>
      <c r="N319" t="s">
        <v>1247</v>
      </c>
      <c r="O319" t="s">
        <v>1342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</row>
    <row r="320" spans="1:22" x14ac:dyDescent="0.25">
      <c r="A320">
        <v>317</v>
      </c>
      <c r="B320">
        <v>1</v>
      </c>
      <c r="C320" t="s">
        <v>724</v>
      </c>
      <c r="D320">
        <v>4</v>
      </c>
      <c r="E320">
        <v>14</v>
      </c>
      <c r="F320">
        <v>1</v>
      </c>
      <c r="G320" t="s">
        <v>589</v>
      </c>
      <c r="H320">
        <v>4</v>
      </c>
      <c r="I320" t="s">
        <v>725</v>
      </c>
      <c r="K320" t="s">
        <v>1348</v>
      </c>
      <c r="M320" t="s">
        <v>724</v>
      </c>
      <c r="N320" t="s">
        <v>1247</v>
      </c>
      <c r="O320" t="s">
        <v>1342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</row>
    <row r="321" spans="1:22" x14ac:dyDescent="0.25">
      <c r="A321">
        <v>318</v>
      </c>
      <c r="B321">
        <v>1</v>
      </c>
      <c r="C321" t="s">
        <v>726</v>
      </c>
      <c r="D321">
        <v>9</v>
      </c>
      <c r="E321">
        <v>2</v>
      </c>
      <c r="F321">
        <v>1</v>
      </c>
      <c r="G321" t="s">
        <v>589</v>
      </c>
      <c r="H321">
        <v>4</v>
      </c>
      <c r="I321" t="s">
        <v>727</v>
      </c>
      <c r="K321" t="s">
        <v>1348</v>
      </c>
      <c r="M321" t="s">
        <v>726</v>
      </c>
      <c r="N321" t="s">
        <v>445</v>
      </c>
      <c r="O321" t="s">
        <v>1342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</row>
    <row r="322" spans="1:22" x14ac:dyDescent="0.25">
      <c r="A322">
        <v>319</v>
      </c>
      <c r="B322">
        <v>1</v>
      </c>
      <c r="C322" t="s">
        <v>728</v>
      </c>
      <c r="D322">
        <v>2</v>
      </c>
      <c r="E322">
        <v>1</v>
      </c>
      <c r="F322">
        <v>1</v>
      </c>
      <c r="G322" t="s">
        <v>589</v>
      </c>
      <c r="H322">
        <v>4</v>
      </c>
      <c r="I322" t="s">
        <v>729</v>
      </c>
      <c r="K322" t="s">
        <v>1348</v>
      </c>
      <c r="M322" t="s">
        <v>728</v>
      </c>
      <c r="N322" t="s">
        <v>445</v>
      </c>
      <c r="O322" t="s">
        <v>1342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</row>
    <row r="323" spans="1:22" x14ac:dyDescent="0.25">
      <c r="A323">
        <v>320</v>
      </c>
      <c r="B323">
        <v>1</v>
      </c>
      <c r="C323" t="s">
        <v>531</v>
      </c>
      <c r="D323">
        <v>1</v>
      </c>
      <c r="E323">
        <v>1</v>
      </c>
      <c r="F323">
        <v>1</v>
      </c>
      <c r="G323" t="s">
        <v>447</v>
      </c>
      <c r="H323">
        <v>5</v>
      </c>
      <c r="I323" t="s">
        <v>532</v>
      </c>
      <c r="K323" t="s">
        <v>1348</v>
      </c>
      <c r="M323" t="s">
        <v>531</v>
      </c>
      <c r="N323" t="s">
        <v>1247</v>
      </c>
      <c r="O323" t="s">
        <v>1344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</row>
    <row r="324" spans="1:22" x14ac:dyDescent="0.25">
      <c r="A324">
        <v>321</v>
      </c>
      <c r="B324">
        <v>1</v>
      </c>
      <c r="C324" t="s">
        <v>535</v>
      </c>
      <c r="D324">
        <v>1</v>
      </c>
      <c r="E324">
        <v>1</v>
      </c>
      <c r="F324">
        <v>1</v>
      </c>
      <c r="G324" t="s">
        <v>447</v>
      </c>
      <c r="H324">
        <v>5</v>
      </c>
      <c r="I324" t="s">
        <v>536</v>
      </c>
      <c r="K324" t="s">
        <v>1348</v>
      </c>
      <c r="M324" t="s">
        <v>535</v>
      </c>
      <c r="N324" t="s">
        <v>1247</v>
      </c>
      <c r="O324" t="s">
        <v>1344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</row>
    <row r="325" spans="1:22" x14ac:dyDescent="0.25">
      <c r="A325">
        <v>322</v>
      </c>
      <c r="B325">
        <v>1</v>
      </c>
      <c r="C325" t="s">
        <v>708</v>
      </c>
      <c r="D325">
        <v>4</v>
      </c>
      <c r="E325">
        <v>1</v>
      </c>
      <c r="F325">
        <v>1</v>
      </c>
      <c r="G325" t="s">
        <v>589</v>
      </c>
      <c r="H325">
        <v>5</v>
      </c>
      <c r="I325" t="s">
        <v>709</v>
      </c>
      <c r="K325" t="s">
        <v>1348</v>
      </c>
      <c r="M325" t="s">
        <v>708</v>
      </c>
      <c r="N325" t="s">
        <v>445</v>
      </c>
      <c r="O325" t="s">
        <v>1344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</row>
    <row r="326" spans="1:22" x14ac:dyDescent="0.25">
      <c r="A326">
        <v>323</v>
      </c>
      <c r="B326">
        <v>1</v>
      </c>
      <c r="C326" t="s">
        <v>698</v>
      </c>
      <c r="D326">
        <v>8</v>
      </c>
      <c r="E326">
        <v>10</v>
      </c>
      <c r="F326">
        <v>1</v>
      </c>
      <c r="G326" t="s">
        <v>589</v>
      </c>
      <c r="H326">
        <v>5</v>
      </c>
      <c r="I326" t="s">
        <v>699</v>
      </c>
      <c r="K326" t="s">
        <v>1348</v>
      </c>
      <c r="M326" t="s">
        <v>698</v>
      </c>
      <c r="N326" t="s">
        <v>1247</v>
      </c>
      <c r="O326" t="s">
        <v>1344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</row>
    <row r="327" spans="1:22" x14ac:dyDescent="0.25">
      <c r="A327">
        <v>324</v>
      </c>
      <c r="B327">
        <v>1</v>
      </c>
      <c r="C327" t="s">
        <v>533</v>
      </c>
      <c r="D327">
        <v>1</v>
      </c>
      <c r="E327">
        <v>1</v>
      </c>
      <c r="F327">
        <v>1</v>
      </c>
      <c r="G327" t="s">
        <v>447</v>
      </c>
      <c r="H327">
        <v>4</v>
      </c>
      <c r="I327" t="s">
        <v>534</v>
      </c>
      <c r="K327" t="s">
        <v>1348</v>
      </c>
      <c r="M327" t="s">
        <v>533</v>
      </c>
      <c r="N327" t="s">
        <v>1247</v>
      </c>
      <c r="O327" t="s">
        <v>1344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</row>
    <row r="328" spans="1:22" x14ac:dyDescent="0.25">
      <c r="A328">
        <v>325</v>
      </c>
      <c r="B328">
        <v>1</v>
      </c>
      <c r="C328" t="s">
        <v>568</v>
      </c>
      <c r="D328">
        <v>1</v>
      </c>
      <c r="E328">
        <v>1</v>
      </c>
      <c r="F328">
        <v>1</v>
      </c>
      <c r="G328" t="s">
        <v>544</v>
      </c>
      <c r="H328">
        <v>4</v>
      </c>
      <c r="I328" t="s">
        <v>569</v>
      </c>
      <c r="K328" t="s">
        <v>1348</v>
      </c>
      <c r="M328" t="s">
        <v>568</v>
      </c>
      <c r="N328" t="s">
        <v>1247</v>
      </c>
      <c r="O328" t="s">
        <v>1344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</row>
    <row r="329" spans="1:22" x14ac:dyDescent="0.25">
      <c r="A329">
        <v>326</v>
      </c>
      <c r="B329">
        <v>1</v>
      </c>
      <c r="C329" t="s">
        <v>570</v>
      </c>
      <c r="D329">
        <v>1</v>
      </c>
      <c r="E329">
        <v>1</v>
      </c>
      <c r="F329">
        <v>1</v>
      </c>
      <c r="G329" t="s">
        <v>544</v>
      </c>
      <c r="H329">
        <v>4</v>
      </c>
      <c r="I329" t="s">
        <v>571</v>
      </c>
      <c r="K329" t="s">
        <v>1348</v>
      </c>
      <c r="M329" t="s">
        <v>570</v>
      </c>
      <c r="N329" t="s">
        <v>1247</v>
      </c>
      <c r="O329" t="s">
        <v>1344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</row>
    <row r="330" spans="1:22" x14ac:dyDescent="0.25">
      <c r="A330">
        <v>327</v>
      </c>
      <c r="B330">
        <v>1</v>
      </c>
      <c r="C330" t="s">
        <v>712</v>
      </c>
      <c r="D330">
        <v>4</v>
      </c>
      <c r="E330">
        <v>1</v>
      </c>
      <c r="F330">
        <v>1</v>
      </c>
      <c r="G330" t="s">
        <v>589</v>
      </c>
      <c r="H330">
        <v>4</v>
      </c>
      <c r="I330" t="s">
        <v>713</v>
      </c>
      <c r="K330" t="s">
        <v>1348</v>
      </c>
      <c r="M330" t="s">
        <v>712</v>
      </c>
      <c r="N330" t="s">
        <v>1247</v>
      </c>
      <c r="O330" t="s">
        <v>1342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</row>
    <row r="331" spans="1:22" x14ac:dyDescent="0.25">
      <c r="A331">
        <v>328</v>
      </c>
      <c r="B331">
        <v>1</v>
      </c>
      <c r="C331" t="s">
        <v>163</v>
      </c>
      <c r="D331">
        <v>4</v>
      </c>
      <c r="E331">
        <v>6</v>
      </c>
      <c r="F331">
        <v>1</v>
      </c>
      <c r="G331" t="s">
        <v>589</v>
      </c>
      <c r="H331">
        <v>4</v>
      </c>
      <c r="I331" t="s">
        <v>164</v>
      </c>
      <c r="K331" t="s">
        <v>1348</v>
      </c>
      <c r="M331" t="e">
        <v>#N/A</v>
      </c>
      <c r="N331" t="e">
        <v>#N/A</v>
      </c>
      <c r="O331" t="e">
        <v>#N/A</v>
      </c>
      <c r="Q331" t="e">
        <v>#N/A</v>
      </c>
      <c r="R331" t="e">
        <v>#N/A</v>
      </c>
      <c r="S331" t="e">
        <v>#N/A</v>
      </c>
      <c r="T331" t="e">
        <v>#N/A</v>
      </c>
      <c r="U331" t="e">
        <v>#N/A</v>
      </c>
      <c r="V331" t="e">
        <v>#N/A</v>
      </c>
    </row>
    <row r="332" spans="1:22" x14ac:dyDescent="0.25">
      <c r="A332">
        <v>329</v>
      </c>
      <c r="B332">
        <v>1</v>
      </c>
      <c r="C332" t="s">
        <v>165</v>
      </c>
      <c r="D332">
        <v>4</v>
      </c>
      <c r="E332">
        <v>6</v>
      </c>
      <c r="F332">
        <v>1</v>
      </c>
      <c r="G332" t="s">
        <v>589</v>
      </c>
      <c r="H332">
        <v>4</v>
      </c>
      <c r="I332" t="s">
        <v>166</v>
      </c>
      <c r="K332" t="s">
        <v>1348</v>
      </c>
      <c r="M332" t="e">
        <v>#N/A</v>
      </c>
      <c r="N332" t="e">
        <v>#N/A</v>
      </c>
      <c r="O332" t="e">
        <v>#N/A</v>
      </c>
      <c r="Q332" t="e">
        <v>#N/A</v>
      </c>
      <c r="R332" t="e">
        <v>#N/A</v>
      </c>
      <c r="S332" t="e">
        <v>#N/A</v>
      </c>
      <c r="T332" t="e">
        <v>#N/A</v>
      </c>
      <c r="U332" t="e">
        <v>#N/A</v>
      </c>
      <c r="V332" t="e">
        <v>#N/A</v>
      </c>
    </row>
    <row r="333" spans="1:22" x14ac:dyDescent="0.25">
      <c r="A333">
        <v>330</v>
      </c>
      <c r="B333">
        <v>1</v>
      </c>
      <c r="C333" t="s">
        <v>167</v>
      </c>
      <c r="D333">
        <v>2</v>
      </c>
      <c r="E333">
        <v>1</v>
      </c>
      <c r="F333">
        <v>1</v>
      </c>
      <c r="G333" t="s">
        <v>447</v>
      </c>
      <c r="H333">
        <v>1</v>
      </c>
      <c r="I333" t="s">
        <v>168</v>
      </c>
      <c r="K333" t="s">
        <v>1348</v>
      </c>
      <c r="M333" t="e">
        <v>#N/A</v>
      </c>
      <c r="N333" t="e">
        <v>#N/A</v>
      </c>
      <c r="O333" t="e">
        <v>#N/A</v>
      </c>
      <c r="Q333" t="e">
        <v>#N/A</v>
      </c>
      <c r="R333" t="e">
        <v>#N/A</v>
      </c>
      <c r="S333" t="e">
        <v>#N/A</v>
      </c>
      <c r="T333" t="e">
        <v>#N/A</v>
      </c>
      <c r="U333" t="e">
        <v>#N/A</v>
      </c>
      <c r="V333" t="e">
        <v>#N/A</v>
      </c>
    </row>
    <row r="334" spans="1:22" x14ac:dyDescent="0.25">
      <c r="A334">
        <v>331</v>
      </c>
      <c r="B334">
        <v>1</v>
      </c>
      <c r="C334" t="s">
        <v>169</v>
      </c>
      <c r="D334">
        <v>1</v>
      </c>
      <c r="E334">
        <v>1</v>
      </c>
      <c r="F334">
        <v>1</v>
      </c>
      <c r="G334" t="s">
        <v>447</v>
      </c>
      <c r="H334">
        <v>1</v>
      </c>
      <c r="I334" t="s">
        <v>170</v>
      </c>
      <c r="K334" t="s">
        <v>1348</v>
      </c>
      <c r="M334" t="e">
        <v>#N/A</v>
      </c>
      <c r="N334" t="e">
        <v>#N/A</v>
      </c>
      <c r="O334" t="e">
        <v>#N/A</v>
      </c>
      <c r="Q334" t="e">
        <v>#N/A</v>
      </c>
      <c r="R334" t="e">
        <v>#N/A</v>
      </c>
      <c r="S334" t="e">
        <v>#N/A</v>
      </c>
      <c r="T334" t="e">
        <v>#N/A</v>
      </c>
      <c r="U334" t="e">
        <v>#N/A</v>
      </c>
      <c r="V334" t="e">
        <v>#N/A</v>
      </c>
    </row>
    <row r="335" spans="1:22" x14ac:dyDescent="0.25">
      <c r="A335">
        <v>332</v>
      </c>
      <c r="B335">
        <v>1</v>
      </c>
      <c r="C335" t="s">
        <v>171</v>
      </c>
      <c r="D335">
        <v>1</v>
      </c>
      <c r="E335">
        <v>1</v>
      </c>
      <c r="F335">
        <v>1</v>
      </c>
      <c r="G335" t="s">
        <v>447</v>
      </c>
      <c r="H335">
        <v>1</v>
      </c>
      <c r="I335" t="s">
        <v>172</v>
      </c>
      <c r="K335" t="s">
        <v>1348</v>
      </c>
      <c r="M335" t="e">
        <v>#N/A</v>
      </c>
      <c r="N335" t="e">
        <v>#N/A</v>
      </c>
      <c r="O335" t="e">
        <v>#N/A</v>
      </c>
      <c r="Q335" t="e">
        <v>#N/A</v>
      </c>
      <c r="R335" t="e">
        <v>#N/A</v>
      </c>
      <c r="S335" t="e">
        <v>#N/A</v>
      </c>
      <c r="T335" t="e">
        <v>#N/A</v>
      </c>
      <c r="U335" t="e">
        <v>#N/A</v>
      </c>
      <c r="V335" t="e">
        <v>#N/A</v>
      </c>
    </row>
    <row r="336" spans="1:22" x14ac:dyDescent="0.25">
      <c r="A336">
        <v>333</v>
      </c>
      <c r="B336">
        <v>1</v>
      </c>
      <c r="C336" t="s">
        <v>173</v>
      </c>
      <c r="D336">
        <v>1</v>
      </c>
      <c r="E336">
        <v>1</v>
      </c>
      <c r="F336">
        <v>1</v>
      </c>
      <c r="G336" t="s">
        <v>447</v>
      </c>
      <c r="H336">
        <v>1</v>
      </c>
      <c r="I336" t="s">
        <v>174</v>
      </c>
      <c r="K336" t="s">
        <v>1348</v>
      </c>
      <c r="M336" t="e">
        <v>#N/A</v>
      </c>
      <c r="N336" t="e">
        <v>#N/A</v>
      </c>
      <c r="O336" t="e">
        <v>#N/A</v>
      </c>
      <c r="Q336" t="e">
        <v>#N/A</v>
      </c>
      <c r="R336" t="e">
        <v>#N/A</v>
      </c>
      <c r="S336" t="e">
        <v>#N/A</v>
      </c>
      <c r="T336" t="e">
        <v>#N/A</v>
      </c>
      <c r="U336" t="e">
        <v>#N/A</v>
      </c>
      <c r="V336" t="e">
        <v>#N/A</v>
      </c>
    </row>
    <row r="337" spans="1:22" x14ac:dyDescent="0.25">
      <c r="A337">
        <v>334</v>
      </c>
      <c r="B337">
        <v>1</v>
      </c>
      <c r="C337" t="s">
        <v>175</v>
      </c>
      <c r="D337">
        <v>1</v>
      </c>
      <c r="E337">
        <v>1</v>
      </c>
      <c r="F337">
        <v>1</v>
      </c>
      <c r="G337" t="s">
        <v>447</v>
      </c>
      <c r="H337">
        <v>1</v>
      </c>
      <c r="I337" t="s">
        <v>176</v>
      </c>
      <c r="K337" t="s">
        <v>1348</v>
      </c>
      <c r="M337" t="e">
        <v>#N/A</v>
      </c>
      <c r="N337" t="e">
        <v>#N/A</v>
      </c>
      <c r="O337" t="e">
        <v>#N/A</v>
      </c>
      <c r="Q337" t="e">
        <v>#N/A</v>
      </c>
      <c r="R337" t="e">
        <v>#N/A</v>
      </c>
      <c r="S337" t="e">
        <v>#N/A</v>
      </c>
      <c r="T337" t="e">
        <v>#N/A</v>
      </c>
      <c r="U337" t="e">
        <v>#N/A</v>
      </c>
      <c r="V337" t="e">
        <v>#N/A</v>
      </c>
    </row>
    <row r="338" spans="1:22" x14ac:dyDescent="0.25">
      <c r="A338">
        <v>335</v>
      </c>
      <c r="B338">
        <v>1</v>
      </c>
      <c r="C338" t="s">
        <v>177</v>
      </c>
      <c r="D338">
        <v>1</v>
      </c>
      <c r="E338">
        <v>1</v>
      </c>
      <c r="F338">
        <v>1</v>
      </c>
      <c r="G338" t="s">
        <v>447</v>
      </c>
      <c r="H338">
        <v>1</v>
      </c>
      <c r="I338" t="s">
        <v>178</v>
      </c>
      <c r="K338" t="s">
        <v>1348</v>
      </c>
      <c r="M338" t="e">
        <v>#N/A</v>
      </c>
      <c r="N338" t="e">
        <v>#N/A</v>
      </c>
      <c r="O338" t="e">
        <v>#N/A</v>
      </c>
      <c r="Q338" t="e">
        <v>#N/A</v>
      </c>
      <c r="R338" t="e">
        <v>#N/A</v>
      </c>
      <c r="S338" t="e">
        <v>#N/A</v>
      </c>
      <c r="T338" t="e">
        <v>#N/A</v>
      </c>
      <c r="U338" t="e">
        <v>#N/A</v>
      </c>
      <c r="V338" t="e">
        <v>#N/A</v>
      </c>
    </row>
    <row r="339" spans="1:22" x14ac:dyDescent="0.25">
      <c r="A339">
        <v>336</v>
      </c>
      <c r="B339">
        <v>1</v>
      </c>
      <c r="C339" t="s">
        <v>179</v>
      </c>
      <c r="D339">
        <v>1</v>
      </c>
      <c r="E339">
        <v>1</v>
      </c>
      <c r="F339">
        <v>1</v>
      </c>
      <c r="G339" t="s">
        <v>544</v>
      </c>
      <c r="H339">
        <v>1</v>
      </c>
      <c r="I339" t="s">
        <v>180</v>
      </c>
      <c r="K339" t="s">
        <v>1348</v>
      </c>
      <c r="M339" t="e">
        <v>#N/A</v>
      </c>
      <c r="N339" t="e">
        <v>#N/A</v>
      </c>
      <c r="O339" t="e">
        <v>#N/A</v>
      </c>
      <c r="Q339" t="e">
        <v>#N/A</v>
      </c>
      <c r="R339" t="e">
        <v>#N/A</v>
      </c>
      <c r="S339" t="e">
        <v>#N/A</v>
      </c>
      <c r="T339" t="e">
        <v>#N/A</v>
      </c>
      <c r="U339" t="e">
        <v>#N/A</v>
      </c>
      <c r="V339" t="e">
        <v>#N/A</v>
      </c>
    </row>
    <row r="340" spans="1:22" x14ac:dyDescent="0.25">
      <c r="A340">
        <v>337</v>
      </c>
      <c r="B340">
        <v>1</v>
      </c>
      <c r="C340" t="s">
        <v>1230</v>
      </c>
      <c r="D340">
        <v>4</v>
      </c>
      <c r="E340">
        <v>1</v>
      </c>
      <c r="F340">
        <v>1</v>
      </c>
      <c r="G340" t="s">
        <v>447</v>
      </c>
      <c r="H340">
        <v>2</v>
      </c>
      <c r="I340" t="s">
        <v>181</v>
      </c>
      <c r="K340" t="s">
        <v>1348</v>
      </c>
      <c r="M340" t="e">
        <v>#N/A</v>
      </c>
      <c r="N340" t="e">
        <v>#N/A</v>
      </c>
      <c r="O340" t="e">
        <v>#N/A</v>
      </c>
      <c r="Q340" t="e">
        <v>#N/A</v>
      </c>
      <c r="R340" t="e">
        <v>#N/A</v>
      </c>
      <c r="S340" t="e">
        <v>#N/A</v>
      </c>
      <c r="T340" t="e">
        <v>#N/A</v>
      </c>
      <c r="U340" t="e">
        <v>#N/A</v>
      </c>
      <c r="V340" t="e">
        <v>#N/A</v>
      </c>
    </row>
    <row r="341" spans="1:22" x14ac:dyDescent="0.25">
      <c r="A341">
        <v>338</v>
      </c>
      <c r="B341">
        <v>1</v>
      </c>
      <c r="C341" t="s">
        <v>1231</v>
      </c>
      <c r="D341">
        <v>15</v>
      </c>
      <c r="E341">
        <v>1</v>
      </c>
      <c r="F341">
        <v>1</v>
      </c>
      <c r="G341" t="s">
        <v>447</v>
      </c>
      <c r="H341">
        <v>2</v>
      </c>
      <c r="I341" t="s">
        <v>182</v>
      </c>
      <c r="K341" t="s">
        <v>1348</v>
      </c>
      <c r="M341" t="e">
        <v>#N/A</v>
      </c>
      <c r="N341" t="e">
        <v>#N/A</v>
      </c>
      <c r="O341" t="e">
        <v>#N/A</v>
      </c>
      <c r="Q341" t="e">
        <v>#N/A</v>
      </c>
      <c r="R341" t="e">
        <v>#N/A</v>
      </c>
      <c r="S341" t="e">
        <v>#N/A</v>
      </c>
      <c r="T341" t="e">
        <v>#N/A</v>
      </c>
      <c r="U341" t="e">
        <v>#N/A</v>
      </c>
      <c r="V341" t="e">
        <v>#N/A</v>
      </c>
    </row>
    <row r="342" spans="1:22" x14ac:dyDescent="0.25">
      <c r="A342">
        <v>339</v>
      </c>
      <c r="B342">
        <v>1</v>
      </c>
      <c r="C342" t="s">
        <v>1232</v>
      </c>
      <c r="D342">
        <v>3</v>
      </c>
      <c r="E342">
        <v>1</v>
      </c>
      <c r="F342">
        <v>1</v>
      </c>
      <c r="G342" t="s">
        <v>447</v>
      </c>
      <c r="H342">
        <v>2</v>
      </c>
      <c r="I342" t="s">
        <v>183</v>
      </c>
      <c r="K342" t="s">
        <v>1348</v>
      </c>
      <c r="M342" t="e">
        <v>#N/A</v>
      </c>
      <c r="N342" t="e">
        <v>#N/A</v>
      </c>
      <c r="O342" t="e">
        <v>#N/A</v>
      </c>
      <c r="Q342" t="e">
        <v>#N/A</v>
      </c>
      <c r="R342" t="e">
        <v>#N/A</v>
      </c>
      <c r="S342" t="e">
        <v>#N/A</v>
      </c>
      <c r="T342" t="e">
        <v>#N/A</v>
      </c>
      <c r="U342" t="e">
        <v>#N/A</v>
      </c>
      <c r="V342" t="e">
        <v>#N/A</v>
      </c>
    </row>
    <row r="343" spans="1:22" x14ac:dyDescent="0.25">
      <c r="A343">
        <v>340</v>
      </c>
      <c r="B343">
        <v>1</v>
      </c>
      <c r="C343" t="s">
        <v>1233</v>
      </c>
      <c r="D343">
        <v>2</v>
      </c>
      <c r="E343">
        <v>15</v>
      </c>
      <c r="F343">
        <v>1</v>
      </c>
      <c r="G343" t="s">
        <v>447</v>
      </c>
      <c r="H343">
        <v>2</v>
      </c>
      <c r="I343" t="s">
        <v>184</v>
      </c>
      <c r="K343" t="s">
        <v>1348</v>
      </c>
      <c r="M343" t="e">
        <v>#N/A</v>
      </c>
      <c r="N343" t="e">
        <v>#N/A</v>
      </c>
      <c r="O343" t="e">
        <v>#N/A</v>
      </c>
      <c r="Q343" t="e">
        <v>#N/A</v>
      </c>
      <c r="R343" t="e">
        <v>#N/A</v>
      </c>
      <c r="S343" t="e">
        <v>#N/A</v>
      </c>
      <c r="T343" t="e">
        <v>#N/A</v>
      </c>
      <c r="U343" t="e">
        <v>#N/A</v>
      </c>
      <c r="V343" t="e">
        <v>#N/A</v>
      </c>
    </row>
    <row r="344" spans="1:22" x14ac:dyDescent="0.25">
      <c r="A344">
        <v>341</v>
      </c>
      <c r="B344">
        <v>1</v>
      </c>
      <c r="C344" t="s">
        <v>185</v>
      </c>
      <c r="D344">
        <v>40</v>
      </c>
      <c r="E344">
        <v>1</v>
      </c>
      <c r="F344">
        <v>1</v>
      </c>
      <c r="G344" t="s">
        <v>589</v>
      </c>
      <c r="H344">
        <v>2</v>
      </c>
      <c r="I344" t="s">
        <v>186</v>
      </c>
      <c r="K344" t="s">
        <v>1348</v>
      </c>
      <c r="M344" t="e">
        <v>#N/A</v>
      </c>
      <c r="N344" t="e">
        <v>#N/A</v>
      </c>
      <c r="O344" t="e">
        <v>#N/A</v>
      </c>
      <c r="Q344" t="e">
        <v>#N/A</v>
      </c>
      <c r="R344" t="e">
        <v>#N/A</v>
      </c>
      <c r="S344" t="e">
        <v>#N/A</v>
      </c>
      <c r="T344" t="e">
        <v>#N/A</v>
      </c>
      <c r="U344" t="e">
        <v>#N/A</v>
      </c>
      <c r="V344" t="e">
        <v>#N/A</v>
      </c>
    </row>
    <row r="345" spans="1:22" x14ac:dyDescent="0.25">
      <c r="A345">
        <v>342</v>
      </c>
      <c r="B345">
        <v>1</v>
      </c>
      <c r="C345" t="s">
        <v>187</v>
      </c>
      <c r="D345">
        <v>40</v>
      </c>
      <c r="E345">
        <v>1</v>
      </c>
      <c r="F345">
        <v>1</v>
      </c>
      <c r="G345" t="s">
        <v>589</v>
      </c>
      <c r="H345">
        <v>2</v>
      </c>
      <c r="I345" t="s">
        <v>188</v>
      </c>
      <c r="K345" t="s">
        <v>1348</v>
      </c>
      <c r="M345" t="e">
        <v>#N/A</v>
      </c>
      <c r="N345" t="e">
        <v>#N/A</v>
      </c>
      <c r="O345" t="e">
        <v>#N/A</v>
      </c>
      <c r="Q345" t="e">
        <v>#N/A</v>
      </c>
      <c r="R345" t="e">
        <v>#N/A</v>
      </c>
      <c r="S345" t="e">
        <v>#N/A</v>
      </c>
      <c r="T345" t="e">
        <v>#N/A</v>
      </c>
      <c r="U345" t="e">
        <v>#N/A</v>
      </c>
      <c r="V345" t="e">
        <v>#N/A</v>
      </c>
    </row>
    <row r="346" spans="1:22" x14ac:dyDescent="0.25">
      <c r="A346">
        <v>343</v>
      </c>
      <c r="B346">
        <v>1</v>
      </c>
      <c r="C346" t="s">
        <v>1218</v>
      </c>
      <c r="D346">
        <v>4</v>
      </c>
      <c r="E346">
        <v>1</v>
      </c>
      <c r="F346">
        <v>1</v>
      </c>
      <c r="G346" t="s">
        <v>447</v>
      </c>
      <c r="H346">
        <v>1</v>
      </c>
      <c r="I346" t="s">
        <v>189</v>
      </c>
      <c r="K346" t="s">
        <v>1348</v>
      </c>
      <c r="M346" t="e">
        <v>#N/A</v>
      </c>
      <c r="N346" t="e">
        <v>#N/A</v>
      </c>
      <c r="O346" t="e">
        <v>#N/A</v>
      </c>
      <c r="Q346" t="e">
        <v>#N/A</v>
      </c>
      <c r="R346" t="e">
        <v>#N/A</v>
      </c>
      <c r="S346" t="e">
        <v>#N/A</v>
      </c>
      <c r="T346" t="e">
        <v>#N/A</v>
      </c>
      <c r="U346" t="e">
        <v>#N/A</v>
      </c>
      <c r="V346" t="e">
        <v>#N/A</v>
      </c>
    </row>
    <row r="347" spans="1:22" x14ac:dyDescent="0.25">
      <c r="A347">
        <v>344</v>
      </c>
      <c r="B347">
        <v>1</v>
      </c>
      <c r="C347" t="s">
        <v>1219</v>
      </c>
      <c r="D347">
        <v>15</v>
      </c>
      <c r="E347">
        <v>1</v>
      </c>
      <c r="F347">
        <v>1</v>
      </c>
      <c r="G347" t="s">
        <v>447</v>
      </c>
      <c r="H347">
        <v>1</v>
      </c>
      <c r="I347" t="s">
        <v>190</v>
      </c>
      <c r="K347" t="s">
        <v>1348</v>
      </c>
      <c r="M347" t="e">
        <v>#N/A</v>
      </c>
      <c r="N347" t="e">
        <v>#N/A</v>
      </c>
      <c r="O347" t="e">
        <v>#N/A</v>
      </c>
      <c r="Q347" t="e">
        <v>#N/A</v>
      </c>
      <c r="R347" t="e">
        <v>#N/A</v>
      </c>
      <c r="S347" t="e">
        <v>#N/A</v>
      </c>
      <c r="T347" t="e">
        <v>#N/A</v>
      </c>
      <c r="U347" t="e">
        <v>#N/A</v>
      </c>
      <c r="V347" t="e">
        <v>#N/A</v>
      </c>
    </row>
    <row r="348" spans="1:22" x14ac:dyDescent="0.25">
      <c r="A348">
        <v>345</v>
      </c>
      <c r="B348">
        <v>1</v>
      </c>
      <c r="C348" t="s">
        <v>1220</v>
      </c>
      <c r="D348">
        <v>3</v>
      </c>
      <c r="E348">
        <v>1</v>
      </c>
      <c r="F348">
        <v>1</v>
      </c>
      <c r="G348" t="s">
        <v>447</v>
      </c>
      <c r="H348">
        <v>1</v>
      </c>
      <c r="I348" t="s">
        <v>191</v>
      </c>
      <c r="K348" t="s">
        <v>1348</v>
      </c>
      <c r="M348" t="e">
        <v>#N/A</v>
      </c>
      <c r="N348" t="e">
        <v>#N/A</v>
      </c>
      <c r="O348" t="e">
        <v>#N/A</v>
      </c>
      <c r="Q348" t="e">
        <v>#N/A</v>
      </c>
      <c r="R348" t="e">
        <v>#N/A</v>
      </c>
      <c r="S348" t="e">
        <v>#N/A</v>
      </c>
      <c r="T348" t="e">
        <v>#N/A</v>
      </c>
      <c r="U348" t="e">
        <v>#N/A</v>
      </c>
      <c r="V348" t="e">
        <v>#N/A</v>
      </c>
    </row>
    <row r="349" spans="1:22" x14ac:dyDescent="0.25">
      <c r="A349">
        <v>346</v>
      </c>
      <c r="B349">
        <v>1</v>
      </c>
      <c r="C349" t="s">
        <v>1221</v>
      </c>
      <c r="D349">
        <v>2</v>
      </c>
      <c r="E349">
        <v>15</v>
      </c>
      <c r="F349">
        <v>1</v>
      </c>
      <c r="G349" t="s">
        <v>447</v>
      </c>
      <c r="H349">
        <v>1</v>
      </c>
      <c r="I349" t="s">
        <v>192</v>
      </c>
      <c r="K349" t="s">
        <v>1348</v>
      </c>
      <c r="M349" t="e">
        <v>#N/A</v>
      </c>
      <c r="N349" t="e">
        <v>#N/A</v>
      </c>
      <c r="O349" t="e">
        <v>#N/A</v>
      </c>
      <c r="Q349" t="e">
        <v>#N/A</v>
      </c>
      <c r="R349" t="e">
        <v>#N/A</v>
      </c>
      <c r="S349" t="e">
        <v>#N/A</v>
      </c>
      <c r="T349" t="e">
        <v>#N/A</v>
      </c>
      <c r="U349" t="e">
        <v>#N/A</v>
      </c>
      <c r="V349" t="e">
        <v>#N/A</v>
      </c>
    </row>
    <row r="350" spans="1:22" x14ac:dyDescent="0.25">
      <c r="A350">
        <v>347</v>
      </c>
      <c r="B350">
        <v>1</v>
      </c>
      <c r="C350" t="s">
        <v>193</v>
      </c>
      <c r="D350">
        <v>40</v>
      </c>
      <c r="E350">
        <v>1</v>
      </c>
      <c r="F350">
        <v>1</v>
      </c>
      <c r="G350" t="s">
        <v>589</v>
      </c>
      <c r="H350">
        <v>1</v>
      </c>
      <c r="I350" t="s">
        <v>194</v>
      </c>
      <c r="K350" t="s">
        <v>1348</v>
      </c>
      <c r="M350" t="e">
        <v>#N/A</v>
      </c>
      <c r="N350" t="e">
        <v>#N/A</v>
      </c>
      <c r="O350" t="e">
        <v>#N/A</v>
      </c>
      <c r="Q350" t="e">
        <v>#N/A</v>
      </c>
      <c r="R350" t="e">
        <v>#N/A</v>
      </c>
      <c r="S350" t="e">
        <v>#N/A</v>
      </c>
      <c r="T350" t="e">
        <v>#N/A</v>
      </c>
      <c r="U350" t="e">
        <v>#N/A</v>
      </c>
      <c r="V350" t="e">
        <v>#N/A</v>
      </c>
    </row>
    <row r="351" spans="1:22" x14ac:dyDescent="0.25">
      <c r="A351">
        <v>348</v>
      </c>
      <c r="B351">
        <v>1</v>
      </c>
      <c r="C351" t="s">
        <v>195</v>
      </c>
      <c r="D351">
        <v>40</v>
      </c>
      <c r="E351">
        <v>1</v>
      </c>
      <c r="F351">
        <v>1</v>
      </c>
      <c r="G351" t="s">
        <v>589</v>
      </c>
      <c r="H351">
        <v>1</v>
      </c>
      <c r="I351" t="s">
        <v>196</v>
      </c>
      <c r="K351" t="s">
        <v>1348</v>
      </c>
      <c r="M351" t="e">
        <v>#N/A</v>
      </c>
      <c r="N351" t="e">
        <v>#N/A</v>
      </c>
      <c r="O351" t="e">
        <v>#N/A</v>
      </c>
      <c r="Q351" t="e">
        <v>#N/A</v>
      </c>
      <c r="R351" t="e">
        <v>#N/A</v>
      </c>
      <c r="S351" t="e">
        <v>#N/A</v>
      </c>
      <c r="T351" t="e">
        <v>#N/A</v>
      </c>
      <c r="U351" t="e">
        <v>#N/A</v>
      </c>
      <c r="V351" t="e">
        <v>#N/A</v>
      </c>
    </row>
    <row r="352" spans="1:22" x14ac:dyDescent="0.25">
      <c r="A352">
        <v>349</v>
      </c>
      <c r="B352">
        <v>1</v>
      </c>
      <c r="C352" t="s">
        <v>197</v>
      </c>
      <c r="D352">
        <v>2</v>
      </c>
      <c r="E352">
        <v>2</v>
      </c>
      <c r="F352">
        <v>1</v>
      </c>
      <c r="G352" t="s">
        <v>447</v>
      </c>
      <c r="H352">
        <v>2</v>
      </c>
      <c r="I352" t="s">
        <v>198</v>
      </c>
      <c r="K352" t="s">
        <v>1348</v>
      </c>
      <c r="M352" t="e">
        <v>#N/A</v>
      </c>
      <c r="N352" t="e">
        <v>#N/A</v>
      </c>
      <c r="O352" t="e">
        <v>#N/A</v>
      </c>
      <c r="Q352" t="e">
        <v>#N/A</v>
      </c>
      <c r="R352" t="e">
        <v>#N/A</v>
      </c>
      <c r="S352" t="e">
        <v>#N/A</v>
      </c>
      <c r="T352" t="e">
        <v>#N/A</v>
      </c>
      <c r="U352" t="e">
        <v>#N/A</v>
      </c>
      <c r="V352" t="e">
        <v>#N/A</v>
      </c>
    </row>
    <row r="353" spans="1:22" x14ac:dyDescent="0.25">
      <c r="A353">
        <v>350</v>
      </c>
      <c r="B353">
        <v>1</v>
      </c>
      <c r="C353" t="s">
        <v>199</v>
      </c>
      <c r="D353">
        <v>2</v>
      </c>
      <c r="E353">
        <v>2</v>
      </c>
      <c r="F353">
        <v>1</v>
      </c>
      <c r="G353" t="s">
        <v>447</v>
      </c>
      <c r="H353">
        <v>2</v>
      </c>
      <c r="I353" t="s">
        <v>200</v>
      </c>
      <c r="K353" t="s">
        <v>1348</v>
      </c>
      <c r="M353" t="e">
        <v>#N/A</v>
      </c>
      <c r="N353" t="e">
        <v>#N/A</v>
      </c>
      <c r="O353" t="e">
        <v>#N/A</v>
      </c>
      <c r="Q353" t="e">
        <v>#N/A</v>
      </c>
      <c r="R353" t="e">
        <v>#N/A</v>
      </c>
      <c r="S353" t="e">
        <v>#N/A</v>
      </c>
      <c r="T353" t="e">
        <v>#N/A</v>
      </c>
      <c r="U353" t="e">
        <v>#N/A</v>
      </c>
      <c r="V353" t="e">
        <v>#N/A</v>
      </c>
    </row>
    <row r="354" spans="1:22" x14ac:dyDescent="0.25">
      <c r="A354">
        <v>351</v>
      </c>
      <c r="B354">
        <v>1</v>
      </c>
      <c r="C354" t="s">
        <v>201</v>
      </c>
      <c r="D354">
        <v>2</v>
      </c>
      <c r="E354">
        <v>2</v>
      </c>
      <c r="F354">
        <v>1</v>
      </c>
      <c r="G354" t="s">
        <v>447</v>
      </c>
      <c r="H354">
        <v>2</v>
      </c>
      <c r="I354" t="s">
        <v>202</v>
      </c>
      <c r="K354" t="s">
        <v>1348</v>
      </c>
      <c r="M354" t="e">
        <v>#N/A</v>
      </c>
      <c r="N354" t="e">
        <v>#N/A</v>
      </c>
      <c r="O354" t="e">
        <v>#N/A</v>
      </c>
      <c r="Q354" t="e">
        <v>#N/A</v>
      </c>
      <c r="R354" t="e">
        <v>#N/A</v>
      </c>
      <c r="S354" t="e">
        <v>#N/A</v>
      </c>
      <c r="T354" t="e">
        <v>#N/A</v>
      </c>
      <c r="U354" t="e">
        <v>#N/A</v>
      </c>
      <c r="V354" t="e">
        <v>#N/A</v>
      </c>
    </row>
    <row r="355" spans="1:22" x14ac:dyDescent="0.25">
      <c r="A355">
        <v>352</v>
      </c>
      <c r="B355">
        <v>1</v>
      </c>
      <c r="C355" t="s">
        <v>203</v>
      </c>
      <c r="D355">
        <v>2</v>
      </c>
      <c r="E355">
        <v>2</v>
      </c>
      <c r="F355">
        <v>1</v>
      </c>
      <c r="G355" t="s">
        <v>447</v>
      </c>
      <c r="H355">
        <v>2</v>
      </c>
      <c r="I355" t="s">
        <v>204</v>
      </c>
      <c r="K355" t="s">
        <v>1348</v>
      </c>
      <c r="M355" t="e">
        <v>#N/A</v>
      </c>
      <c r="N355" t="e">
        <v>#N/A</v>
      </c>
      <c r="O355" t="e">
        <v>#N/A</v>
      </c>
      <c r="Q355" t="e">
        <v>#N/A</v>
      </c>
      <c r="R355" t="e">
        <v>#N/A</v>
      </c>
      <c r="S355" t="e">
        <v>#N/A</v>
      </c>
      <c r="T355" t="e">
        <v>#N/A</v>
      </c>
      <c r="U355" t="e">
        <v>#N/A</v>
      </c>
      <c r="V355" t="e">
        <v>#N/A</v>
      </c>
    </row>
    <row r="356" spans="1:22" x14ac:dyDescent="0.25">
      <c r="A356">
        <v>353</v>
      </c>
      <c r="B356">
        <v>1</v>
      </c>
      <c r="C356" t="s">
        <v>205</v>
      </c>
      <c r="D356">
        <v>2</v>
      </c>
      <c r="E356">
        <v>2</v>
      </c>
      <c r="F356">
        <v>1</v>
      </c>
      <c r="G356" t="s">
        <v>447</v>
      </c>
      <c r="H356">
        <v>2</v>
      </c>
      <c r="I356" t="s">
        <v>206</v>
      </c>
      <c r="K356" t="s">
        <v>1348</v>
      </c>
      <c r="M356" t="e">
        <v>#N/A</v>
      </c>
      <c r="N356" t="e">
        <v>#N/A</v>
      </c>
      <c r="O356" t="e">
        <v>#N/A</v>
      </c>
      <c r="Q356" t="e">
        <v>#N/A</v>
      </c>
      <c r="R356" t="e">
        <v>#N/A</v>
      </c>
      <c r="S356" t="e">
        <v>#N/A</v>
      </c>
      <c r="T356" t="e">
        <v>#N/A</v>
      </c>
      <c r="U356" t="e">
        <v>#N/A</v>
      </c>
      <c r="V356" t="e">
        <v>#N/A</v>
      </c>
    </row>
    <row r="357" spans="1:22" x14ac:dyDescent="0.25">
      <c r="A357">
        <v>354</v>
      </c>
      <c r="B357">
        <v>1</v>
      </c>
      <c r="C357" t="s">
        <v>207</v>
      </c>
      <c r="D357">
        <v>2</v>
      </c>
      <c r="E357">
        <v>2</v>
      </c>
      <c r="F357">
        <v>1</v>
      </c>
      <c r="G357" t="s">
        <v>447</v>
      </c>
      <c r="H357">
        <v>2</v>
      </c>
      <c r="I357" t="s">
        <v>208</v>
      </c>
      <c r="K357" t="s">
        <v>1348</v>
      </c>
      <c r="M357" t="e">
        <v>#N/A</v>
      </c>
      <c r="N357" t="e">
        <v>#N/A</v>
      </c>
      <c r="O357" t="e">
        <v>#N/A</v>
      </c>
      <c r="Q357" t="e">
        <v>#N/A</v>
      </c>
      <c r="R357" t="e">
        <v>#N/A</v>
      </c>
      <c r="S357" t="e">
        <v>#N/A</v>
      </c>
      <c r="T357" t="e">
        <v>#N/A</v>
      </c>
      <c r="U357" t="e">
        <v>#N/A</v>
      </c>
      <c r="V357" t="e">
        <v>#N/A</v>
      </c>
    </row>
    <row r="358" spans="1:22" x14ac:dyDescent="0.25">
      <c r="A358">
        <v>355</v>
      </c>
      <c r="B358">
        <v>1</v>
      </c>
      <c r="C358" t="s">
        <v>209</v>
      </c>
      <c r="D358">
        <v>40</v>
      </c>
      <c r="E358">
        <v>1</v>
      </c>
      <c r="F358">
        <v>1</v>
      </c>
      <c r="G358" t="s">
        <v>589</v>
      </c>
      <c r="H358">
        <v>2</v>
      </c>
      <c r="I358" t="s">
        <v>210</v>
      </c>
      <c r="K358" t="s">
        <v>1348</v>
      </c>
      <c r="M358" t="e">
        <v>#N/A</v>
      </c>
      <c r="N358" t="e">
        <v>#N/A</v>
      </c>
      <c r="O358" t="e">
        <v>#N/A</v>
      </c>
      <c r="Q358" t="e">
        <v>#N/A</v>
      </c>
      <c r="R358" t="e">
        <v>#N/A</v>
      </c>
      <c r="S358" t="e">
        <v>#N/A</v>
      </c>
      <c r="T358" t="e">
        <v>#N/A</v>
      </c>
      <c r="U358" t="e">
        <v>#N/A</v>
      </c>
      <c r="V358" t="e">
        <v>#N/A</v>
      </c>
    </row>
    <row r="359" spans="1:22" x14ac:dyDescent="0.25">
      <c r="A359">
        <v>356</v>
      </c>
      <c r="B359">
        <v>1</v>
      </c>
      <c r="C359" t="s">
        <v>211</v>
      </c>
      <c r="D359">
        <v>5</v>
      </c>
      <c r="E359">
        <v>1</v>
      </c>
      <c r="F359">
        <v>1</v>
      </c>
      <c r="G359" t="s">
        <v>589</v>
      </c>
      <c r="H359">
        <v>5</v>
      </c>
      <c r="I359" t="s">
        <v>212</v>
      </c>
      <c r="K359" t="s">
        <v>1348</v>
      </c>
      <c r="M359" t="e">
        <v>#N/A</v>
      </c>
      <c r="N359" t="e">
        <v>#N/A</v>
      </c>
      <c r="O359" t="e">
        <v>#N/A</v>
      </c>
      <c r="Q359" t="e">
        <v>#N/A</v>
      </c>
      <c r="R359" t="e">
        <v>#N/A</v>
      </c>
      <c r="S359" t="e">
        <v>#N/A</v>
      </c>
      <c r="T359" t="e">
        <v>#N/A</v>
      </c>
      <c r="U359" t="e">
        <v>#N/A</v>
      </c>
      <c r="V359" t="e">
        <v>#N/A</v>
      </c>
    </row>
    <row r="360" spans="1:22" x14ac:dyDescent="0.25">
      <c r="A360">
        <v>357</v>
      </c>
      <c r="B360">
        <v>1</v>
      </c>
      <c r="C360" t="s">
        <v>1217</v>
      </c>
      <c r="D360">
        <v>2</v>
      </c>
      <c r="E360">
        <v>28</v>
      </c>
      <c r="F360">
        <v>1</v>
      </c>
      <c r="G360" t="s">
        <v>447</v>
      </c>
      <c r="H360">
        <v>4</v>
      </c>
      <c r="I360" t="s">
        <v>213</v>
      </c>
      <c r="K360" t="s">
        <v>1348</v>
      </c>
      <c r="M360" t="e">
        <v>#N/A</v>
      </c>
      <c r="N360" t="e">
        <v>#N/A</v>
      </c>
      <c r="O360" t="e">
        <v>#N/A</v>
      </c>
      <c r="Q360" t="e">
        <v>#N/A</v>
      </c>
      <c r="R360" t="e">
        <v>#N/A</v>
      </c>
      <c r="S360" t="e">
        <v>#N/A</v>
      </c>
      <c r="T360" t="e">
        <v>#N/A</v>
      </c>
      <c r="U360" t="e">
        <v>#N/A</v>
      </c>
      <c r="V360" t="e">
        <v>#N/A</v>
      </c>
    </row>
    <row r="361" spans="1:22" x14ac:dyDescent="0.25">
      <c r="A361">
        <v>358</v>
      </c>
      <c r="B361">
        <v>1</v>
      </c>
      <c r="C361" t="s">
        <v>214</v>
      </c>
      <c r="D361">
        <v>2</v>
      </c>
      <c r="E361">
        <v>1</v>
      </c>
      <c r="F361">
        <v>1</v>
      </c>
      <c r="G361" t="s">
        <v>447</v>
      </c>
      <c r="H361">
        <v>4</v>
      </c>
      <c r="I361" t="s">
        <v>142</v>
      </c>
      <c r="K361" t="s">
        <v>1348</v>
      </c>
      <c r="M361" t="e">
        <v>#N/A</v>
      </c>
      <c r="N361" t="e">
        <v>#N/A</v>
      </c>
      <c r="O361" t="e">
        <v>#N/A</v>
      </c>
      <c r="Q361" t="e">
        <v>#N/A</v>
      </c>
      <c r="R361" t="e">
        <v>#N/A</v>
      </c>
      <c r="S361" t="e">
        <v>#N/A</v>
      </c>
      <c r="T361" t="e">
        <v>#N/A</v>
      </c>
      <c r="U361" t="e">
        <v>#N/A</v>
      </c>
      <c r="V361" t="e">
        <v>#N/A</v>
      </c>
    </row>
    <row r="362" spans="1:22" x14ac:dyDescent="0.25">
      <c r="A362">
        <v>359</v>
      </c>
      <c r="B362">
        <v>1</v>
      </c>
      <c r="C362" t="s">
        <v>215</v>
      </c>
      <c r="D362">
        <v>1</v>
      </c>
      <c r="E362">
        <v>1</v>
      </c>
      <c r="F362">
        <v>1</v>
      </c>
      <c r="G362" t="s">
        <v>447</v>
      </c>
      <c r="H362">
        <v>4</v>
      </c>
      <c r="I362" t="s">
        <v>145</v>
      </c>
      <c r="K362" t="s">
        <v>1348</v>
      </c>
      <c r="M362" t="e">
        <v>#N/A</v>
      </c>
      <c r="N362" t="e">
        <v>#N/A</v>
      </c>
      <c r="O362" t="e">
        <v>#N/A</v>
      </c>
      <c r="Q362" t="e">
        <v>#N/A</v>
      </c>
      <c r="R362" t="e">
        <v>#N/A</v>
      </c>
      <c r="S362" t="e">
        <v>#N/A</v>
      </c>
      <c r="T362" t="e">
        <v>#N/A</v>
      </c>
      <c r="U362" t="e">
        <v>#N/A</v>
      </c>
      <c r="V362" t="e">
        <v>#N/A</v>
      </c>
    </row>
    <row r="363" spans="1:22" x14ac:dyDescent="0.25">
      <c r="A363">
        <v>360</v>
      </c>
      <c r="B363">
        <v>1</v>
      </c>
      <c r="C363" t="s">
        <v>216</v>
      </c>
      <c r="D363">
        <v>1</v>
      </c>
      <c r="E363">
        <v>1</v>
      </c>
      <c r="F363">
        <v>1</v>
      </c>
      <c r="G363" t="s">
        <v>544</v>
      </c>
      <c r="H363">
        <v>4</v>
      </c>
      <c r="I363" t="s">
        <v>149</v>
      </c>
      <c r="K363" t="s">
        <v>1348</v>
      </c>
      <c r="M363" t="e">
        <v>#N/A</v>
      </c>
      <c r="N363" t="e">
        <v>#N/A</v>
      </c>
      <c r="O363" t="e">
        <v>#N/A</v>
      </c>
      <c r="Q363" t="e">
        <v>#N/A</v>
      </c>
      <c r="R363" t="e">
        <v>#N/A</v>
      </c>
      <c r="S363" t="e">
        <v>#N/A</v>
      </c>
      <c r="T363" t="e">
        <v>#N/A</v>
      </c>
      <c r="U363" t="e">
        <v>#N/A</v>
      </c>
      <c r="V363" t="e">
        <v>#N/A</v>
      </c>
    </row>
    <row r="364" spans="1:22" x14ac:dyDescent="0.25">
      <c r="A364">
        <v>361</v>
      </c>
      <c r="B364">
        <v>1</v>
      </c>
      <c r="C364" t="s">
        <v>217</v>
      </c>
      <c r="D364">
        <v>1</v>
      </c>
      <c r="E364">
        <v>1</v>
      </c>
      <c r="F364">
        <v>1</v>
      </c>
      <c r="G364" t="s">
        <v>544</v>
      </c>
      <c r="H364">
        <v>4</v>
      </c>
      <c r="I364" t="s">
        <v>152</v>
      </c>
      <c r="K364" t="s">
        <v>1348</v>
      </c>
      <c r="M364" t="e">
        <v>#N/A</v>
      </c>
      <c r="N364" t="e">
        <v>#N/A</v>
      </c>
      <c r="O364" t="e">
        <v>#N/A</v>
      </c>
      <c r="Q364" t="e">
        <v>#N/A</v>
      </c>
      <c r="R364" t="e">
        <v>#N/A</v>
      </c>
      <c r="S364" t="e">
        <v>#N/A</v>
      </c>
      <c r="T364" t="e">
        <v>#N/A</v>
      </c>
      <c r="U364" t="e">
        <v>#N/A</v>
      </c>
      <c r="V364" t="e">
        <v>#N/A</v>
      </c>
    </row>
    <row r="365" spans="1:22" x14ac:dyDescent="0.25">
      <c r="A365">
        <v>362</v>
      </c>
      <c r="B365">
        <v>1</v>
      </c>
      <c r="C365" t="s">
        <v>218</v>
      </c>
      <c r="D365">
        <v>2</v>
      </c>
      <c r="E365">
        <v>6</v>
      </c>
      <c r="F365">
        <v>1</v>
      </c>
      <c r="G365" t="s">
        <v>447</v>
      </c>
      <c r="H365">
        <v>1</v>
      </c>
      <c r="I365" t="s">
        <v>219</v>
      </c>
      <c r="K365" t="s">
        <v>1348</v>
      </c>
      <c r="M365" t="e">
        <v>#N/A</v>
      </c>
      <c r="N365" t="e">
        <v>#N/A</v>
      </c>
      <c r="O365" t="e">
        <v>#N/A</v>
      </c>
      <c r="Q365" t="e">
        <v>#N/A</v>
      </c>
      <c r="R365" t="e">
        <v>#N/A</v>
      </c>
      <c r="S365" t="e">
        <v>#N/A</v>
      </c>
      <c r="T365" t="e">
        <v>#N/A</v>
      </c>
      <c r="U365" t="e">
        <v>#N/A</v>
      </c>
      <c r="V365" t="e">
        <v>#N/A</v>
      </c>
    </row>
    <row r="366" spans="1:22" x14ac:dyDescent="0.25">
      <c r="A366">
        <v>363</v>
      </c>
      <c r="B366">
        <v>1</v>
      </c>
      <c r="C366" t="s">
        <v>220</v>
      </c>
      <c r="D366">
        <v>2</v>
      </c>
      <c r="E366">
        <v>2</v>
      </c>
      <c r="F366">
        <v>6</v>
      </c>
      <c r="G366" t="s">
        <v>447</v>
      </c>
      <c r="H366">
        <v>1</v>
      </c>
      <c r="I366" t="s">
        <v>222</v>
      </c>
      <c r="K366" t="s">
        <v>1348</v>
      </c>
      <c r="M366" t="e">
        <v>#N/A</v>
      </c>
      <c r="N366" t="e">
        <v>#N/A</v>
      </c>
      <c r="O366" t="e">
        <v>#N/A</v>
      </c>
      <c r="Q366" t="e">
        <v>#N/A</v>
      </c>
      <c r="R366" t="e">
        <v>#N/A</v>
      </c>
      <c r="S366" t="e">
        <v>#N/A</v>
      </c>
      <c r="T366" t="e">
        <v>#N/A</v>
      </c>
      <c r="U366" t="e">
        <v>#N/A</v>
      </c>
      <c r="V366" t="e">
        <v>#N/A</v>
      </c>
    </row>
    <row r="367" spans="1:22" x14ac:dyDescent="0.25">
      <c r="A367">
        <v>364</v>
      </c>
      <c r="B367">
        <v>1</v>
      </c>
      <c r="C367" t="s">
        <v>1212</v>
      </c>
      <c r="D367">
        <v>1</v>
      </c>
      <c r="E367">
        <v>16</v>
      </c>
      <c r="F367">
        <v>1</v>
      </c>
      <c r="G367" t="s">
        <v>544</v>
      </c>
      <c r="H367">
        <v>4</v>
      </c>
      <c r="I367" t="s">
        <v>223</v>
      </c>
      <c r="K367" t="s">
        <v>1348</v>
      </c>
      <c r="M367" t="e">
        <v>#N/A</v>
      </c>
      <c r="N367" t="e">
        <v>#N/A</v>
      </c>
      <c r="O367" t="e">
        <v>#N/A</v>
      </c>
      <c r="Q367" t="e">
        <v>#N/A</v>
      </c>
      <c r="R367" t="e">
        <v>#N/A</v>
      </c>
      <c r="S367" t="e">
        <v>#N/A</v>
      </c>
      <c r="T367" t="e">
        <v>#N/A</v>
      </c>
      <c r="U367" t="e">
        <v>#N/A</v>
      </c>
      <c r="V367" t="e">
        <v>#N/A</v>
      </c>
    </row>
    <row r="368" spans="1:22" x14ac:dyDescent="0.25">
      <c r="A368">
        <v>365</v>
      </c>
      <c r="B368">
        <v>1</v>
      </c>
      <c r="C368" t="s">
        <v>1213</v>
      </c>
      <c r="D368">
        <v>1</v>
      </c>
      <c r="E368">
        <v>1</v>
      </c>
      <c r="F368">
        <v>1</v>
      </c>
      <c r="G368" t="s">
        <v>544</v>
      </c>
      <c r="H368">
        <v>5</v>
      </c>
      <c r="I368" t="s">
        <v>713</v>
      </c>
      <c r="K368" t="s">
        <v>1348</v>
      </c>
      <c r="M368" t="e">
        <v>#N/A</v>
      </c>
      <c r="N368" t="e">
        <v>#N/A</v>
      </c>
      <c r="O368" t="e">
        <v>#N/A</v>
      </c>
      <c r="Q368" t="e">
        <v>#N/A</v>
      </c>
      <c r="R368" t="e">
        <v>#N/A</v>
      </c>
      <c r="S368" t="e">
        <v>#N/A</v>
      </c>
      <c r="T368" t="e">
        <v>#N/A</v>
      </c>
      <c r="U368" t="e">
        <v>#N/A</v>
      </c>
      <c r="V368" t="e">
        <v>#N/A</v>
      </c>
    </row>
    <row r="369" spans="1:22" x14ac:dyDescent="0.25">
      <c r="A369">
        <v>366</v>
      </c>
      <c r="B369">
        <v>1</v>
      </c>
      <c r="C369" t="s">
        <v>224</v>
      </c>
      <c r="D369">
        <v>49</v>
      </c>
      <c r="E369">
        <v>1</v>
      </c>
      <c r="F369">
        <v>1</v>
      </c>
      <c r="G369" t="s">
        <v>447</v>
      </c>
      <c r="H369">
        <v>8</v>
      </c>
      <c r="I369" t="s">
        <v>145</v>
      </c>
      <c r="K369" t="s">
        <v>1348</v>
      </c>
      <c r="M369" t="e">
        <v>#N/A</v>
      </c>
      <c r="N369" t="e">
        <v>#N/A</v>
      </c>
      <c r="O369" t="e">
        <v>#N/A</v>
      </c>
      <c r="Q369" t="e">
        <v>#N/A</v>
      </c>
      <c r="R369" t="e">
        <v>#N/A</v>
      </c>
      <c r="S369" t="e">
        <v>#N/A</v>
      </c>
      <c r="T369" t="e">
        <v>#N/A</v>
      </c>
      <c r="U369" t="e">
        <v>#N/A</v>
      </c>
      <c r="V369" t="e">
        <v>#N/A</v>
      </c>
    </row>
    <row r="370" spans="1:22" x14ac:dyDescent="0.25">
      <c r="A370">
        <v>367</v>
      </c>
      <c r="B370">
        <v>1</v>
      </c>
      <c r="C370" t="s">
        <v>225</v>
      </c>
      <c r="D370">
        <v>49</v>
      </c>
      <c r="E370">
        <v>1</v>
      </c>
      <c r="F370">
        <v>1</v>
      </c>
      <c r="G370" t="s">
        <v>447</v>
      </c>
      <c r="H370">
        <v>8</v>
      </c>
      <c r="I370" t="s">
        <v>145</v>
      </c>
      <c r="K370" t="s">
        <v>1348</v>
      </c>
      <c r="M370" t="e">
        <v>#N/A</v>
      </c>
      <c r="N370" t="e">
        <v>#N/A</v>
      </c>
      <c r="O370" t="e">
        <v>#N/A</v>
      </c>
      <c r="Q370" t="e">
        <v>#N/A</v>
      </c>
      <c r="R370" t="e">
        <v>#N/A</v>
      </c>
      <c r="S370" t="e">
        <v>#N/A</v>
      </c>
      <c r="T370" t="e">
        <v>#N/A</v>
      </c>
      <c r="U370" t="e">
        <v>#N/A</v>
      </c>
      <c r="V370" t="e">
        <v>#N/A</v>
      </c>
    </row>
    <row r="371" spans="1:22" x14ac:dyDescent="0.25">
      <c r="A371">
        <v>368</v>
      </c>
      <c r="B371">
        <v>1</v>
      </c>
      <c r="C371" t="s">
        <v>226</v>
      </c>
      <c r="D371">
        <v>49</v>
      </c>
      <c r="E371">
        <v>1</v>
      </c>
      <c r="F371">
        <v>1</v>
      </c>
      <c r="G371" t="s">
        <v>544</v>
      </c>
      <c r="H371">
        <v>8</v>
      </c>
      <c r="I371" t="s">
        <v>152</v>
      </c>
      <c r="K371" t="s">
        <v>1348</v>
      </c>
      <c r="M371" t="e">
        <v>#N/A</v>
      </c>
      <c r="N371" t="e">
        <v>#N/A</v>
      </c>
      <c r="O371" t="e">
        <v>#N/A</v>
      </c>
      <c r="Q371" t="e">
        <v>#N/A</v>
      </c>
      <c r="R371" t="e">
        <v>#N/A</v>
      </c>
      <c r="S371" t="e">
        <v>#N/A</v>
      </c>
      <c r="T371" t="e">
        <v>#N/A</v>
      </c>
      <c r="U371" t="e">
        <v>#N/A</v>
      </c>
      <c r="V371" t="e">
        <v>#N/A</v>
      </c>
    </row>
    <row r="372" spans="1:22" x14ac:dyDescent="0.25">
      <c r="A372">
        <v>369</v>
      </c>
      <c r="B372">
        <v>1</v>
      </c>
      <c r="C372" t="s">
        <v>227</v>
      </c>
      <c r="D372">
        <v>49</v>
      </c>
      <c r="E372">
        <v>1</v>
      </c>
      <c r="F372">
        <v>1</v>
      </c>
      <c r="G372" t="s">
        <v>544</v>
      </c>
      <c r="H372">
        <v>8</v>
      </c>
      <c r="I372" t="s">
        <v>152</v>
      </c>
      <c r="K372" t="s">
        <v>1348</v>
      </c>
      <c r="M372" t="e">
        <v>#N/A</v>
      </c>
      <c r="N372" t="e">
        <v>#N/A</v>
      </c>
      <c r="O372" t="e">
        <v>#N/A</v>
      </c>
      <c r="Q372" t="e">
        <v>#N/A</v>
      </c>
      <c r="R372" t="e">
        <v>#N/A</v>
      </c>
      <c r="S372" t="e">
        <v>#N/A</v>
      </c>
      <c r="T372" t="e">
        <v>#N/A</v>
      </c>
      <c r="U372" t="e">
        <v>#N/A</v>
      </c>
      <c r="V372" t="e">
        <v>#N/A</v>
      </c>
    </row>
    <row r="373" spans="1:22" x14ac:dyDescent="0.25">
      <c r="A373">
        <v>370</v>
      </c>
      <c r="B373">
        <v>1</v>
      </c>
      <c r="C373" t="s">
        <v>228</v>
      </c>
      <c r="D373">
        <v>2</v>
      </c>
      <c r="E373">
        <v>1</v>
      </c>
      <c r="F373">
        <v>1</v>
      </c>
      <c r="G373" t="s">
        <v>447</v>
      </c>
      <c r="H373">
        <v>3</v>
      </c>
      <c r="I373" t="s">
        <v>142</v>
      </c>
      <c r="K373" t="s">
        <v>1348</v>
      </c>
      <c r="M373" t="e">
        <v>#N/A</v>
      </c>
      <c r="N373" t="e">
        <v>#N/A</v>
      </c>
      <c r="O373" t="e">
        <v>#N/A</v>
      </c>
      <c r="Q373" t="e">
        <v>#N/A</v>
      </c>
      <c r="R373" t="e">
        <v>#N/A</v>
      </c>
      <c r="S373" t="e">
        <v>#N/A</v>
      </c>
      <c r="T373" t="e">
        <v>#N/A</v>
      </c>
      <c r="U373" t="e">
        <v>#N/A</v>
      </c>
      <c r="V373" t="e">
        <v>#N/A</v>
      </c>
    </row>
    <row r="374" spans="1:22" x14ac:dyDescent="0.25">
      <c r="A374">
        <v>371</v>
      </c>
      <c r="B374">
        <v>1</v>
      </c>
      <c r="C374" t="s">
        <v>229</v>
      </c>
      <c r="D374">
        <v>1</v>
      </c>
      <c r="E374">
        <v>1</v>
      </c>
      <c r="F374">
        <v>1</v>
      </c>
      <c r="G374" t="s">
        <v>544</v>
      </c>
      <c r="H374">
        <v>3</v>
      </c>
      <c r="I374" t="s">
        <v>149</v>
      </c>
      <c r="K374" t="s">
        <v>1348</v>
      </c>
      <c r="M374" t="e">
        <v>#N/A</v>
      </c>
      <c r="N374" t="e">
        <v>#N/A</v>
      </c>
      <c r="O374" t="e">
        <v>#N/A</v>
      </c>
      <c r="Q374" t="e">
        <v>#N/A</v>
      </c>
      <c r="R374" t="e">
        <v>#N/A</v>
      </c>
      <c r="S374" t="e">
        <v>#N/A</v>
      </c>
      <c r="T374" t="e">
        <v>#N/A</v>
      </c>
      <c r="U374" t="e">
        <v>#N/A</v>
      </c>
      <c r="V374" t="e">
        <v>#N/A</v>
      </c>
    </row>
    <row r="375" spans="1:22" x14ac:dyDescent="0.25">
      <c r="A375">
        <v>372</v>
      </c>
      <c r="B375">
        <v>1</v>
      </c>
      <c r="C375" t="s">
        <v>230</v>
      </c>
      <c r="D375">
        <v>1</v>
      </c>
      <c r="E375">
        <v>1</v>
      </c>
      <c r="F375">
        <v>1</v>
      </c>
      <c r="G375" t="s">
        <v>447</v>
      </c>
      <c r="H375">
        <v>7</v>
      </c>
      <c r="I375" t="s">
        <v>231</v>
      </c>
      <c r="K375" t="s">
        <v>1348</v>
      </c>
      <c r="M375" t="e">
        <v>#N/A</v>
      </c>
      <c r="N375" t="e">
        <v>#N/A</v>
      </c>
      <c r="O375" t="e">
        <v>#N/A</v>
      </c>
      <c r="Q375" t="e">
        <v>#N/A</v>
      </c>
      <c r="R375" t="e">
        <v>#N/A</v>
      </c>
      <c r="S375" t="e">
        <v>#N/A</v>
      </c>
      <c r="T375" t="e">
        <v>#N/A</v>
      </c>
      <c r="U375" t="e">
        <v>#N/A</v>
      </c>
      <c r="V375" t="e">
        <v>#N/A</v>
      </c>
    </row>
    <row r="376" spans="1:22" x14ac:dyDescent="0.25">
      <c r="A376">
        <v>373</v>
      </c>
      <c r="B376">
        <v>1</v>
      </c>
      <c r="C376" t="s">
        <v>232</v>
      </c>
      <c r="D376">
        <v>2</v>
      </c>
      <c r="E376">
        <v>1</v>
      </c>
      <c r="F376">
        <v>1</v>
      </c>
      <c r="G376" t="s">
        <v>447</v>
      </c>
      <c r="H376">
        <v>4</v>
      </c>
      <c r="I376" t="s">
        <v>142</v>
      </c>
      <c r="K376" t="s">
        <v>1348</v>
      </c>
      <c r="M376" t="e">
        <v>#N/A</v>
      </c>
      <c r="N376" t="e">
        <v>#N/A</v>
      </c>
      <c r="O376" t="e">
        <v>#N/A</v>
      </c>
      <c r="Q376" t="e">
        <v>#N/A</v>
      </c>
      <c r="R376" t="e">
        <v>#N/A</v>
      </c>
      <c r="S376" t="e">
        <v>#N/A</v>
      </c>
      <c r="T376" t="e">
        <v>#N/A</v>
      </c>
      <c r="U376" t="e">
        <v>#N/A</v>
      </c>
      <c r="V376" t="e">
        <v>#N/A</v>
      </c>
    </row>
    <row r="377" spans="1:22" x14ac:dyDescent="0.25">
      <c r="A377">
        <v>374</v>
      </c>
      <c r="B377">
        <v>1</v>
      </c>
      <c r="C377" t="s">
        <v>233</v>
      </c>
      <c r="D377">
        <v>1</v>
      </c>
      <c r="E377">
        <v>1</v>
      </c>
      <c r="F377">
        <v>1</v>
      </c>
      <c r="G377" t="s">
        <v>544</v>
      </c>
      <c r="H377">
        <v>4</v>
      </c>
      <c r="I377" t="s">
        <v>149</v>
      </c>
      <c r="K377" t="s">
        <v>1348</v>
      </c>
      <c r="M377" t="e">
        <v>#N/A</v>
      </c>
      <c r="N377" t="e">
        <v>#N/A</v>
      </c>
      <c r="O377" t="e">
        <v>#N/A</v>
      </c>
      <c r="Q377" t="e">
        <v>#N/A</v>
      </c>
      <c r="R377" t="e">
        <v>#N/A</v>
      </c>
      <c r="S377" t="e">
        <v>#N/A</v>
      </c>
      <c r="T377" t="e">
        <v>#N/A</v>
      </c>
      <c r="U377" t="e">
        <v>#N/A</v>
      </c>
      <c r="V377" t="e">
        <v>#N/A</v>
      </c>
    </row>
    <row r="378" spans="1:22" x14ac:dyDescent="0.25">
      <c r="A378">
        <v>375</v>
      </c>
      <c r="B378">
        <v>1</v>
      </c>
      <c r="C378" t="s">
        <v>234</v>
      </c>
      <c r="D378">
        <v>40</v>
      </c>
      <c r="E378">
        <v>1</v>
      </c>
      <c r="F378">
        <v>1</v>
      </c>
      <c r="G378" t="s">
        <v>589</v>
      </c>
      <c r="H378">
        <v>3</v>
      </c>
      <c r="I378" t="s">
        <v>235</v>
      </c>
      <c r="K378" t="s">
        <v>1348</v>
      </c>
      <c r="M378" t="e">
        <v>#N/A</v>
      </c>
      <c r="N378" t="e">
        <v>#N/A</v>
      </c>
      <c r="O378" t="e">
        <v>#N/A</v>
      </c>
      <c r="Q378" t="e">
        <v>#N/A</v>
      </c>
      <c r="R378" t="e">
        <v>#N/A</v>
      </c>
      <c r="S378" t="e">
        <v>#N/A</v>
      </c>
      <c r="T378" t="e">
        <v>#N/A</v>
      </c>
      <c r="U378" t="e">
        <v>#N/A</v>
      </c>
      <c r="V378" t="e">
        <v>#N/A</v>
      </c>
    </row>
    <row r="379" spans="1:22" x14ac:dyDescent="0.25">
      <c r="A379">
        <v>376</v>
      </c>
      <c r="B379">
        <v>1</v>
      </c>
      <c r="C379" t="s">
        <v>236</v>
      </c>
      <c r="D379">
        <v>40</v>
      </c>
      <c r="E379">
        <v>1</v>
      </c>
      <c r="F379">
        <v>1</v>
      </c>
      <c r="G379" t="s">
        <v>589</v>
      </c>
      <c r="H379">
        <v>3</v>
      </c>
      <c r="I379" t="s">
        <v>237</v>
      </c>
      <c r="K379" t="s">
        <v>1348</v>
      </c>
      <c r="M379" t="e">
        <v>#N/A</v>
      </c>
      <c r="N379" t="e">
        <v>#N/A</v>
      </c>
      <c r="O379" t="e">
        <v>#N/A</v>
      </c>
      <c r="Q379" t="e">
        <v>#N/A</v>
      </c>
      <c r="R379" t="e">
        <v>#N/A</v>
      </c>
      <c r="S379" t="e">
        <v>#N/A</v>
      </c>
      <c r="T379" t="e">
        <v>#N/A</v>
      </c>
      <c r="U379" t="e">
        <v>#N/A</v>
      </c>
      <c r="V379" t="e">
        <v>#N/A</v>
      </c>
    </row>
    <row r="380" spans="1:22" x14ac:dyDescent="0.25">
      <c r="A380">
        <v>377</v>
      </c>
      <c r="B380">
        <v>1</v>
      </c>
      <c r="C380" t="s">
        <v>238</v>
      </c>
      <c r="D380">
        <v>2</v>
      </c>
      <c r="E380">
        <v>1</v>
      </c>
      <c r="F380">
        <v>1</v>
      </c>
      <c r="G380" t="s">
        <v>447</v>
      </c>
      <c r="H380">
        <v>4</v>
      </c>
      <c r="I380" t="s">
        <v>142</v>
      </c>
      <c r="K380" t="s">
        <v>1348</v>
      </c>
      <c r="M380" t="e">
        <v>#N/A</v>
      </c>
      <c r="N380" t="e">
        <v>#N/A</v>
      </c>
      <c r="O380" t="e">
        <v>#N/A</v>
      </c>
      <c r="Q380" t="e">
        <v>#N/A</v>
      </c>
      <c r="R380" t="e">
        <v>#N/A</v>
      </c>
      <c r="S380" t="e">
        <v>#N/A</v>
      </c>
      <c r="T380" t="e">
        <v>#N/A</v>
      </c>
      <c r="U380" t="e">
        <v>#N/A</v>
      </c>
      <c r="V380" t="e">
        <v>#N/A</v>
      </c>
    </row>
    <row r="381" spans="1:22" x14ac:dyDescent="0.25">
      <c r="A381">
        <v>378</v>
      </c>
      <c r="B381">
        <v>1</v>
      </c>
      <c r="C381" t="s">
        <v>239</v>
      </c>
      <c r="D381">
        <v>1</v>
      </c>
      <c r="E381">
        <v>1</v>
      </c>
      <c r="F381">
        <v>1</v>
      </c>
      <c r="G381" t="s">
        <v>447</v>
      </c>
      <c r="H381">
        <v>4</v>
      </c>
      <c r="I381" t="s">
        <v>145</v>
      </c>
      <c r="K381" t="s">
        <v>1348</v>
      </c>
      <c r="M381" t="e">
        <v>#N/A</v>
      </c>
      <c r="N381" t="e">
        <v>#N/A</v>
      </c>
      <c r="O381" t="e">
        <v>#N/A</v>
      </c>
      <c r="Q381" t="e">
        <v>#N/A</v>
      </c>
      <c r="R381" t="e">
        <v>#N/A</v>
      </c>
      <c r="S381" t="e">
        <v>#N/A</v>
      </c>
      <c r="T381" t="e">
        <v>#N/A</v>
      </c>
      <c r="U381" t="e">
        <v>#N/A</v>
      </c>
      <c r="V381" t="e">
        <v>#N/A</v>
      </c>
    </row>
    <row r="382" spans="1:22" x14ac:dyDescent="0.25">
      <c r="A382">
        <v>379</v>
      </c>
      <c r="B382">
        <v>1</v>
      </c>
      <c r="C382" t="s">
        <v>240</v>
      </c>
      <c r="D382">
        <v>1</v>
      </c>
      <c r="E382">
        <v>1</v>
      </c>
      <c r="F382">
        <v>1</v>
      </c>
      <c r="G382" t="s">
        <v>544</v>
      </c>
      <c r="H382">
        <v>4</v>
      </c>
      <c r="I382" t="s">
        <v>149</v>
      </c>
      <c r="K382" t="s">
        <v>1348</v>
      </c>
      <c r="M382" t="e">
        <v>#N/A</v>
      </c>
      <c r="N382" t="e">
        <v>#N/A</v>
      </c>
      <c r="O382" t="e">
        <v>#N/A</v>
      </c>
      <c r="Q382" t="e">
        <v>#N/A</v>
      </c>
      <c r="R382" t="e">
        <v>#N/A</v>
      </c>
      <c r="S382" t="e">
        <v>#N/A</v>
      </c>
      <c r="T382" t="e">
        <v>#N/A</v>
      </c>
      <c r="U382" t="e">
        <v>#N/A</v>
      </c>
      <c r="V382" t="e">
        <v>#N/A</v>
      </c>
    </row>
    <row r="383" spans="1:22" x14ac:dyDescent="0.25">
      <c r="A383">
        <v>380</v>
      </c>
      <c r="B383">
        <v>1</v>
      </c>
      <c r="C383" t="s">
        <v>241</v>
      </c>
      <c r="D383">
        <v>1</v>
      </c>
      <c r="E383">
        <v>1</v>
      </c>
      <c r="F383">
        <v>1</v>
      </c>
      <c r="G383" t="s">
        <v>544</v>
      </c>
      <c r="H383">
        <v>4</v>
      </c>
      <c r="I383" t="s">
        <v>152</v>
      </c>
      <c r="K383" t="s">
        <v>1348</v>
      </c>
      <c r="M383" t="e">
        <v>#N/A</v>
      </c>
      <c r="N383" t="e">
        <v>#N/A</v>
      </c>
      <c r="O383" t="e">
        <v>#N/A</v>
      </c>
      <c r="Q383" t="e">
        <v>#N/A</v>
      </c>
      <c r="R383" t="e">
        <v>#N/A</v>
      </c>
      <c r="S383" t="e">
        <v>#N/A</v>
      </c>
      <c r="T383" t="e">
        <v>#N/A</v>
      </c>
      <c r="U383" t="e">
        <v>#N/A</v>
      </c>
      <c r="V383" t="e">
        <v>#N/A</v>
      </c>
    </row>
    <row r="384" spans="1:22" x14ac:dyDescent="0.25">
      <c r="A384">
        <v>381</v>
      </c>
      <c r="B384">
        <v>1</v>
      </c>
      <c r="C384" t="s">
        <v>242</v>
      </c>
      <c r="D384">
        <v>11</v>
      </c>
      <c r="E384">
        <v>2</v>
      </c>
      <c r="F384">
        <v>1</v>
      </c>
      <c r="G384" t="s">
        <v>447</v>
      </c>
      <c r="H384">
        <v>1</v>
      </c>
      <c r="I384" t="s">
        <v>243</v>
      </c>
      <c r="K384" t="s">
        <v>1348</v>
      </c>
      <c r="M384" t="e">
        <v>#N/A</v>
      </c>
      <c r="N384" t="e">
        <v>#N/A</v>
      </c>
      <c r="O384" t="e">
        <v>#N/A</v>
      </c>
      <c r="Q384" t="e">
        <v>#N/A</v>
      </c>
      <c r="R384" t="e">
        <v>#N/A</v>
      </c>
      <c r="S384" t="e">
        <v>#N/A</v>
      </c>
      <c r="T384" t="e">
        <v>#N/A</v>
      </c>
      <c r="U384" t="e">
        <v>#N/A</v>
      </c>
      <c r="V384" t="e">
        <v>#N/A</v>
      </c>
    </row>
    <row r="385" spans="1:22" x14ac:dyDescent="0.25">
      <c r="A385">
        <v>382</v>
      </c>
      <c r="B385">
        <v>1</v>
      </c>
      <c r="C385" t="s">
        <v>244</v>
      </c>
      <c r="D385">
        <v>11</v>
      </c>
      <c r="E385">
        <v>2</v>
      </c>
      <c r="F385">
        <v>1</v>
      </c>
      <c r="G385" t="s">
        <v>447</v>
      </c>
      <c r="H385">
        <v>1</v>
      </c>
      <c r="I385" t="s">
        <v>245</v>
      </c>
      <c r="K385" t="s">
        <v>1348</v>
      </c>
      <c r="M385" t="e">
        <v>#N/A</v>
      </c>
      <c r="N385" t="e">
        <v>#N/A</v>
      </c>
      <c r="O385" t="e">
        <v>#N/A</v>
      </c>
      <c r="Q385" t="e">
        <v>#N/A</v>
      </c>
      <c r="R385" t="e">
        <v>#N/A</v>
      </c>
      <c r="S385" t="e">
        <v>#N/A</v>
      </c>
      <c r="T385" t="e">
        <v>#N/A</v>
      </c>
      <c r="U385" t="e">
        <v>#N/A</v>
      </c>
      <c r="V385" t="e">
        <v>#N/A</v>
      </c>
    </row>
    <row r="386" spans="1:22" x14ac:dyDescent="0.25">
      <c r="A386">
        <v>383</v>
      </c>
      <c r="B386">
        <v>1</v>
      </c>
      <c r="C386" t="s">
        <v>246</v>
      </c>
      <c r="D386">
        <v>11</v>
      </c>
      <c r="E386">
        <v>2</v>
      </c>
      <c r="F386">
        <v>1</v>
      </c>
      <c r="G386" t="s">
        <v>447</v>
      </c>
      <c r="H386">
        <v>1</v>
      </c>
      <c r="I386" t="s">
        <v>247</v>
      </c>
      <c r="K386" t="s">
        <v>1348</v>
      </c>
      <c r="M386" t="e">
        <v>#N/A</v>
      </c>
      <c r="N386" t="e">
        <v>#N/A</v>
      </c>
      <c r="O386" t="e">
        <v>#N/A</v>
      </c>
      <c r="Q386" t="e">
        <v>#N/A</v>
      </c>
      <c r="R386" t="e">
        <v>#N/A</v>
      </c>
      <c r="S386" t="e">
        <v>#N/A</v>
      </c>
      <c r="T386" t="e">
        <v>#N/A</v>
      </c>
      <c r="U386" t="e">
        <v>#N/A</v>
      </c>
      <c r="V386" t="e">
        <v>#N/A</v>
      </c>
    </row>
    <row r="387" spans="1:22" x14ac:dyDescent="0.25">
      <c r="A387">
        <v>384</v>
      </c>
      <c r="B387">
        <v>1</v>
      </c>
      <c r="C387" t="s">
        <v>248</v>
      </c>
      <c r="D387">
        <v>11</v>
      </c>
      <c r="E387">
        <v>2</v>
      </c>
      <c r="F387">
        <v>1</v>
      </c>
      <c r="G387" t="s">
        <v>447</v>
      </c>
      <c r="H387">
        <v>1</v>
      </c>
      <c r="I387" t="s">
        <v>249</v>
      </c>
      <c r="K387" t="s">
        <v>1348</v>
      </c>
      <c r="M387" t="e">
        <v>#N/A</v>
      </c>
      <c r="N387" t="e">
        <v>#N/A</v>
      </c>
      <c r="O387" t="e">
        <v>#N/A</v>
      </c>
      <c r="Q387" t="e">
        <v>#N/A</v>
      </c>
      <c r="R387" t="e">
        <v>#N/A</v>
      </c>
      <c r="S387" t="e">
        <v>#N/A</v>
      </c>
      <c r="T387" t="e">
        <v>#N/A</v>
      </c>
      <c r="U387" t="e">
        <v>#N/A</v>
      </c>
      <c r="V387" t="e">
        <v>#N/A</v>
      </c>
    </row>
    <row r="388" spans="1:22" x14ac:dyDescent="0.25">
      <c r="A388">
        <v>385</v>
      </c>
      <c r="B388">
        <v>1</v>
      </c>
      <c r="C388" t="s">
        <v>250</v>
      </c>
      <c r="D388">
        <v>11</v>
      </c>
      <c r="E388">
        <v>2</v>
      </c>
      <c r="F388">
        <v>1</v>
      </c>
      <c r="G388" t="s">
        <v>447</v>
      </c>
      <c r="H388">
        <v>1</v>
      </c>
      <c r="I388" t="s">
        <v>251</v>
      </c>
      <c r="K388" t="s">
        <v>1348</v>
      </c>
      <c r="M388" t="e">
        <v>#N/A</v>
      </c>
      <c r="N388" t="e">
        <v>#N/A</v>
      </c>
      <c r="O388" t="e">
        <v>#N/A</v>
      </c>
      <c r="Q388" t="e">
        <v>#N/A</v>
      </c>
      <c r="R388" t="e">
        <v>#N/A</v>
      </c>
      <c r="S388" t="e">
        <v>#N/A</v>
      </c>
      <c r="T388" t="e">
        <v>#N/A</v>
      </c>
      <c r="U388" t="e">
        <v>#N/A</v>
      </c>
      <c r="V388" t="e">
        <v>#N/A</v>
      </c>
    </row>
    <row r="389" spans="1:22" x14ac:dyDescent="0.25">
      <c r="A389">
        <v>386</v>
      </c>
      <c r="B389">
        <v>1</v>
      </c>
      <c r="C389" t="s">
        <v>252</v>
      </c>
      <c r="D389">
        <v>11</v>
      </c>
      <c r="E389">
        <v>2</v>
      </c>
      <c r="F389">
        <v>1</v>
      </c>
      <c r="G389" t="s">
        <v>447</v>
      </c>
      <c r="H389">
        <v>1</v>
      </c>
      <c r="I389" t="s">
        <v>253</v>
      </c>
      <c r="K389" t="s">
        <v>1348</v>
      </c>
      <c r="M389" t="e">
        <v>#N/A</v>
      </c>
      <c r="N389" t="e">
        <v>#N/A</v>
      </c>
      <c r="O389" t="e">
        <v>#N/A</v>
      </c>
      <c r="Q389" t="e">
        <v>#N/A</v>
      </c>
      <c r="R389" t="e">
        <v>#N/A</v>
      </c>
      <c r="S389" t="e">
        <v>#N/A</v>
      </c>
      <c r="T389" t="e">
        <v>#N/A</v>
      </c>
      <c r="U389" t="e">
        <v>#N/A</v>
      </c>
      <c r="V389" t="e">
        <v>#N/A</v>
      </c>
    </row>
    <row r="390" spans="1:22" x14ac:dyDescent="0.25">
      <c r="A390">
        <v>387</v>
      </c>
      <c r="B390">
        <v>1</v>
      </c>
      <c r="C390" t="s">
        <v>254</v>
      </c>
      <c r="D390">
        <v>2</v>
      </c>
      <c r="E390">
        <v>1</v>
      </c>
      <c r="F390">
        <v>1</v>
      </c>
      <c r="G390" t="s">
        <v>447</v>
      </c>
      <c r="H390">
        <v>10</v>
      </c>
      <c r="I390" t="s">
        <v>142</v>
      </c>
      <c r="K390" t="s">
        <v>1348</v>
      </c>
      <c r="M390" t="e">
        <v>#N/A</v>
      </c>
      <c r="N390" t="e">
        <v>#N/A</v>
      </c>
      <c r="O390" t="e">
        <v>#N/A</v>
      </c>
      <c r="Q390" t="e">
        <v>#N/A</v>
      </c>
      <c r="R390" t="e">
        <v>#N/A</v>
      </c>
      <c r="S390" t="e">
        <v>#N/A</v>
      </c>
      <c r="T390" t="e">
        <v>#N/A</v>
      </c>
      <c r="U390" t="e">
        <v>#N/A</v>
      </c>
      <c r="V390" t="e">
        <v>#N/A</v>
      </c>
    </row>
    <row r="391" spans="1:22" x14ac:dyDescent="0.25">
      <c r="A391">
        <v>388</v>
      </c>
      <c r="B391">
        <v>1</v>
      </c>
      <c r="C391" t="s">
        <v>255</v>
      </c>
      <c r="D391">
        <v>1</v>
      </c>
      <c r="E391">
        <v>1</v>
      </c>
      <c r="F391">
        <v>1</v>
      </c>
      <c r="G391" t="s">
        <v>447</v>
      </c>
      <c r="H391">
        <v>10</v>
      </c>
      <c r="I391" t="s">
        <v>145</v>
      </c>
      <c r="K391" t="s">
        <v>1348</v>
      </c>
      <c r="M391" t="e">
        <v>#N/A</v>
      </c>
      <c r="N391" t="e">
        <v>#N/A</v>
      </c>
      <c r="O391" t="e">
        <v>#N/A</v>
      </c>
      <c r="Q391" t="e">
        <v>#N/A</v>
      </c>
      <c r="R391" t="e">
        <v>#N/A</v>
      </c>
      <c r="S391" t="e">
        <v>#N/A</v>
      </c>
      <c r="T391" t="e">
        <v>#N/A</v>
      </c>
      <c r="U391" t="e">
        <v>#N/A</v>
      </c>
      <c r="V391" t="e">
        <v>#N/A</v>
      </c>
    </row>
    <row r="392" spans="1:22" x14ac:dyDescent="0.25">
      <c r="A392">
        <v>389</v>
      </c>
      <c r="B392">
        <v>1</v>
      </c>
      <c r="C392" t="s">
        <v>256</v>
      </c>
      <c r="D392">
        <v>1</v>
      </c>
      <c r="E392">
        <v>1</v>
      </c>
      <c r="F392">
        <v>1</v>
      </c>
      <c r="G392" t="s">
        <v>544</v>
      </c>
      <c r="H392">
        <v>10</v>
      </c>
      <c r="I392" t="s">
        <v>149</v>
      </c>
      <c r="K392" t="s">
        <v>1348</v>
      </c>
      <c r="M392" t="e">
        <v>#N/A</v>
      </c>
      <c r="N392" t="e">
        <v>#N/A</v>
      </c>
      <c r="O392" t="e">
        <v>#N/A</v>
      </c>
      <c r="Q392" t="e">
        <v>#N/A</v>
      </c>
      <c r="R392" t="e">
        <v>#N/A</v>
      </c>
      <c r="S392" t="e">
        <v>#N/A</v>
      </c>
      <c r="T392" t="e">
        <v>#N/A</v>
      </c>
      <c r="U392" t="e">
        <v>#N/A</v>
      </c>
      <c r="V392" t="e">
        <v>#N/A</v>
      </c>
    </row>
    <row r="393" spans="1:22" x14ac:dyDescent="0.25">
      <c r="A393">
        <v>390</v>
      </c>
      <c r="B393">
        <v>1</v>
      </c>
      <c r="C393" t="s">
        <v>257</v>
      </c>
      <c r="D393">
        <v>1</v>
      </c>
      <c r="E393">
        <v>1</v>
      </c>
      <c r="F393">
        <v>1</v>
      </c>
      <c r="G393" t="s">
        <v>544</v>
      </c>
      <c r="H393">
        <v>10</v>
      </c>
      <c r="I393" t="s">
        <v>152</v>
      </c>
      <c r="K393" t="s">
        <v>1348</v>
      </c>
      <c r="M393" t="e">
        <v>#N/A</v>
      </c>
      <c r="N393" t="e">
        <v>#N/A</v>
      </c>
      <c r="O393" t="e">
        <v>#N/A</v>
      </c>
      <c r="Q393" t="e">
        <v>#N/A</v>
      </c>
      <c r="R393" t="e">
        <v>#N/A</v>
      </c>
      <c r="S393" t="e">
        <v>#N/A</v>
      </c>
      <c r="T393" t="e">
        <v>#N/A</v>
      </c>
      <c r="U393" t="e">
        <v>#N/A</v>
      </c>
      <c r="V393" t="e">
        <v>#N/A</v>
      </c>
    </row>
    <row r="394" spans="1:22" x14ac:dyDescent="0.25">
      <c r="A394">
        <v>391</v>
      </c>
      <c r="B394">
        <v>1</v>
      </c>
      <c r="C394" t="s">
        <v>258</v>
      </c>
      <c r="D394">
        <v>40</v>
      </c>
      <c r="E394">
        <v>1</v>
      </c>
      <c r="F394">
        <v>1</v>
      </c>
      <c r="G394" t="s">
        <v>589</v>
      </c>
      <c r="H394">
        <v>3</v>
      </c>
      <c r="I394" t="s">
        <v>259</v>
      </c>
      <c r="K394" t="s">
        <v>1348</v>
      </c>
      <c r="M394" t="e">
        <v>#N/A</v>
      </c>
      <c r="N394" t="e">
        <v>#N/A</v>
      </c>
      <c r="O394" t="e">
        <v>#N/A</v>
      </c>
      <c r="Q394" t="e">
        <v>#N/A</v>
      </c>
      <c r="R394" t="e">
        <v>#N/A</v>
      </c>
      <c r="S394" t="e">
        <v>#N/A</v>
      </c>
      <c r="T394" t="e">
        <v>#N/A</v>
      </c>
      <c r="U394" t="e">
        <v>#N/A</v>
      </c>
      <c r="V394" t="e">
        <v>#N/A</v>
      </c>
    </row>
    <row r="395" spans="1:22" x14ac:dyDescent="0.25">
      <c r="A395">
        <v>392</v>
      </c>
      <c r="B395">
        <v>1</v>
      </c>
      <c r="C395" t="s">
        <v>260</v>
      </c>
      <c r="D395">
        <v>40</v>
      </c>
      <c r="E395">
        <v>1</v>
      </c>
      <c r="F395">
        <v>1</v>
      </c>
      <c r="G395" t="s">
        <v>589</v>
      </c>
      <c r="H395">
        <v>3</v>
      </c>
      <c r="I395" t="s">
        <v>261</v>
      </c>
      <c r="K395" t="s">
        <v>1348</v>
      </c>
      <c r="M395" t="e">
        <v>#N/A</v>
      </c>
      <c r="N395" t="e">
        <v>#N/A</v>
      </c>
      <c r="O395" t="e">
        <v>#N/A</v>
      </c>
      <c r="Q395" t="e">
        <v>#N/A</v>
      </c>
      <c r="R395" t="e">
        <v>#N/A</v>
      </c>
      <c r="S395" t="e">
        <v>#N/A</v>
      </c>
      <c r="T395" t="e">
        <v>#N/A</v>
      </c>
      <c r="U395" t="e">
        <v>#N/A</v>
      </c>
      <c r="V395" t="e">
        <v>#N/A</v>
      </c>
    </row>
    <row r="396" spans="1:22" x14ac:dyDescent="0.25">
      <c r="A396">
        <v>393</v>
      </c>
      <c r="B396">
        <v>1</v>
      </c>
      <c r="C396" t="s">
        <v>262</v>
      </c>
      <c r="D396">
        <v>40</v>
      </c>
      <c r="E396">
        <v>1</v>
      </c>
      <c r="F396">
        <v>1</v>
      </c>
      <c r="G396" t="s">
        <v>589</v>
      </c>
      <c r="H396">
        <v>3</v>
      </c>
      <c r="I396" t="s">
        <v>263</v>
      </c>
      <c r="K396" t="s">
        <v>1348</v>
      </c>
      <c r="M396" t="e">
        <v>#N/A</v>
      </c>
      <c r="N396" t="e">
        <v>#N/A</v>
      </c>
      <c r="O396" t="e">
        <v>#N/A</v>
      </c>
      <c r="Q396" t="e">
        <v>#N/A</v>
      </c>
      <c r="R396" t="e">
        <v>#N/A</v>
      </c>
      <c r="S396" t="e">
        <v>#N/A</v>
      </c>
      <c r="T396" t="e">
        <v>#N/A</v>
      </c>
      <c r="U396" t="e">
        <v>#N/A</v>
      </c>
      <c r="V396" t="e">
        <v>#N/A</v>
      </c>
    </row>
    <row r="397" spans="1:22" x14ac:dyDescent="0.25">
      <c r="A397">
        <v>394</v>
      </c>
      <c r="B397">
        <v>1</v>
      </c>
      <c r="C397" t="s">
        <v>264</v>
      </c>
      <c r="D397">
        <v>40</v>
      </c>
      <c r="E397">
        <v>1</v>
      </c>
      <c r="F397">
        <v>1</v>
      </c>
      <c r="G397" t="s">
        <v>589</v>
      </c>
      <c r="H397">
        <v>3</v>
      </c>
      <c r="I397" t="s">
        <v>265</v>
      </c>
      <c r="K397" t="s">
        <v>1348</v>
      </c>
      <c r="M397" t="e">
        <v>#N/A</v>
      </c>
      <c r="N397" t="e">
        <v>#N/A</v>
      </c>
      <c r="O397" t="e">
        <v>#N/A</v>
      </c>
      <c r="Q397" t="e">
        <v>#N/A</v>
      </c>
      <c r="R397" t="e">
        <v>#N/A</v>
      </c>
      <c r="S397" t="e">
        <v>#N/A</v>
      </c>
      <c r="T397" t="e">
        <v>#N/A</v>
      </c>
      <c r="U397" t="e">
        <v>#N/A</v>
      </c>
      <c r="V397" t="e">
        <v>#N/A</v>
      </c>
    </row>
    <row r="398" spans="1:22" x14ac:dyDescent="0.25">
      <c r="A398">
        <v>395</v>
      </c>
      <c r="B398">
        <v>1</v>
      </c>
      <c r="C398" t="s">
        <v>1214</v>
      </c>
      <c r="D398">
        <v>5</v>
      </c>
      <c r="E398">
        <v>1</v>
      </c>
      <c r="F398">
        <v>1</v>
      </c>
      <c r="G398" t="s">
        <v>731</v>
      </c>
      <c r="H398">
        <v>4</v>
      </c>
      <c r="I398" t="s">
        <v>266</v>
      </c>
      <c r="K398" t="s">
        <v>1348</v>
      </c>
      <c r="M398" t="e">
        <v>#N/A</v>
      </c>
      <c r="N398" t="e">
        <v>#N/A</v>
      </c>
      <c r="O398" t="e">
        <v>#N/A</v>
      </c>
      <c r="Q398" t="e">
        <v>#N/A</v>
      </c>
      <c r="R398" t="e">
        <v>#N/A</v>
      </c>
      <c r="S398" t="e">
        <v>#N/A</v>
      </c>
      <c r="T398" t="e">
        <v>#N/A</v>
      </c>
      <c r="U398" t="e">
        <v>#N/A</v>
      </c>
      <c r="V398" t="e">
        <v>#N/A</v>
      </c>
    </row>
    <row r="399" spans="1:22" x14ac:dyDescent="0.25">
      <c r="A399">
        <v>396</v>
      </c>
      <c r="B399">
        <v>1</v>
      </c>
      <c r="C399" t="s">
        <v>1237</v>
      </c>
      <c r="D399">
        <v>2</v>
      </c>
      <c r="E399">
        <v>14</v>
      </c>
      <c r="F399">
        <v>1</v>
      </c>
      <c r="G399" t="s">
        <v>447</v>
      </c>
      <c r="H399">
        <v>2</v>
      </c>
      <c r="I399" t="s">
        <v>267</v>
      </c>
      <c r="K399" t="s">
        <v>1348</v>
      </c>
      <c r="M399" t="e">
        <v>#N/A</v>
      </c>
      <c r="N399" t="e">
        <v>#N/A</v>
      </c>
      <c r="O399" t="e">
        <v>#N/A</v>
      </c>
      <c r="Q399" t="e">
        <v>#N/A</v>
      </c>
      <c r="R399" t="e">
        <v>#N/A</v>
      </c>
      <c r="S399" t="e">
        <v>#N/A</v>
      </c>
      <c r="T399" t="e">
        <v>#N/A</v>
      </c>
      <c r="U399" t="e">
        <v>#N/A</v>
      </c>
      <c r="V399" t="e">
        <v>#N/A</v>
      </c>
    </row>
    <row r="400" spans="1:22" x14ac:dyDescent="0.25">
      <c r="A400">
        <v>397</v>
      </c>
      <c r="B400">
        <v>1</v>
      </c>
      <c r="C400" t="s">
        <v>268</v>
      </c>
      <c r="D400">
        <v>1</v>
      </c>
      <c r="E400">
        <v>1</v>
      </c>
      <c r="F400">
        <v>1</v>
      </c>
      <c r="G400" t="s">
        <v>544</v>
      </c>
      <c r="H400">
        <v>1</v>
      </c>
      <c r="I400" t="s">
        <v>269</v>
      </c>
      <c r="K400" t="s">
        <v>1348</v>
      </c>
      <c r="M400" t="e">
        <v>#N/A</v>
      </c>
      <c r="N400" t="e">
        <v>#N/A</v>
      </c>
      <c r="O400" t="e">
        <v>#N/A</v>
      </c>
      <c r="Q400" t="e">
        <v>#N/A</v>
      </c>
      <c r="R400" t="e">
        <v>#N/A</v>
      </c>
      <c r="S400" t="e">
        <v>#N/A</v>
      </c>
      <c r="T400" t="e">
        <v>#N/A</v>
      </c>
      <c r="U400" t="e">
        <v>#N/A</v>
      </c>
      <c r="V400" t="e">
        <v>#N/A</v>
      </c>
    </row>
    <row r="401" spans="1:22" x14ac:dyDescent="0.25">
      <c r="A401">
        <v>398</v>
      </c>
      <c r="B401">
        <v>1</v>
      </c>
      <c r="C401" t="s">
        <v>270</v>
      </c>
      <c r="D401">
        <v>3</v>
      </c>
      <c r="E401">
        <v>1</v>
      </c>
      <c r="F401">
        <v>1</v>
      </c>
      <c r="G401" t="s">
        <v>544</v>
      </c>
      <c r="H401">
        <v>1</v>
      </c>
      <c r="I401" t="s">
        <v>271</v>
      </c>
      <c r="K401" t="s">
        <v>1348</v>
      </c>
      <c r="M401" t="e">
        <v>#N/A</v>
      </c>
      <c r="N401" t="e">
        <v>#N/A</v>
      </c>
      <c r="O401" t="e">
        <v>#N/A</v>
      </c>
      <c r="Q401" t="e">
        <v>#N/A</v>
      </c>
      <c r="R401" t="e">
        <v>#N/A</v>
      </c>
      <c r="S401" t="e">
        <v>#N/A</v>
      </c>
      <c r="T401" t="e">
        <v>#N/A</v>
      </c>
      <c r="U401" t="e">
        <v>#N/A</v>
      </c>
      <c r="V401" t="e">
        <v>#N/A</v>
      </c>
    </row>
    <row r="402" spans="1:22" x14ac:dyDescent="0.25">
      <c r="A402">
        <v>399</v>
      </c>
      <c r="B402">
        <v>1</v>
      </c>
      <c r="C402" t="s">
        <v>272</v>
      </c>
      <c r="D402">
        <v>40</v>
      </c>
      <c r="E402">
        <v>1</v>
      </c>
      <c r="F402">
        <v>1</v>
      </c>
      <c r="G402" t="s">
        <v>589</v>
      </c>
      <c r="H402">
        <v>1</v>
      </c>
      <c r="I402" t="s">
        <v>273</v>
      </c>
      <c r="K402" t="s">
        <v>1348</v>
      </c>
      <c r="M402" t="e">
        <v>#N/A</v>
      </c>
      <c r="N402" t="e">
        <v>#N/A</v>
      </c>
      <c r="O402" t="e">
        <v>#N/A</v>
      </c>
      <c r="Q402" t="e">
        <v>#N/A</v>
      </c>
      <c r="R402" t="e">
        <v>#N/A</v>
      </c>
      <c r="S402" t="e">
        <v>#N/A</v>
      </c>
      <c r="T402" t="e">
        <v>#N/A</v>
      </c>
      <c r="U402" t="e">
        <v>#N/A</v>
      </c>
      <c r="V402" t="e">
        <v>#N/A</v>
      </c>
    </row>
    <row r="403" spans="1:22" x14ac:dyDescent="0.25">
      <c r="A403">
        <v>400</v>
      </c>
      <c r="B403">
        <v>1</v>
      </c>
      <c r="C403" t="s">
        <v>274</v>
      </c>
      <c r="D403">
        <v>2</v>
      </c>
      <c r="E403">
        <v>1</v>
      </c>
      <c r="F403">
        <v>1</v>
      </c>
      <c r="G403" t="s">
        <v>447</v>
      </c>
      <c r="H403">
        <v>17</v>
      </c>
      <c r="I403" t="s">
        <v>142</v>
      </c>
      <c r="K403" t="s">
        <v>1348</v>
      </c>
      <c r="M403" t="e">
        <v>#N/A</v>
      </c>
      <c r="N403" t="e">
        <v>#N/A</v>
      </c>
      <c r="O403" t="e">
        <v>#N/A</v>
      </c>
      <c r="Q403" t="e">
        <v>#N/A</v>
      </c>
      <c r="R403" t="e">
        <v>#N/A</v>
      </c>
      <c r="S403" t="e">
        <v>#N/A</v>
      </c>
      <c r="T403" t="e">
        <v>#N/A</v>
      </c>
      <c r="U403" t="e">
        <v>#N/A</v>
      </c>
      <c r="V403" t="e">
        <v>#N/A</v>
      </c>
    </row>
    <row r="404" spans="1:22" x14ac:dyDescent="0.25">
      <c r="A404">
        <v>401</v>
      </c>
      <c r="B404">
        <v>1</v>
      </c>
      <c r="C404" t="s">
        <v>275</v>
      </c>
      <c r="D404">
        <v>1</v>
      </c>
      <c r="E404">
        <v>1</v>
      </c>
      <c r="F404">
        <v>1</v>
      </c>
      <c r="G404" t="s">
        <v>447</v>
      </c>
      <c r="H404">
        <v>17</v>
      </c>
      <c r="I404" t="s">
        <v>145</v>
      </c>
      <c r="K404" t="s">
        <v>1348</v>
      </c>
      <c r="M404" t="e">
        <v>#N/A</v>
      </c>
      <c r="N404" t="e">
        <v>#N/A</v>
      </c>
      <c r="O404" t="e">
        <v>#N/A</v>
      </c>
      <c r="Q404" t="e">
        <v>#N/A</v>
      </c>
      <c r="R404" t="e">
        <v>#N/A</v>
      </c>
      <c r="S404" t="e">
        <v>#N/A</v>
      </c>
      <c r="T404" t="e">
        <v>#N/A</v>
      </c>
      <c r="U404" t="e">
        <v>#N/A</v>
      </c>
      <c r="V404" t="e">
        <v>#N/A</v>
      </c>
    </row>
    <row r="405" spans="1:22" x14ac:dyDescent="0.25">
      <c r="A405">
        <v>402</v>
      </c>
      <c r="B405">
        <v>1</v>
      </c>
      <c r="C405" t="s">
        <v>276</v>
      </c>
      <c r="D405">
        <v>1</v>
      </c>
      <c r="E405">
        <v>1</v>
      </c>
      <c r="F405">
        <v>1</v>
      </c>
      <c r="G405" t="s">
        <v>544</v>
      </c>
      <c r="H405">
        <v>17</v>
      </c>
      <c r="I405" t="s">
        <v>149</v>
      </c>
      <c r="K405" t="s">
        <v>1348</v>
      </c>
      <c r="M405" t="e">
        <v>#N/A</v>
      </c>
      <c r="N405" t="e">
        <v>#N/A</v>
      </c>
      <c r="O405" t="e">
        <v>#N/A</v>
      </c>
      <c r="Q405" t="e">
        <v>#N/A</v>
      </c>
      <c r="R405" t="e">
        <v>#N/A</v>
      </c>
      <c r="S405" t="e">
        <v>#N/A</v>
      </c>
      <c r="T405" t="e">
        <v>#N/A</v>
      </c>
      <c r="U405" t="e">
        <v>#N/A</v>
      </c>
      <c r="V405" t="e">
        <v>#N/A</v>
      </c>
    </row>
    <row r="406" spans="1:22" x14ac:dyDescent="0.25">
      <c r="A406">
        <v>403</v>
      </c>
      <c r="B406">
        <v>1</v>
      </c>
      <c r="C406" t="s">
        <v>277</v>
      </c>
      <c r="D406">
        <v>1</v>
      </c>
      <c r="E406">
        <v>1</v>
      </c>
      <c r="F406">
        <v>1</v>
      </c>
      <c r="G406" t="s">
        <v>544</v>
      </c>
      <c r="H406">
        <v>17</v>
      </c>
      <c r="I406" t="s">
        <v>152</v>
      </c>
      <c r="K406" t="s">
        <v>1348</v>
      </c>
      <c r="M406" t="e">
        <v>#N/A</v>
      </c>
      <c r="N406" t="e">
        <v>#N/A</v>
      </c>
      <c r="O406" t="e">
        <v>#N/A</v>
      </c>
      <c r="Q406" t="e">
        <v>#N/A</v>
      </c>
      <c r="R406" t="e">
        <v>#N/A</v>
      </c>
      <c r="S406" t="e">
        <v>#N/A</v>
      </c>
      <c r="T406" t="e">
        <v>#N/A</v>
      </c>
      <c r="U406" t="e">
        <v>#N/A</v>
      </c>
      <c r="V406" t="e">
        <v>#N/A</v>
      </c>
    </row>
    <row r="407" spans="1:22" x14ac:dyDescent="0.25">
      <c r="A407">
        <v>404</v>
      </c>
      <c r="B407">
        <v>1</v>
      </c>
      <c r="C407" t="s">
        <v>278</v>
      </c>
      <c r="D407">
        <v>1</v>
      </c>
      <c r="E407">
        <v>1</v>
      </c>
      <c r="F407">
        <v>1</v>
      </c>
      <c r="G407" t="s">
        <v>447</v>
      </c>
      <c r="H407">
        <v>12</v>
      </c>
      <c r="I407" t="s">
        <v>279</v>
      </c>
      <c r="K407" t="s">
        <v>1348</v>
      </c>
      <c r="M407" t="e">
        <v>#N/A</v>
      </c>
      <c r="N407" t="e">
        <v>#N/A</v>
      </c>
      <c r="O407" t="e">
        <v>#N/A</v>
      </c>
      <c r="Q407" t="e">
        <v>#N/A</v>
      </c>
      <c r="R407" t="e">
        <v>#N/A</v>
      </c>
      <c r="S407" t="e">
        <v>#N/A</v>
      </c>
      <c r="T407" t="e">
        <v>#N/A</v>
      </c>
      <c r="U407" t="e">
        <v>#N/A</v>
      </c>
      <c r="V407" t="e">
        <v>#N/A</v>
      </c>
    </row>
    <row r="408" spans="1:22" x14ac:dyDescent="0.25">
      <c r="A408">
        <v>405</v>
      </c>
      <c r="B408">
        <v>1</v>
      </c>
      <c r="C408" t="s">
        <v>280</v>
      </c>
      <c r="D408">
        <v>50</v>
      </c>
      <c r="E408">
        <v>1</v>
      </c>
      <c r="F408">
        <v>1</v>
      </c>
      <c r="G408" t="s">
        <v>589</v>
      </c>
      <c r="H408">
        <v>1</v>
      </c>
      <c r="I408" t="s">
        <v>281</v>
      </c>
      <c r="K408" t="s">
        <v>1348</v>
      </c>
      <c r="M408" t="e">
        <v>#N/A</v>
      </c>
      <c r="N408" t="e">
        <v>#N/A</v>
      </c>
      <c r="O408" t="e">
        <v>#N/A</v>
      </c>
      <c r="Q408" t="e">
        <v>#N/A</v>
      </c>
      <c r="R408" t="e">
        <v>#N/A</v>
      </c>
      <c r="S408" t="e">
        <v>#N/A</v>
      </c>
      <c r="T408" t="e">
        <v>#N/A</v>
      </c>
      <c r="U408" t="e">
        <v>#N/A</v>
      </c>
      <c r="V408" t="e">
        <v>#N/A</v>
      </c>
    </row>
    <row r="409" spans="1:22" x14ac:dyDescent="0.25">
      <c r="A409">
        <v>406</v>
      </c>
      <c r="B409">
        <v>1</v>
      </c>
      <c r="C409" t="s">
        <v>282</v>
      </c>
      <c r="D409">
        <v>2</v>
      </c>
      <c r="E409">
        <v>1</v>
      </c>
      <c r="F409">
        <v>1</v>
      </c>
      <c r="G409" t="s">
        <v>447</v>
      </c>
      <c r="H409">
        <v>1</v>
      </c>
      <c r="I409" t="s">
        <v>283</v>
      </c>
      <c r="K409" t="s">
        <v>1348</v>
      </c>
      <c r="M409" t="e">
        <v>#N/A</v>
      </c>
      <c r="N409" t="e">
        <v>#N/A</v>
      </c>
      <c r="O409" t="e">
        <v>#N/A</v>
      </c>
      <c r="Q409" t="e">
        <v>#N/A</v>
      </c>
      <c r="R409" t="e">
        <v>#N/A</v>
      </c>
      <c r="S409" t="e">
        <v>#N/A</v>
      </c>
      <c r="T409" t="e">
        <v>#N/A</v>
      </c>
      <c r="U409" t="e">
        <v>#N/A</v>
      </c>
      <c r="V409" t="e">
        <v>#N/A</v>
      </c>
    </row>
    <row r="410" spans="1:22" x14ac:dyDescent="0.25">
      <c r="A410">
        <v>407</v>
      </c>
      <c r="B410">
        <v>1</v>
      </c>
      <c r="C410" t="s">
        <v>284</v>
      </c>
      <c r="D410">
        <v>3</v>
      </c>
      <c r="E410">
        <v>1</v>
      </c>
      <c r="F410">
        <v>1</v>
      </c>
      <c r="G410" t="s">
        <v>544</v>
      </c>
      <c r="H410">
        <v>1</v>
      </c>
      <c r="I410" t="s">
        <v>271</v>
      </c>
      <c r="K410" t="s">
        <v>1348</v>
      </c>
      <c r="M410" t="e">
        <v>#N/A</v>
      </c>
      <c r="N410" t="e">
        <v>#N/A</v>
      </c>
      <c r="O410" t="e">
        <v>#N/A</v>
      </c>
      <c r="Q410" t="e">
        <v>#N/A</v>
      </c>
      <c r="R410" t="e">
        <v>#N/A</v>
      </c>
      <c r="S410" t="e">
        <v>#N/A</v>
      </c>
      <c r="T410" t="e">
        <v>#N/A</v>
      </c>
      <c r="U410" t="e">
        <v>#N/A</v>
      </c>
      <c r="V410" t="e">
        <v>#N/A</v>
      </c>
    </row>
    <row r="411" spans="1:22" x14ac:dyDescent="0.25">
      <c r="A411">
        <v>408</v>
      </c>
      <c r="B411">
        <v>1</v>
      </c>
      <c r="C411" t="s">
        <v>285</v>
      </c>
      <c r="D411">
        <v>3</v>
      </c>
      <c r="E411">
        <v>1</v>
      </c>
      <c r="F411">
        <v>1</v>
      </c>
      <c r="G411" t="s">
        <v>544</v>
      </c>
      <c r="H411">
        <v>1</v>
      </c>
      <c r="I411" t="s">
        <v>271</v>
      </c>
      <c r="K411" t="s">
        <v>1348</v>
      </c>
      <c r="M411" t="e">
        <v>#N/A</v>
      </c>
      <c r="N411" t="e">
        <v>#N/A</v>
      </c>
      <c r="O411" t="e">
        <v>#N/A</v>
      </c>
      <c r="Q411" t="e">
        <v>#N/A</v>
      </c>
      <c r="R411" t="e">
        <v>#N/A</v>
      </c>
      <c r="S411" t="e">
        <v>#N/A</v>
      </c>
      <c r="T411" t="e">
        <v>#N/A</v>
      </c>
      <c r="U411" t="e">
        <v>#N/A</v>
      </c>
      <c r="V411" t="e">
        <v>#N/A</v>
      </c>
    </row>
    <row r="412" spans="1:22" x14ac:dyDescent="0.25">
      <c r="A412">
        <v>409</v>
      </c>
      <c r="B412">
        <v>1</v>
      </c>
      <c r="C412" t="s">
        <v>286</v>
      </c>
      <c r="D412">
        <v>40</v>
      </c>
      <c r="E412">
        <v>1</v>
      </c>
      <c r="F412">
        <v>1</v>
      </c>
      <c r="G412" t="s">
        <v>589</v>
      </c>
      <c r="H412">
        <v>1</v>
      </c>
      <c r="I412" t="s">
        <v>273</v>
      </c>
      <c r="K412" t="s">
        <v>1348</v>
      </c>
      <c r="M412" t="e">
        <v>#N/A</v>
      </c>
      <c r="N412" t="e">
        <v>#N/A</v>
      </c>
      <c r="O412" t="e">
        <v>#N/A</v>
      </c>
      <c r="Q412" t="e">
        <v>#N/A</v>
      </c>
      <c r="R412" t="e">
        <v>#N/A</v>
      </c>
      <c r="S412" t="e">
        <v>#N/A</v>
      </c>
      <c r="T412" t="e">
        <v>#N/A</v>
      </c>
      <c r="U412" t="e">
        <v>#N/A</v>
      </c>
      <c r="V412" t="e">
        <v>#N/A</v>
      </c>
    </row>
    <row r="413" spans="1:22" x14ac:dyDescent="0.25">
      <c r="A413">
        <v>410</v>
      </c>
      <c r="B413">
        <v>1</v>
      </c>
      <c r="C413" t="s">
        <v>287</v>
      </c>
      <c r="D413">
        <v>40</v>
      </c>
      <c r="E413">
        <v>1</v>
      </c>
      <c r="F413">
        <v>1</v>
      </c>
      <c r="G413" t="s">
        <v>589</v>
      </c>
      <c r="H413">
        <v>1</v>
      </c>
      <c r="I413" t="s">
        <v>273</v>
      </c>
      <c r="K413" t="s">
        <v>1348</v>
      </c>
      <c r="M413" t="e">
        <v>#N/A</v>
      </c>
      <c r="N413" t="e">
        <v>#N/A</v>
      </c>
      <c r="O413" t="e">
        <v>#N/A</v>
      </c>
      <c r="Q413" t="e">
        <v>#N/A</v>
      </c>
      <c r="R413" t="e">
        <v>#N/A</v>
      </c>
      <c r="S413" t="e">
        <v>#N/A</v>
      </c>
      <c r="T413" t="e">
        <v>#N/A</v>
      </c>
      <c r="U413" t="e">
        <v>#N/A</v>
      </c>
      <c r="V413" t="e">
        <v>#N/A</v>
      </c>
    </row>
    <row r="414" spans="1:22" x14ac:dyDescent="0.25">
      <c r="A414">
        <v>411</v>
      </c>
      <c r="M414" t="e">
        <v>#N/A</v>
      </c>
      <c r="N414" t="e">
        <v>#N/A</v>
      </c>
      <c r="O414" t="e">
        <v>#N/A</v>
      </c>
      <c r="Q414" t="e">
        <v>#N/A</v>
      </c>
      <c r="R414" t="e">
        <v>#N/A</v>
      </c>
      <c r="S414" t="e">
        <v>#N/A</v>
      </c>
      <c r="T414" t="e">
        <v>#N/A</v>
      </c>
      <c r="U414" t="e">
        <v>#N/A</v>
      </c>
      <c r="V414" t="e">
        <v>#N/A</v>
      </c>
    </row>
    <row r="415" spans="1:22" x14ac:dyDescent="0.25">
      <c r="A415">
        <v>412</v>
      </c>
      <c r="C415" t="s">
        <v>5</v>
      </c>
      <c r="D415" t="s">
        <v>6</v>
      </c>
      <c r="E415" t="s">
        <v>6</v>
      </c>
      <c r="F415" t="s">
        <v>7</v>
      </c>
      <c r="G415" t="s">
        <v>288</v>
      </c>
      <c r="H415" t="s">
        <v>289</v>
      </c>
      <c r="I415" t="s">
        <v>23</v>
      </c>
      <c r="K415" t="s">
        <v>447</v>
      </c>
      <c r="M415" t="e">
        <v>#N/A</v>
      </c>
      <c r="N415" t="e">
        <v>#N/A</v>
      </c>
      <c r="O415" t="e">
        <v>#N/A</v>
      </c>
      <c r="Q415" t="e">
        <v>#N/A</v>
      </c>
      <c r="R415" t="e">
        <v>#N/A</v>
      </c>
      <c r="S415" t="e">
        <v>#N/A</v>
      </c>
      <c r="T415" t="e">
        <v>#N/A</v>
      </c>
      <c r="U415" t="e">
        <v>#N/A</v>
      </c>
      <c r="V415" t="e">
        <v>#N/A</v>
      </c>
    </row>
    <row r="416" spans="1:22" x14ac:dyDescent="0.25">
      <c r="A416">
        <v>413</v>
      </c>
      <c r="B416">
        <v>2</v>
      </c>
      <c r="C416" t="s">
        <v>793</v>
      </c>
      <c r="D416">
        <v>2</v>
      </c>
      <c r="E416">
        <v>2</v>
      </c>
      <c r="F416">
        <v>1</v>
      </c>
      <c r="G416" t="s">
        <v>447</v>
      </c>
      <c r="H416">
        <v>2</v>
      </c>
      <c r="I416" t="s">
        <v>794</v>
      </c>
      <c r="K416" t="s">
        <v>1348</v>
      </c>
      <c r="M416" t="s">
        <v>793</v>
      </c>
      <c r="N416" t="s">
        <v>445</v>
      </c>
      <c r="O416" t="s">
        <v>1342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</row>
    <row r="417" spans="1:22" x14ac:dyDescent="0.25">
      <c r="A417">
        <v>414</v>
      </c>
      <c r="B417">
        <v>2</v>
      </c>
      <c r="C417" t="s">
        <v>795</v>
      </c>
      <c r="D417">
        <v>2</v>
      </c>
      <c r="E417">
        <v>2</v>
      </c>
      <c r="F417">
        <v>1</v>
      </c>
      <c r="G417" t="s">
        <v>447</v>
      </c>
      <c r="H417">
        <v>2</v>
      </c>
      <c r="I417" t="s">
        <v>796</v>
      </c>
      <c r="K417" t="s">
        <v>1348</v>
      </c>
      <c r="M417" t="s">
        <v>795</v>
      </c>
      <c r="N417" t="s">
        <v>445</v>
      </c>
      <c r="O417" t="s">
        <v>1342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</row>
    <row r="418" spans="1:22" x14ac:dyDescent="0.25">
      <c r="A418">
        <v>415</v>
      </c>
      <c r="B418">
        <v>2</v>
      </c>
      <c r="C418" t="s">
        <v>797</v>
      </c>
      <c r="D418">
        <v>2</v>
      </c>
      <c r="E418">
        <v>2</v>
      </c>
      <c r="F418">
        <v>1</v>
      </c>
      <c r="G418" t="s">
        <v>447</v>
      </c>
      <c r="H418">
        <v>2</v>
      </c>
      <c r="I418" t="s">
        <v>798</v>
      </c>
      <c r="K418" t="s">
        <v>1348</v>
      </c>
      <c r="M418" t="s">
        <v>797</v>
      </c>
      <c r="N418" t="s">
        <v>445</v>
      </c>
      <c r="O418" t="s">
        <v>1342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</row>
    <row r="419" spans="1:22" x14ac:dyDescent="0.25">
      <c r="A419">
        <v>416</v>
      </c>
      <c r="B419">
        <v>2</v>
      </c>
      <c r="C419" t="s">
        <v>799</v>
      </c>
      <c r="D419">
        <v>2</v>
      </c>
      <c r="E419">
        <v>2</v>
      </c>
      <c r="F419">
        <v>1</v>
      </c>
      <c r="G419" t="s">
        <v>447</v>
      </c>
      <c r="H419">
        <v>2</v>
      </c>
      <c r="I419" t="s">
        <v>800</v>
      </c>
      <c r="K419" t="s">
        <v>1348</v>
      </c>
      <c r="M419" t="s">
        <v>799</v>
      </c>
      <c r="N419" t="s">
        <v>445</v>
      </c>
      <c r="O419" t="s">
        <v>1342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</row>
    <row r="420" spans="1:22" x14ac:dyDescent="0.25">
      <c r="A420">
        <v>417</v>
      </c>
      <c r="B420">
        <v>2</v>
      </c>
      <c r="C420" t="s">
        <v>801</v>
      </c>
      <c r="D420">
        <v>2</v>
      </c>
      <c r="E420">
        <v>2</v>
      </c>
      <c r="F420">
        <v>2</v>
      </c>
      <c r="G420" t="s">
        <v>447</v>
      </c>
      <c r="H420">
        <v>2</v>
      </c>
      <c r="I420" t="s">
        <v>802</v>
      </c>
      <c r="K420" t="s">
        <v>1348</v>
      </c>
      <c r="M420" t="s">
        <v>801</v>
      </c>
      <c r="N420" t="s">
        <v>1247</v>
      </c>
      <c r="O420" t="s">
        <v>1342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</row>
    <row r="421" spans="1:22" x14ac:dyDescent="0.25">
      <c r="A421">
        <v>418</v>
      </c>
      <c r="B421">
        <v>2</v>
      </c>
      <c r="C421" t="s">
        <v>886</v>
      </c>
      <c r="D421">
        <v>2</v>
      </c>
      <c r="E421">
        <v>2</v>
      </c>
      <c r="F421">
        <v>1</v>
      </c>
      <c r="G421" t="s">
        <v>447</v>
      </c>
      <c r="H421">
        <v>3</v>
      </c>
      <c r="I421" t="s">
        <v>887</v>
      </c>
      <c r="K421" t="s">
        <v>1348</v>
      </c>
      <c r="M421" t="s">
        <v>886</v>
      </c>
      <c r="N421" t="s">
        <v>445</v>
      </c>
      <c r="O421" t="s">
        <v>1342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</row>
    <row r="422" spans="1:22" x14ac:dyDescent="0.25">
      <c r="A422">
        <v>419</v>
      </c>
      <c r="B422">
        <v>2</v>
      </c>
      <c r="C422" t="s">
        <v>962</v>
      </c>
      <c r="D422">
        <v>2</v>
      </c>
      <c r="E422">
        <v>2</v>
      </c>
      <c r="F422">
        <v>1</v>
      </c>
      <c r="G422" t="s">
        <v>544</v>
      </c>
      <c r="H422">
        <v>3</v>
      </c>
      <c r="I422" t="s">
        <v>963</v>
      </c>
      <c r="K422" t="s">
        <v>1348</v>
      </c>
      <c r="M422" t="s">
        <v>962</v>
      </c>
      <c r="N422" t="s">
        <v>445</v>
      </c>
      <c r="O422" t="s">
        <v>1342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</row>
    <row r="423" spans="1:22" x14ac:dyDescent="0.25">
      <c r="A423">
        <v>420</v>
      </c>
      <c r="B423">
        <v>2</v>
      </c>
      <c r="C423" t="s">
        <v>968</v>
      </c>
      <c r="D423">
        <v>1</v>
      </c>
      <c r="E423">
        <v>1</v>
      </c>
      <c r="F423">
        <v>1</v>
      </c>
      <c r="G423" t="s">
        <v>544</v>
      </c>
      <c r="H423">
        <v>4</v>
      </c>
      <c r="I423" t="s">
        <v>969</v>
      </c>
      <c r="K423" t="s">
        <v>1348</v>
      </c>
      <c r="M423" t="s">
        <v>968</v>
      </c>
      <c r="N423" t="s">
        <v>1247</v>
      </c>
      <c r="O423" t="s">
        <v>1342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</row>
    <row r="424" spans="1:22" x14ac:dyDescent="0.25">
      <c r="A424">
        <v>421</v>
      </c>
      <c r="B424">
        <v>2</v>
      </c>
      <c r="C424" t="s">
        <v>972</v>
      </c>
      <c r="D424">
        <v>1</v>
      </c>
      <c r="E424">
        <v>1</v>
      </c>
      <c r="F424">
        <v>1</v>
      </c>
      <c r="G424" t="s">
        <v>544</v>
      </c>
      <c r="H424">
        <v>4</v>
      </c>
      <c r="I424" t="s">
        <v>973</v>
      </c>
      <c r="K424" t="s">
        <v>1348</v>
      </c>
      <c r="M424" t="s">
        <v>972</v>
      </c>
      <c r="N424" t="s">
        <v>1247</v>
      </c>
      <c r="O424" t="s">
        <v>1342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</row>
    <row r="425" spans="1:22" x14ac:dyDescent="0.25">
      <c r="A425">
        <v>422</v>
      </c>
      <c r="B425">
        <v>2</v>
      </c>
      <c r="C425" t="s">
        <v>803</v>
      </c>
      <c r="D425">
        <v>2</v>
      </c>
      <c r="E425">
        <v>2</v>
      </c>
      <c r="F425">
        <v>1</v>
      </c>
      <c r="G425" t="s">
        <v>447</v>
      </c>
      <c r="H425">
        <v>2</v>
      </c>
      <c r="I425" t="s">
        <v>804</v>
      </c>
      <c r="K425" t="s">
        <v>1348</v>
      </c>
      <c r="M425" t="s">
        <v>803</v>
      </c>
      <c r="N425" t="s">
        <v>445</v>
      </c>
      <c r="O425" t="s">
        <v>1247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</row>
    <row r="426" spans="1:22" x14ac:dyDescent="0.25">
      <c r="A426">
        <v>423</v>
      </c>
      <c r="B426">
        <v>2</v>
      </c>
      <c r="C426" t="s">
        <v>805</v>
      </c>
      <c r="D426">
        <v>2</v>
      </c>
      <c r="E426">
        <v>2</v>
      </c>
      <c r="F426">
        <v>1</v>
      </c>
      <c r="G426" t="s">
        <v>447</v>
      </c>
      <c r="H426">
        <v>2</v>
      </c>
      <c r="I426" t="s">
        <v>806</v>
      </c>
      <c r="K426" t="s">
        <v>1348</v>
      </c>
      <c r="M426" t="s">
        <v>805</v>
      </c>
      <c r="N426" t="s">
        <v>445</v>
      </c>
      <c r="O426" t="s">
        <v>1247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</row>
    <row r="427" spans="1:22" x14ac:dyDescent="0.25">
      <c r="A427">
        <v>424</v>
      </c>
      <c r="B427">
        <v>2</v>
      </c>
      <c r="C427" t="s">
        <v>807</v>
      </c>
      <c r="D427">
        <v>2</v>
      </c>
      <c r="E427">
        <v>2</v>
      </c>
      <c r="F427">
        <v>1</v>
      </c>
      <c r="G427" t="s">
        <v>447</v>
      </c>
      <c r="H427">
        <v>2</v>
      </c>
      <c r="I427" t="s">
        <v>808</v>
      </c>
      <c r="K427" t="s">
        <v>1348</v>
      </c>
      <c r="M427" t="s">
        <v>807</v>
      </c>
      <c r="N427" t="s">
        <v>445</v>
      </c>
      <c r="O427" t="s">
        <v>1342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</row>
    <row r="428" spans="1:22" x14ac:dyDescent="0.25">
      <c r="A428">
        <v>425</v>
      </c>
      <c r="B428">
        <v>2</v>
      </c>
      <c r="C428" t="s">
        <v>809</v>
      </c>
      <c r="D428">
        <v>2</v>
      </c>
      <c r="E428">
        <v>2</v>
      </c>
      <c r="F428">
        <v>1</v>
      </c>
      <c r="G428" t="s">
        <v>447</v>
      </c>
      <c r="H428">
        <v>2</v>
      </c>
      <c r="I428" t="s">
        <v>810</v>
      </c>
      <c r="K428" t="s">
        <v>1348</v>
      </c>
      <c r="M428" t="s">
        <v>809</v>
      </c>
      <c r="N428" t="s">
        <v>445</v>
      </c>
      <c r="O428" t="s">
        <v>1342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</row>
    <row r="429" spans="1:22" x14ac:dyDescent="0.25">
      <c r="A429">
        <v>426</v>
      </c>
      <c r="B429">
        <v>2</v>
      </c>
      <c r="C429" t="s">
        <v>290</v>
      </c>
      <c r="D429">
        <v>2</v>
      </c>
      <c r="E429">
        <v>1</v>
      </c>
      <c r="F429">
        <v>1</v>
      </c>
      <c r="G429" t="s">
        <v>447</v>
      </c>
      <c r="H429">
        <v>2</v>
      </c>
      <c r="I429" t="s">
        <v>291</v>
      </c>
      <c r="K429" t="s">
        <v>1348</v>
      </c>
      <c r="M429" t="e">
        <v>#N/A</v>
      </c>
      <c r="N429" t="e">
        <v>#N/A</v>
      </c>
      <c r="O429" t="e">
        <v>#N/A</v>
      </c>
      <c r="Q429" t="e">
        <v>#N/A</v>
      </c>
      <c r="R429" t="e">
        <v>#N/A</v>
      </c>
      <c r="S429" t="e">
        <v>#N/A</v>
      </c>
      <c r="T429" t="e">
        <v>#N/A</v>
      </c>
      <c r="U429" t="e">
        <v>#N/A</v>
      </c>
      <c r="V429" t="e">
        <v>#N/A</v>
      </c>
    </row>
    <row r="430" spans="1:22" x14ac:dyDescent="0.25">
      <c r="A430">
        <v>427</v>
      </c>
      <c r="B430">
        <v>2</v>
      </c>
      <c r="C430" t="s">
        <v>813</v>
      </c>
      <c r="D430">
        <v>2</v>
      </c>
      <c r="E430">
        <v>1</v>
      </c>
      <c r="F430">
        <v>1</v>
      </c>
      <c r="G430" t="s">
        <v>447</v>
      </c>
      <c r="H430">
        <v>2</v>
      </c>
      <c r="I430" t="s">
        <v>814</v>
      </c>
      <c r="K430" t="s">
        <v>1348</v>
      </c>
      <c r="M430" t="s">
        <v>813</v>
      </c>
      <c r="N430" t="s">
        <v>445</v>
      </c>
      <c r="O430" t="s">
        <v>1342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</row>
    <row r="431" spans="1:22" x14ac:dyDescent="0.25">
      <c r="A431">
        <v>428</v>
      </c>
      <c r="B431">
        <v>2</v>
      </c>
      <c r="C431" t="s">
        <v>815</v>
      </c>
      <c r="D431">
        <v>2</v>
      </c>
      <c r="E431">
        <v>1</v>
      </c>
      <c r="F431">
        <v>1</v>
      </c>
      <c r="G431" t="s">
        <v>447</v>
      </c>
      <c r="H431">
        <v>2</v>
      </c>
      <c r="I431" t="s">
        <v>816</v>
      </c>
      <c r="K431" t="s">
        <v>1348</v>
      </c>
      <c r="M431" t="s">
        <v>815</v>
      </c>
      <c r="N431" t="s">
        <v>445</v>
      </c>
      <c r="O431" t="s">
        <v>1342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</row>
    <row r="432" spans="1:22" x14ac:dyDescent="0.25">
      <c r="A432">
        <v>429</v>
      </c>
      <c r="B432">
        <v>2</v>
      </c>
      <c r="C432" t="s">
        <v>292</v>
      </c>
      <c r="D432">
        <v>2</v>
      </c>
      <c r="E432">
        <v>4</v>
      </c>
      <c r="F432">
        <v>6</v>
      </c>
      <c r="G432" t="s">
        <v>447</v>
      </c>
      <c r="H432">
        <v>2</v>
      </c>
      <c r="I432" t="s">
        <v>293</v>
      </c>
      <c r="K432" t="s">
        <v>1348</v>
      </c>
      <c r="M432" t="e">
        <v>#N/A</v>
      </c>
      <c r="N432" t="e">
        <v>#N/A</v>
      </c>
      <c r="O432" t="e">
        <v>#N/A</v>
      </c>
      <c r="Q432" t="e">
        <v>#N/A</v>
      </c>
      <c r="R432" t="e">
        <v>#N/A</v>
      </c>
      <c r="S432" t="e">
        <v>#N/A</v>
      </c>
      <c r="T432" t="e">
        <v>#N/A</v>
      </c>
      <c r="U432" t="e">
        <v>#N/A</v>
      </c>
      <c r="V432" t="e">
        <v>#N/A</v>
      </c>
    </row>
    <row r="433" spans="1:22" x14ac:dyDescent="0.25">
      <c r="A433">
        <v>430</v>
      </c>
      <c r="B433">
        <v>2</v>
      </c>
      <c r="C433" t="s">
        <v>294</v>
      </c>
      <c r="D433">
        <v>2</v>
      </c>
      <c r="E433">
        <v>1</v>
      </c>
      <c r="F433">
        <v>1</v>
      </c>
      <c r="G433" t="s">
        <v>447</v>
      </c>
      <c r="H433">
        <v>2</v>
      </c>
      <c r="I433" t="s">
        <v>295</v>
      </c>
      <c r="K433" t="s">
        <v>1348</v>
      </c>
      <c r="M433" t="e">
        <v>#N/A</v>
      </c>
      <c r="N433" t="e">
        <v>#N/A</v>
      </c>
      <c r="O433" t="e">
        <v>#N/A</v>
      </c>
      <c r="Q433" t="e">
        <v>#N/A</v>
      </c>
      <c r="R433" t="e">
        <v>#N/A</v>
      </c>
      <c r="S433" t="e">
        <v>#N/A</v>
      </c>
      <c r="T433" t="e">
        <v>#N/A</v>
      </c>
      <c r="U433" t="e">
        <v>#N/A</v>
      </c>
      <c r="V433" t="e">
        <v>#N/A</v>
      </c>
    </row>
    <row r="434" spans="1:22" x14ac:dyDescent="0.25">
      <c r="A434">
        <v>431</v>
      </c>
      <c r="B434">
        <v>2</v>
      </c>
      <c r="C434" t="s">
        <v>296</v>
      </c>
      <c r="D434">
        <v>2</v>
      </c>
      <c r="E434">
        <v>1</v>
      </c>
      <c r="F434">
        <v>1</v>
      </c>
      <c r="G434" t="s">
        <v>447</v>
      </c>
      <c r="H434">
        <v>2</v>
      </c>
      <c r="I434" t="s">
        <v>297</v>
      </c>
      <c r="K434" t="s">
        <v>1348</v>
      </c>
      <c r="M434" t="e">
        <v>#N/A</v>
      </c>
      <c r="N434" t="e">
        <v>#N/A</v>
      </c>
      <c r="O434" t="e">
        <v>#N/A</v>
      </c>
      <c r="Q434" t="e">
        <v>#N/A</v>
      </c>
      <c r="R434" t="e">
        <v>#N/A</v>
      </c>
      <c r="S434" t="e">
        <v>#N/A</v>
      </c>
      <c r="T434" t="e">
        <v>#N/A</v>
      </c>
      <c r="U434" t="e">
        <v>#N/A</v>
      </c>
      <c r="V434" t="e">
        <v>#N/A</v>
      </c>
    </row>
    <row r="435" spans="1:22" x14ac:dyDescent="0.25">
      <c r="A435">
        <v>432</v>
      </c>
      <c r="B435">
        <v>2</v>
      </c>
      <c r="C435" t="s">
        <v>298</v>
      </c>
      <c r="D435">
        <v>2</v>
      </c>
      <c r="E435">
        <v>1</v>
      </c>
      <c r="F435">
        <v>1</v>
      </c>
      <c r="G435" t="s">
        <v>447</v>
      </c>
      <c r="H435">
        <v>2</v>
      </c>
      <c r="I435" t="s">
        <v>299</v>
      </c>
      <c r="K435" t="s">
        <v>1348</v>
      </c>
      <c r="M435" t="e">
        <v>#N/A</v>
      </c>
      <c r="N435" t="e">
        <v>#N/A</v>
      </c>
      <c r="O435" t="e">
        <v>#N/A</v>
      </c>
      <c r="Q435" t="e">
        <v>#N/A</v>
      </c>
      <c r="R435" t="e">
        <v>#N/A</v>
      </c>
      <c r="S435" t="e">
        <v>#N/A</v>
      </c>
      <c r="T435" t="e">
        <v>#N/A</v>
      </c>
      <c r="U435" t="e">
        <v>#N/A</v>
      </c>
      <c r="V435" t="e">
        <v>#N/A</v>
      </c>
    </row>
    <row r="436" spans="1:22" x14ac:dyDescent="0.25">
      <c r="A436">
        <v>433</v>
      </c>
      <c r="B436">
        <v>2</v>
      </c>
      <c r="C436" t="s">
        <v>817</v>
      </c>
      <c r="D436">
        <v>2</v>
      </c>
      <c r="E436">
        <v>1</v>
      </c>
      <c r="F436">
        <v>1</v>
      </c>
      <c r="G436" t="s">
        <v>447</v>
      </c>
      <c r="H436">
        <v>2</v>
      </c>
      <c r="I436" t="s">
        <v>818</v>
      </c>
      <c r="K436" t="s">
        <v>1348</v>
      </c>
      <c r="M436" t="s">
        <v>817</v>
      </c>
      <c r="N436" t="s">
        <v>445</v>
      </c>
      <c r="O436" t="s">
        <v>1342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</row>
    <row r="437" spans="1:22" x14ac:dyDescent="0.25">
      <c r="A437">
        <v>434</v>
      </c>
      <c r="B437">
        <v>2</v>
      </c>
      <c r="C437" t="s">
        <v>819</v>
      </c>
      <c r="D437">
        <v>2</v>
      </c>
      <c r="E437">
        <v>2</v>
      </c>
      <c r="F437">
        <v>1</v>
      </c>
      <c r="G437" t="s">
        <v>447</v>
      </c>
      <c r="H437">
        <v>2</v>
      </c>
      <c r="I437" t="s">
        <v>820</v>
      </c>
      <c r="K437" t="s">
        <v>1348</v>
      </c>
      <c r="M437" t="s">
        <v>819</v>
      </c>
      <c r="N437" t="s">
        <v>445</v>
      </c>
      <c r="O437" t="s">
        <v>1342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</row>
    <row r="438" spans="1:22" x14ac:dyDescent="0.25">
      <c r="A438">
        <v>435</v>
      </c>
      <c r="B438">
        <v>2</v>
      </c>
      <c r="C438" t="s">
        <v>821</v>
      </c>
      <c r="D438">
        <v>2</v>
      </c>
      <c r="E438">
        <v>1</v>
      </c>
      <c r="F438">
        <v>1</v>
      </c>
      <c r="G438" t="s">
        <v>447</v>
      </c>
      <c r="H438">
        <v>2</v>
      </c>
      <c r="I438" t="s">
        <v>822</v>
      </c>
      <c r="K438" t="s">
        <v>1348</v>
      </c>
      <c r="M438" t="s">
        <v>821</v>
      </c>
      <c r="N438" t="s">
        <v>445</v>
      </c>
      <c r="O438" t="s">
        <v>1342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</row>
    <row r="439" spans="1:22" x14ac:dyDescent="0.25">
      <c r="A439">
        <v>436</v>
      </c>
      <c r="B439">
        <v>2</v>
      </c>
      <c r="C439" t="s">
        <v>1227</v>
      </c>
      <c r="D439">
        <v>2</v>
      </c>
      <c r="E439">
        <v>2</v>
      </c>
      <c r="F439">
        <v>1</v>
      </c>
      <c r="G439" t="s">
        <v>447</v>
      </c>
      <c r="H439">
        <v>2</v>
      </c>
      <c r="I439" t="s">
        <v>300</v>
      </c>
      <c r="K439" t="s">
        <v>1348</v>
      </c>
      <c r="M439" t="e">
        <v>#N/A</v>
      </c>
      <c r="N439" t="e">
        <v>#N/A</v>
      </c>
      <c r="O439" t="e">
        <v>#N/A</v>
      </c>
      <c r="Q439" t="e">
        <v>#N/A</v>
      </c>
      <c r="R439" t="e">
        <v>#N/A</v>
      </c>
      <c r="S439" t="e">
        <v>#N/A</v>
      </c>
      <c r="T439" t="e">
        <v>#N/A</v>
      </c>
      <c r="U439" t="e">
        <v>#N/A</v>
      </c>
      <c r="V439" t="e">
        <v>#N/A</v>
      </c>
    </row>
    <row r="440" spans="1:22" x14ac:dyDescent="0.25">
      <c r="A440">
        <v>437</v>
      </c>
      <c r="B440">
        <v>2</v>
      </c>
      <c r="C440" t="s">
        <v>823</v>
      </c>
      <c r="D440">
        <v>2</v>
      </c>
      <c r="E440">
        <v>2</v>
      </c>
      <c r="F440">
        <v>1</v>
      </c>
      <c r="G440" t="s">
        <v>447</v>
      </c>
      <c r="H440">
        <v>2</v>
      </c>
      <c r="I440" t="s">
        <v>824</v>
      </c>
      <c r="K440" t="s">
        <v>1348</v>
      </c>
      <c r="M440" t="s">
        <v>823</v>
      </c>
      <c r="N440" t="s">
        <v>1247</v>
      </c>
      <c r="O440" t="s">
        <v>1342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</row>
    <row r="441" spans="1:22" x14ac:dyDescent="0.25">
      <c r="A441">
        <v>438</v>
      </c>
      <c r="B441">
        <v>2</v>
      </c>
      <c r="C441" t="s">
        <v>825</v>
      </c>
      <c r="D441">
        <v>2</v>
      </c>
      <c r="E441">
        <v>1</v>
      </c>
      <c r="F441">
        <v>1</v>
      </c>
      <c r="G441" t="s">
        <v>447</v>
      </c>
      <c r="H441">
        <v>2</v>
      </c>
      <c r="I441" t="s">
        <v>301</v>
      </c>
      <c r="K441" t="s">
        <v>1348</v>
      </c>
      <c r="M441" t="s">
        <v>825</v>
      </c>
      <c r="N441" t="s">
        <v>445</v>
      </c>
      <c r="O441" t="s">
        <v>1342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</row>
    <row r="442" spans="1:22" x14ac:dyDescent="0.25">
      <c r="A442">
        <v>439</v>
      </c>
      <c r="B442">
        <v>2</v>
      </c>
      <c r="C442" t="s">
        <v>302</v>
      </c>
      <c r="D442">
        <v>5</v>
      </c>
      <c r="E442">
        <v>2</v>
      </c>
      <c r="F442">
        <v>1</v>
      </c>
      <c r="G442" t="s">
        <v>447</v>
      </c>
      <c r="H442">
        <v>2</v>
      </c>
      <c r="I442" t="s">
        <v>303</v>
      </c>
      <c r="K442" t="s">
        <v>1348</v>
      </c>
      <c r="M442" t="e">
        <v>#N/A</v>
      </c>
      <c r="N442" t="e">
        <v>#N/A</v>
      </c>
      <c r="O442" t="e">
        <v>#N/A</v>
      </c>
      <c r="Q442" t="e">
        <v>#N/A</v>
      </c>
      <c r="R442" t="e">
        <v>#N/A</v>
      </c>
      <c r="S442" t="e">
        <v>#N/A</v>
      </c>
      <c r="T442" t="e">
        <v>#N/A</v>
      </c>
      <c r="U442" t="e">
        <v>#N/A</v>
      </c>
      <c r="V442" t="e">
        <v>#N/A</v>
      </c>
    </row>
    <row r="443" spans="1:22" x14ac:dyDescent="0.25">
      <c r="A443">
        <v>440</v>
      </c>
      <c r="B443">
        <v>2</v>
      </c>
      <c r="C443" t="s">
        <v>304</v>
      </c>
      <c r="D443">
        <v>2</v>
      </c>
      <c r="E443">
        <v>2</v>
      </c>
      <c r="F443">
        <v>1</v>
      </c>
      <c r="G443" t="s">
        <v>447</v>
      </c>
      <c r="H443">
        <v>2</v>
      </c>
      <c r="I443" t="s">
        <v>305</v>
      </c>
      <c r="K443" t="s">
        <v>1348</v>
      </c>
      <c r="M443" t="e">
        <v>#N/A</v>
      </c>
      <c r="N443" t="e">
        <v>#N/A</v>
      </c>
      <c r="O443" t="e">
        <v>#N/A</v>
      </c>
      <c r="Q443" t="e">
        <v>#N/A</v>
      </c>
      <c r="R443" t="e">
        <v>#N/A</v>
      </c>
      <c r="S443" t="e">
        <v>#N/A</v>
      </c>
      <c r="T443" t="e">
        <v>#N/A</v>
      </c>
      <c r="U443" t="e">
        <v>#N/A</v>
      </c>
      <c r="V443" t="e">
        <v>#N/A</v>
      </c>
    </row>
    <row r="444" spans="1:22" x14ac:dyDescent="0.25">
      <c r="A444">
        <v>441</v>
      </c>
      <c r="B444">
        <v>2</v>
      </c>
      <c r="C444" t="s">
        <v>306</v>
      </c>
      <c r="D444">
        <v>2</v>
      </c>
      <c r="E444">
        <v>1</v>
      </c>
      <c r="F444">
        <v>1</v>
      </c>
      <c r="G444" t="s">
        <v>447</v>
      </c>
      <c r="H444">
        <v>2</v>
      </c>
      <c r="I444" t="s">
        <v>307</v>
      </c>
      <c r="K444" t="s">
        <v>1348</v>
      </c>
      <c r="M444" t="e">
        <v>#N/A</v>
      </c>
      <c r="N444" t="e">
        <v>#N/A</v>
      </c>
      <c r="O444" t="e">
        <v>#N/A</v>
      </c>
      <c r="Q444" t="e">
        <v>#N/A</v>
      </c>
      <c r="R444" t="e">
        <v>#N/A</v>
      </c>
      <c r="S444" t="e">
        <v>#N/A</v>
      </c>
      <c r="T444" t="e">
        <v>#N/A</v>
      </c>
      <c r="U444" t="e">
        <v>#N/A</v>
      </c>
      <c r="V444" t="e">
        <v>#N/A</v>
      </c>
    </row>
    <row r="445" spans="1:22" x14ac:dyDescent="0.25">
      <c r="A445">
        <v>442</v>
      </c>
      <c r="B445">
        <v>2</v>
      </c>
      <c r="C445" t="s">
        <v>827</v>
      </c>
      <c r="D445">
        <v>2</v>
      </c>
      <c r="E445">
        <v>1</v>
      </c>
      <c r="F445">
        <v>1</v>
      </c>
      <c r="G445" t="s">
        <v>447</v>
      </c>
      <c r="H445">
        <v>2</v>
      </c>
      <c r="I445" t="s">
        <v>828</v>
      </c>
      <c r="K445" t="s">
        <v>1348</v>
      </c>
      <c r="M445" t="s">
        <v>827</v>
      </c>
      <c r="N445" t="s">
        <v>445</v>
      </c>
      <c r="O445" t="s">
        <v>1342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</row>
    <row r="446" spans="1:22" x14ac:dyDescent="0.25">
      <c r="A446">
        <v>443</v>
      </c>
      <c r="B446">
        <v>2</v>
      </c>
      <c r="C446" t="s">
        <v>829</v>
      </c>
      <c r="D446">
        <v>3</v>
      </c>
      <c r="E446">
        <v>2</v>
      </c>
      <c r="F446">
        <v>2</v>
      </c>
      <c r="G446" t="s">
        <v>447</v>
      </c>
      <c r="H446">
        <v>2</v>
      </c>
      <c r="I446" t="s">
        <v>830</v>
      </c>
      <c r="K446" t="s">
        <v>1348</v>
      </c>
      <c r="M446" t="s">
        <v>829</v>
      </c>
      <c r="N446" t="s">
        <v>445</v>
      </c>
      <c r="O446" t="s">
        <v>1342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</row>
    <row r="447" spans="1:22" x14ac:dyDescent="0.25">
      <c r="A447">
        <v>444</v>
      </c>
      <c r="B447">
        <v>2</v>
      </c>
      <c r="C447" t="s">
        <v>831</v>
      </c>
      <c r="D447">
        <v>2</v>
      </c>
      <c r="E447">
        <v>2</v>
      </c>
      <c r="F447">
        <v>1</v>
      </c>
      <c r="G447" t="s">
        <v>447</v>
      </c>
      <c r="H447">
        <v>2</v>
      </c>
      <c r="I447" t="s">
        <v>832</v>
      </c>
      <c r="K447" t="s">
        <v>1348</v>
      </c>
      <c r="M447" t="s">
        <v>831</v>
      </c>
      <c r="N447" t="s">
        <v>445</v>
      </c>
      <c r="O447" t="s">
        <v>1342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</row>
    <row r="448" spans="1:22" x14ac:dyDescent="0.25">
      <c r="A448">
        <v>445</v>
      </c>
      <c r="B448">
        <v>2</v>
      </c>
      <c r="C448" t="s">
        <v>833</v>
      </c>
      <c r="D448">
        <v>2</v>
      </c>
      <c r="E448">
        <v>2</v>
      </c>
      <c r="F448">
        <v>1</v>
      </c>
      <c r="G448" t="s">
        <v>447</v>
      </c>
      <c r="H448">
        <v>2</v>
      </c>
      <c r="I448" t="s">
        <v>834</v>
      </c>
      <c r="K448" t="s">
        <v>1348</v>
      </c>
      <c r="M448" t="s">
        <v>833</v>
      </c>
      <c r="N448" t="s">
        <v>445</v>
      </c>
      <c r="O448" t="s">
        <v>1342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</row>
    <row r="449" spans="1:22" x14ac:dyDescent="0.25">
      <c r="A449">
        <v>446</v>
      </c>
      <c r="B449">
        <v>2</v>
      </c>
      <c r="C449" t="s">
        <v>835</v>
      </c>
      <c r="D449">
        <v>2</v>
      </c>
      <c r="E449">
        <v>1</v>
      </c>
      <c r="F449">
        <v>1</v>
      </c>
      <c r="G449" t="s">
        <v>447</v>
      </c>
      <c r="H449">
        <v>2</v>
      </c>
      <c r="I449" t="s">
        <v>836</v>
      </c>
      <c r="K449" t="s">
        <v>1348</v>
      </c>
      <c r="M449" t="s">
        <v>835</v>
      </c>
      <c r="N449" t="s">
        <v>445</v>
      </c>
      <c r="O449" t="s">
        <v>1342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</row>
    <row r="450" spans="1:22" x14ac:dyDescent="0.25">
      <c r="A450">
        <v>447</v>
      </c>
      <c r="B450">
        <v>2</v>
      </c>
      <c r="C450" t="s">
        <v>837</v>
      </c>
      <c r="D450">
        <v>3</v>
      </c>
      <c r="E450">
        <v>2</v>
      </c>
      <c r="F450">
        <v>2</v>
      </c>
      <c r="G450" t="s">
        <v>447</v>
      </c>
      <c r="H450">
        <v>2</v>
      </c>
      <c r="I450" t="s">
        <v>838</v>
      </c>
      <c r="K450" t="s">
        <v>1348</v>
      </c>
      <c r="M450" t="s">
        <v>837</v>
      </c>
      <c r="N450" t="s">
        <v>445</v>
      </c>
      <c r="O450" t="s">
        <v>1342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</row>
    <row r="451" spans="1:22" x14ac:dyDescent="0.25">
      <c r="A451">
        <v>448</v>
      </c>
      <c r="B451">
        <v>2</v>
      </c>
      <c r="C451" t="s">
        <v>839</v>
      </c>
      <c r="D451">
        <v>2</v>
      </c>
      <c r="E451">
        <v>2</v>
      </c>
      <c r="F451">
        <v>1</v>
      </c>
      <c r="G451" t="s">
        <v>447</v>
      </c>
      <c r="H451">
        <v>2</v>
      </c>
      <c r="I451" t="s">
        <v>840</v>
      </c>
      <c r="K451" t="s">
        <v>1348</v>
      </c>
      <c r="M451" t="s">
        <v>839</v>
      </c>
      <c r="N451" t="s">
        <v>445</v>
      </c>
      <c r="O451" t="s">
        <v>1342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</row>
    <row r="452" spans="1:22" x14ac:dyDescent="0.25">
      <c r="A452">
        <v>449</v>
      </c>
      <c r="B452">
        <v>2</v>
      </c>
      <c r="C452" t="s">
        <v>841</v>
      </c>
      <c r="D452">
        <v>2</v>
      </c>
      <c r="E452">
        <v>2</v>
      </c>
      <c r="F452">
        <v>1</v>
      </c>
      <c r="G452" t="s">
        <v>447</v>
      </c>
      <c r="H452">
        <v>2</v>
      </c>
      <c r="I452" t="s">
        <v>842</v>
      </c>
      <c r="K452" t="s">
        <v>1348</v>
      </c>
      <c r="M452" t="s">
        <v>841</v>
      </c>
      <c r="N452" t="s">
        <v>1247</v>
      </c>
      <c r="O452" t="s">
        <v>1342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</row>
    <row r="453" spans="1:22" x14ac:dyDescent="0.25">
      <c r="A453">
        <v>450</v>
      </c>
      <c r="B453">
        <v>2</v>
      </c>
      <c r="C453" t="s">
        <v>843</v>
      </c>
      <c r="D453">
        <v>1</v>
      </c>
      <c r="E453">
        <v>1</v>
      </c>
      <c r="F453">
        <v>1</v>
      </c>
      <c r="G453" t="s">
        <v>447</v>
      </c>
      <c r="H453">
        <v>2</v>
      </c>
      <c r="I453" t="s">
        <v>844</v>
      </c>
      <c r="K453" t="s">
        <v>1348</v>
      </c>
      <c r="M453" t="s">
        <v>843</v>
      </c>
      <c r="N453" t="s">
        <v>1247</v>
      </c>
      <c r="O453" t="s">
        <v>1342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</row>
    <row r="454" spans="1:22" x14ac:dyDescent="0.25">
      <c r="A454">
        <v>451</v>
      </c>
      <c r="B454">
        <v>2</v>
      </c>
      <c r="C454" t="s">
        <v>845</v>
      </c>
      <c r="D454">
        <v>2</v>
      </c>
      <c r="E454">
        <v>2</v>
      </c>
      <c r="F454">
        <v>1</v>
      </c>
      <c r="G454" t="s">
        <v>447</v>
      </c>
      <c r="H454">
        <v>2</v>
      </c>
      <c r="I454" t="s">
        <v>846</v>
      </c>
      <c r="K454" t="s">
        <v>1348</v>
      </c>
      <c r="M454" t="s">
        <v>845</v>
      </c>
      <c r="N454" t="s">
        <v>445</v>
      </c>
      <c r="O454" t="s">
        <v>1342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</row>
    <row r="455" spans="1:22" x14ac:dyDescent="0.25">
      <c r="A455">
        <v>452</v>
      </c>
      <c r="B455">
        <v>2</v>
      </c>
      <c r="C455" t="s">
        <v>847</v>
      </c>
      <c r="D455">
        <v>2</v>
      </c>
      <c r="E455">
        <v>1</v>
      </c>
      <c r="F455">
        <v>1</v>
      </c>
      <c r="G455" t="s">
        <v>447</v>
      </c>
      <c r="H455">
        <v>2</v>
      </c>
      <c r="I455" t="s">
        <v>848</v>
      </c>
      <c r="K455" t="s">
        <v>1348</v>
      </c>
      <c r="M455" t="s">
        <v>847</v>
      </c>
      <c r="N455" t="s">
        <v>445</v>
      </c>
      <c r="O455" t="s">
        <v>1342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</row>
    <row r="456" spans="1:22" x14ac:dyDescent="0.25">
      <c r="A456">
        <v>453</v>
      </c>
      <c r="B456">
        <v>2</v>
      </c>
      <c r="C456" t="s">
        <v>849</v>
      </c>
      <c r="D456">
        <v>2</v>
      </c>
      <c r="E456">
        <v>1</v>
      </c>
      <c r="F456">
        <v>1</v>
      </c>
      <c r="G456" t="s">
        <v>447</v>
      </c>
      <c r="H456">
        <v>2</v>
      </c>
      <c r="I456" t="s">
        <v>850</v>
      </c>
      <c r="K456" t="s">
        <v>1348</v>
      </c>
      <c r="M456" t="s">
        <v>849</v>
      </c>
      <c r="N456" t="s">
        <v>445</v>
      </c>
      <c r="O456" t="s">
        <v>1342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</row>
    <row r="457" spans="1:22" x14ac:dyDescent="0.25">
      <c r="A457">
        <v>454</v>
      </c>
      <c r="B457">
        <v>2</v>
      </c>
      <c r="C457" t="s">
        <v>851</v>
      </c>
      <c r="D457">
        <v>2</v>
      </c>
      <c r="E457">
        <v>1</v>
      </c>
      <c r="F457">
        <v>1</v>
      </c>
      <c r="G457" t="s">
        <v>447</v>
      </c>
      <c r="H457">
        <v>2</v>
      </c>
      <c r="I457" t="s">
        <v>852</v>
      </c>
      <c r="K457" t="s">
        <v>1348</v>
      </c>
      <c r="M457" t="s">
        <v>851</v>
      </c>
      <c r="N457" t="s">
        <v>1247</v>
      </c>
      <c r="O457" t="s">
        <v>1342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</row>
    <row r="458" spans="1:22" x14ac:dyDescent="0.25">
      <c r="A458">
        <v>455</v>
      </c>
      <c r="B458">
        <v>2</v>
      </c>
      <c r="C458" t="s">
        <v>853</v>
      </c>
      <c r="D458">
        <v>1</v>
      </c>
      <c r="E458">
        <v>1</v>
      </c>
      <c r="F458">
        <v>1</v>
      </c>
      <c r="G458" t="s">
        <v>447</v>
      </c>
      <c r="H458">
        <v>2</v>
      </c>
      <c r="I458" t="s">
        <v>854</v>
      </c>
      <c r="K458" t="s">
        <v>1348</v>
      </c>
      <c r="M458" t="s">
        <v>853</v>
      </c>
      <c r="N458" t="s">
        <v>1247</v>
      </c>
      <c r="O458" t="s">
        <v>1342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</row>
    <row r="459" spans="1:22" x14ac:dyDescent="0.25">
      <c r="A459">
        <v>456</v>
      </c>
      <c r="B459">
        <v>2</v>
      </c>
      <c r="C459" t="s">
        <v>855</v>
      </c>
      <c r="D459">
        <v>3</v>
      </c>
      <c r="E459">
        <v>3</v>
      </c>
      <c r="F459">
        <v>1</v>
      </c>
      <c r="G459" t="s">
        <v>447</v>
      </c>
      <c r="H459">
        <v>2</v>
      </c>
      <c r="I459" t="s">
        <v>308</v>
      </c>
      <c r="K459" t="s">
        <v>1348</v>
      </c>
      <c r="M459" t="s">
        <v>855</v>
      </c>
      <c r="N459" t="s">
        <v>445</v>
      </c>
      <c r="O459" t="s">
        <v>1342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</row>
    <row r="460" spans="1:22" x14ac:dyDescent="0.25">
      <c r="A460">
        <v>457</v>
      </c>
      <c r="B460">
        <v>2</v>
      </c>
      <c r="C460" t="s">
        <v>857</v>
      </c>
      <c r="D460">
        <v>3</v>
      </c>
      <c r="E460">
        <v>2</v>
      </c>
      <c r="F460">
        <v>1</v>
      </c>
      <c r="G460" t="s">
        <v>447</v>
      </c>
      <c r="H460">
        <v>2</v>
      </c>
      <c r="I460" t="s">
        <v>309</v>
      </c>
      <c r="K460" t="s">
        <v>1348</v>
      </c>
      <c r="M460" t="s">
        <v>857</v>
      </c>
      <c r="N460" t="s">
        <v>445</v>
      </c>
      <c r="O460" t="s">
        <v>1342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</row>
    <row r="461" spans="1:22" x14ac:dyDescent="0.25">
      <c r="A461">
        <v>458</v>
      </c>
      <c r="B461">
        <v>2</v>
      </c>
      <c r="C461" t="s">
        <v>859</v>
      </c>
      <c r="D461">
        <v>3</v>
      </c>
      <c r="E461">
        <v>2</v>
      </c>
      <c r="F461">
        <v>1</v>
      </c>
      <c r="G461" t="s">
        <v>447</v>
      </c>
      <c r="H461">
        <v>2</v>
      </c>
      <c r="I461" t="s">
        <v>310</v>
      </c>
      <c r="K461" t="s">
        <v>1348</v>
      </c>
      <c r="M461" t="s">
        <v>859</v>
      </c>
      <c r="N461" t="s">
        <v>445</v>
      </c>
      <c r="O461" t="s">
        <v>1342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</row>
    <row r="462" spans="1:22" x14ac:dyDescent="0.25">
      <c r="A462">
        <v>459</v>
      </c>
      <c r="B462">
        <v>2</v>
      </c>
      <c r="C462" t="s">
        <v>861</v>
      </c>
      <c r="D462">
        <v>2</v>
      </c>
      <c r="E462">
        <v>1</v>
      </c>
      <c r="F462">
        <v>1</v>
      </c>
      <c r="G462" t="s">
        <v>447</v>
      </c>
      <c r="H462">
        <v>2</v>
      </c>
      <c r="I462" t="s">
        <v>862</v>
      </c>
      <c r="K462" t="s">
        <v>1348</v>
      </c>
      <c r="M462" t="s">
        <v>861</v>
      </c>
      <c r="N462" t="s">
        <v>1247</v>
      </c>
      <c r="O462" t="s">
        <v>1342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</row>
    <row r="463" spans="1:22" x14ac:dyDescent="0.25">
      <c r="A463">
        <v>460</v>
      </c>
      <c r="B463">
        <v>2</v>
      </c>
      <c r="C463" t="s">
        <v>863</v>
      </c>
      <c r="D463">
        <v>1</v>
      </c>
      <c r="E463">
        <v>1</v>
      </c>
      <c r="F463">
        <v>1</v>
      </c>
      <c r="G463" t="s">
        <v>447</v>
      </c>
      <c r="H463">
        <v>2</v>
      </c>
      <c r="I463" t="s">
        <v>864</v>
      </c>
      <c r="K463" t="s">
        <v>1348</v>
      </c>
      <c r="M463" t="s">
        <v>863</v>
      </c>
      <c r="N463" t="s">
        <v>1247</v>
      </c>
      <c r="O463" t="s">
        <v>1342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</row>
    <row r="464" spans="1:22" x14ac:dyDescent="0.25">
      <c r="A464">
        <v>461</v>
      </c>
      <c r="B464">
        <v>2</v>
      </c>
      <c r="C464" t="s">
        <v>865</v>
      </c>
      <c r="D464">
        <v>2</v>
      </c>
      <c r="E464">
        <v>1</v>
      </c>
      <c r="F464">
        <v>1</v>
      </c>
      <c r="G464" t="s">
        <v>447</v>
      </c>
      <c r="H464">
        <v>2</v>
      </c>
      <c r="I464" t="s">
        <v>866</v>
      </c>
      <c r="K464" t="s">
        <v>1348</v>
      </c>
      <c r="M464" t="s">
        <v>865</v>
      </c>
      <c r="N464" t="s">
        <v>445</v>
      </c>
      <c r="O464" t="s">
        <v>1342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</row>
    <row r="465" spans="1:22" x14ac:dyDescent="0.25">
      <c r="A465">
        <v>462</v>
      </c>
      <c r="B465">
        <v>2</v>
      </c>
      <c r="C465" t="s">
        <v>867</v>
      </c>
      <c r="D465">
        <v>2</v>
      </c>
      <c r="E465">
        <v>1</v>
      </c>
      <c r="F465">
        <v>1</v>
      </c>
      <c r="G465" t="s">
        <v>447</v>
      </c>
      <c r="H465">
        <v>2</v>
      </c>
      <c r="I465" t="s">
        <v>868</v>
      </c>
      <c r="K465" t="s">
        <v>1348</v>
      </c>
      <c r="M465" t="s">
        <v>867</v>
      </c>
      <c r="N465" t="s">
        <v>445</v>
      </c>
      <c r="O465" t="s">
        <v>1342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</row>
    <row r="466" spans="1:22" x14ac:dyDescent="0.25">
      <c r="A466">
        <v>463</v>
      </c>
      <c r="B466">
        <v>2</v>
      </c>
      <c r="C466" t="s">
        <v>869</v>
      </c>
      <c r="D466">
        <v>2</v>
      </c>
      <c r="E466">
        <v>1</v>
      </c>
      <c r="F466">
        <v>1</v>
      </c>
      <c r="G466" t="s">
        <v>447</v>
      </c>
      <c r="H466">
        <v>2</v>
      </c>
      <c r="I466" t="s">
        <v>868</v>
      </c>
      <c r="K466" t="s">
        <v>1348</v>
      </c>
      <c r="M466" t="s">
        <v>869</v>
      </c>
      <c r="N466" t="s">
        <v>445</v>
      </c>
      <c r="O466" t="s">
        <v>1342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</row>
    <row r="467" spans="1:22" x14ac:dyDescent="0.25">
      <c r="A467">
        <v>464</v>
      </c>
      <c r="B467">
        <v>2</v>
      </c>
      <c r="C467" t="s">
        <v>870</v>
      </c>
      <c r="D467">
        <v>2</v>
      </c>
      <c r="E467">
        <v>1</v>
      </c>
      <c r="F467">
        <v>1</v>
      </c>
      <c r="G467" t="s">
        <v>447</v>
      </c>
      <c r="H467">
        <v>2</v>
      </c>
      <c r="I467" t="s">
        <v>871</v>
      </c>
      <c r="K467" t="s">
        <v>1348</v>
      </c>
      <c r="M467" t="s">
        <v>870</v>
      </c>
      <c r="N467" t="s">
        <v>445</v>
      </c>
      <c r="O467" t="s">
        <v>1342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</row>
    <row r="468" spans="1:22" x14ac:dyDescent="0.25">
      <c r="A468">
        <v>465</v>
      </c>
      <c r="B468">
        <v>2</v>
      </c>
      <c r="C468" t="s">
        <v>872</v>
      </c>
      <c r="D468">
        <v>2</v>
      </c>
      <c r="E468">
        <v>1</v>
      </c>
      <c r="F468">
        <v>1</v>
      </c>
      <c r="G468" t="s">
        <v>447</v>
      </c>
      <c r="H468">
        <v>2</v>
      </c>
      <c r="I468" t="s">
        <v>873</v>
      </c>
      <c r="K468" t="s">
        <v>1348</v>
      </c>
      <c r="M468" t="s">
        <v>872</v>
      </c>
      <c r="N468" t="s">
        <v>445</v>
      </c>
      <c r="O468" t="s">
        <v>1342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</row>
    <row r="469" spans="1:22" x14ac:dyDescent="0.25">
      <c r="A469">
        <v>466</v>
      </c>
      <c r="B469">
        <v>2</v>
      </c>
      <c r="C469" t="s">
        <v>874</v>
      </c>
      <c r="D469">
        <v>2</v>
      </c>
      <c r="E469">
        <v>1</v>
      </c>
      <c r="F469">
        <v>1</v>
      </c>
      <c r="G469" t="s">
        <v>447</v>
      </c>
      <c r="H469">
        <v>2</v>
      </c>
      <c r="I469" t="s">
        <v>875</v>
      </c>
      <c r="K469" t="s">
        <v>1348</v>
      </c>
      <c r="M469" t="s">
        <v>874</v>
      </c>
      <c r="N469" t="s">
        <v>1247</v>
      </c>
      <c r="O469" t="s">
        <v>1342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</row>
    <row r="470" spans="1:22" x14ac:dyDescent="0.25">
      <c r="A470">
        <v>467</v>
      </c>
      <c r="B470">
        <v>2</v>
      </c>
      <c r="C470" t="s">
        <v>876</v>
      </c>
      <c r="D470">
        <v>2</v>
      </c>
      <c r="E470">
        <v>1</v>
      </c>
      <c r="F470">
        <v>1</v>
      </c>
      <c r="G470" t="s">
        <v>447</v>
      </c>
      <c r="H470">
        <v>2</v>
      </c>
      <c r="I470" t="s">
        <v>877</v>
      </c>
      <c r="K470" t="s">
        <v>1348</v>
      </c>
      <c r="M470" t="s">
        <v>876</v>
      </c>
      <c r="N470" t="s">
        <v>445</v>
      </c>
      <c r="O470" t="s">
        <v>1342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</row>
    <row r="471" spans="1:22" x14ac:dyDescent="0.25">
      <c r="A471">
        <v>468</v>
      </c>
      <c r="B471">
        <v>2</v>
      </c>
      <c r="C471" t="s">
        <v>311</v>
      </c>
      <c r="D471">
        <v>1</v>
      </c>
      <c r="E471">
        <v>1</v>
      </c>
      <c r="F471">
        <v>1</v>
      </c>
      <c r="G471" t="s">
        <v>447</v>
      </c>
      <c r="H471">
        <v>2</v>
      </c>
      <c r="I471" t="s">
        <v>312</v>
      </c>
      <c r="K471" t="s">
        <v>1348</v>
      </c>
      <c r="M471" t="e">
        <v>#N/A</v>
      </c>
      <c r="N471" t="e">
        <v>#N/A</v>
      </c>
      <c r="O471" t="e">
        <v>#N/A</v>
      </c>
      <c r="Q471" t="e">
        <v>#N/A</v>
      </c>
      <c r="R471" t="e">
        <v>#N/A</v>
      </c>
      <c r="S471" t="e">
        <v>#N/A</v>
      </c>
      <c r="T471" t="e">
        <v>#N/A</v>
      </c>
      <c r="U471" t="e">
        <v>#N/A</v>
      </c>
      <c r="V471" t="e">
        <v>#N/A</v>
      </c>
    </row>
    <row r="472" spans="1:22" x14ac:dyDescent="0.25">
      <c r="A472">
        <v>469</v>
      </c>
      <c r="B472">
        <v>2</v>
      </c>
      <c r="C472" t="s">
        <v>313</v>
      </c>
      <c r="D472">
        <v>2</v>
      </c>
      <c r="E472">
        <v>1</v>
      </c>
      <c r="F472">
        <v>1</v>
      </c>
      <c r="G472" t="s">
        <v>447</v>
      </c>
      <c r="H472">
        <v>2</v>
      </c>
      <c r="I472" t="s">
        <v>314</v>
      </c>
      <c r="K472" t="s">
        <v>1348</v>
      </c>
      <c r="M472" t="e">
        <v>#N/A</v>
      </c>
      <c r="N472" t="e">
        <v>#N/A</v>
      </c>
      <c r="O472" t="e">
        <v>#N/A</v>
      </c>
      <c r="Q472" t="e">
        <v>#N/A</v>
      </c>
      <c r="R472" t="e">
        <v>#N/A</v>
      </c>
      <c r="S472" t="e">
        <v>#N/A</v>
      </c>
      <c r="T472" t="e">
        <v>#N/A</v>
      </c>
      <c r="U472" t="e">
        <v>#N/A</v>
      </c>
      <c r="V472" t="e">
        <v>#N/A</v>
      </c>
    </row>
    <row r="473" spans="1:22" x14ac:dyDescent="0.25">
      <c r="A473">
        <v>470</v>
      </c>
      <c r="B473">
        <v>2</v>
      </c>
      <c r="C473" t="s">
        <v>315</v>
      </c>
      <c r="D473">
        <v>3</v>
      </c>
      <c r="E473">
        <v>3</v>
      </c>
      <c r="F473">
        <v>3</v>
      </c>
      <c r="G473" t="s">
        <v>447</v>
      </c>
      <c r="H473">
        <v>2</v>
      </c>
      <c r="I473" t="s">
        <v>941</v>
      </c>
      <c r="K473" t="s">
        <v>1348</v>
      </c>
      <c r="M473" t="e">
        <v>#N/A</v>
      </c>
      <c r="N473" t="e">
        <v>#N/A</v>
      </c>
      <c r="O473" t="e">
        <v>#N/A</v>
      </c>
      <c r="Q473" t="e">
        <v>#N/A</v>
      </c>
      <c r="R473" t="e">
        <v>#N/A</v>
      </c>
      <c r="S473" t="e">
        <v>#N/A</v>
      </c>
      <c r="T473" t="e">
        <v>#N/A</v>
      </c>
      <c r="U473" t="e">
        <v>#N/A</v>
      </c>
      <c r="V473" t="e">
        <v>#N/A</v>
      </c>
    </row>
    <row r="474" spans="1:22" x14ac:dyDescent="0.25">
      <c r="A474">
        <v>471</v>
      </c>
      <c r="B474">
        <v>2</v>
      </c>
      <c r="C474" t="s">
        <v>316</v>
      </c>
      <c r="D474">
        <v>2</v>
      </c>
      <c r="E474">
        <v>2</v>
      </c>
      <c r="F474">
        <v>2</v>
      </c>
      <c r="G474" t="s">
        <v>447</v>
      </c>
      <c r="H474">
        <v>3</v>
      </c>
      <c r="I474" t="s">
        <v>317</v>
      </c>
      <c r="K474" t="s">
        <v>1348</v>
      </c>
      <c r="M474" t="e">
        <v>#N/A</v>
      </c>
      <c r="N474" t="e">
        <v>#N/A</v>
      </c>
      <c r="O474" t="e">
        <v>#N/A</v>
      </c>
      <c r="Q474" t="e">
        <v>#N/A</v>
      </c>
      <c r="R474" t="e">
        <v>#N/A</v>
      </c>
      <c r="S474" t="e">
        <v>#N/A</v>
      </c>
      <c r="T474" t="e">
        <v>#N/A</v>
      </c>
      <c r="U474" t="e">
        <v>#N/A</v>
      </c>
      <c r="V474" t="e">
        <v>#N/A</v>
      </c>
    </row>
    <row r="475" spans="1:22" x14ac:dyDescent="0.25">
      <c r="A475">
        <v>472</v>
      </c>
      <c r="B475">
        <v>2</v>
      </c>
      <c r="C475" t="s">
        <v>318</v>
      </c>
      <c r="D475">
        <v>2</v>
      </c>
      <c r="E475">
        <v>2</v>
      </c>
      <c r="F475">
        <v>2</v>
      </c>
      <c r="G475" t="s">
        <v>447</v>
      </c>
      <c r="H475">
        <v>3</v>
      </c>
      <c r="I475" t="s">
        <v>319</v>
      </c>
      <c r="K475" t="s">
        <v>1348</v>
      </c>
      <c r="M475" t="e">
        <v>#N/A</v>
      </c>
      <c r="N475" t="e">
        <v>#N/A</v>
      </c>
      <c r="O475" t="e">
        <v>#N/A</v>
      </c>
      <c r="Q475" t="e">
        <v>#N/A</v>
      </c>
      <c r="R475" t="e">
        <v>#N/A</v>
      </c>
      <c r="S475" t="e">
        <v>#N/A</v>
      </c>
      <c r="T475" t="e">
        <v>#N/A</v>
      </c>
      <c r="U475" t="e">
        <v>#N/A</v>
      </c>
      <c r="V475" t="e">
        <v>#N/A</v>
      </c>
    </row>
    <row r="476" spans="1:22" x14ac:dyDescent="0.25">
      <c r="A476">
        <v>473</v>
      </c>
      <c r="B476">
        <v>2</v>
      </c>
      <c r="C476" t="s">
        <v>320</v>
      </c>
      <c r="D476">
        <v>2</v>
      </c>
      <c r="E476">
        <v>2</v>
      </c>
      <c r="F476">
        <v>2</v>
      </c>
      <c r="G476" t="s">
        <v>447</v>
      </c>
      <c r="H476">
        <v>3</v>
      </c>
      <c r="I476" t="s">
        <v>321</v>
      </c>
      <c r="K476" t="s">
        <v>1348</v>
      </c>
      <c r="M476" t="e">
        <v>#N/A</v>
      </c>
      <c r="N476" t="e">
        <v>#N/A</v>
      </c>
      <c r="O476" t="e">
        <v>#N/A</v>
      </c>
      <c r="Q476" t="e">
        <v>#N/A</v>
      </c>
      <c r="R476" t="e">
        <v>#N/A</v>
      </c>
      <c r="S476" t="e">
        <v>#N/A</v>
      </c>
      <c r="T476" t="e">
        <v>#N/A</v>
      </c>
      <c r="U476" t="e">
        <v>#N/A</v>
      </c>
      <c r="V476" t="e">
        <v>#N/A</v>
      </c>
    </row>
    <row r="477" spans="1:22" x14ac:dyDescent="0.25">
      <c r="A477">
        <v>474</v>
      </c>
      <c r="B477">
        <v>2</v>
      </c>
      <c r="C477" t="s">
        <v>322</v>
      </c>
      <c r="D477">
        <v>2</v>
      </c>
      <c r="E477">
        <v>2</v>
      </c>
      <c r="F477">
        <v>2</v>
      </c>
      <c r="G477" t="s">
        <v>447</v>
      </c>
      <c r="H477">
        <v>3</v>
      </c>
      <c r="I477" t="s">
        <v>323</v>
      </c>
      <c r="K477" t="s">
        <v>1348</v>
      </c>
      <c r="M477" t="e">
        <v>#N/A</v>
      </c>
      <c r="N477" t="e">
        <v>#N/A</v>
      </c>
      <c r="O477" t="e">
        <v>#N/A</v>
      </c>
      <c r="Q477" t="e">
        <v>#N/A</v>
      </c>
      <c r="R477" t="e">
        <v>#N/A</v>
      </c>
      <c r="S477" t="e">
        <v>#N/A</v>
      </c>
      <c r="T477" t="e">
        <v>#N/A</v>
      </c>
      <c r="U477" t="e">
        <v>#N/A</v>
      </c>
      <c r="V477" t="e">
        <v>#N/A</v>
      </c>
    </row>
    <row r="478" spans="1:22" x14ac:dyDescent="0.25">
      <c r="A478">
        <v>475</v>
      </c>
      <c r="B478">
        <v>2</v>
      </c>
      <c r="C478" t="s">
        <v>324</v>
      </c>
      <c r="D478">
        <v>2</v>
      </c>
      <c r="E478">
        <v>2</v>
      </c>
      <c r="F478">
        <v>1</v>
      </c>
      <c r="G478" t="s">
        <v>447</v>
      </c>
      <c r="H478">
        <v>3</v>
      </c>
      <c r="I478" t="s">
        <v>325</v>
      </c>
      <c r="K478" t="s">
        <v>1348</v>
      </c>
      <c r="M478" t="e">
        <v>#N/A</v>
      </c>
      <c r="N478" t="e">
        <v>#N/A</v>
      </c>
      <c r="O478" t="e">
        <v>#N/A</v>
      </c>
      <c r="Q478" t="e">
        <v>#N/A</v>
      </c>
      <c r="R478" t="e">
        <v>#N/A</v>
      </c>
      <c r="S478" t="e">
        <v>#N/A</v>
      </c>
      <c r="T478" t="e">
        <v>#N/A</v>
      </c>
      <c r="U478" t="e">
        <v>#N/A</v>
      </c>
      <c r="V478" t="e">
        <v>#N/A</v>
      </c>
    </row>
    <row r="479" spans="1:22" x14ac:dyDescent="0.25">
      <c r="A479">
        <v>476</v>
      </c>
      <c r="B479">
        <v>2</v>
      </c>
      <c r="C479" t="s">
        <v>326</v>
      </c>
      <c r="D479">
        <v>2</v>
      </c>
      <c r="E479">
        <v>2</v>
      </c>
      <c r="F479">
        <v>2</v>
      </c>
      <c r="G479" t="s">
        <v>447</v>
      </c>
      <c r="H479">
        <v>3</v>
      </c>
      <c r="I479" t="s">
        <v>327</v>
      </c>
      <c r="K479" t="s">
        <v>1348</v>
      </c>
      <c r="M479" t="e">
        <v>#N/A</v>
      </c>
      <c r="N479" t="e">
        <v>#N/A</v>
      </c>
      <c r="O479" t="e">
        <v>#N/A</v>
      </c>
      <c r="Q479" t="e">
        <v>#N/A</v>
      </c>
      <c r="R479" t="e">
        <v>#N/A</v>
      </c>
      <c r="S479" t="e">
        <v>#N/A</v>
      </c>
      <c r="T479" t="e">
        <v>#N/A</v>
      </c>
      <c r="U479" t="e">
        <v>#N/A</v>
      </c>
      <c r="V479" t="e">
        <v>#N/A</v>
      </c>
    </row>
    <row r="480" spans="1:22" x14ac:dyDescent="0.25">
      <c r="A480">
        <v>477</v>
      </c>
      <c r="B480">
        <v>2</v>
      </c>
      <c r="C480" t="s">
        <v>328</v>
      </c>
      <c r="D480">
        <v>2</v>
      </c>
      <c r="E480">
        <v>2</v>
      </c>
      <c r="F480">
        <v>2</v>
      </c>
      <c r="G480" t="s">
        <v>447</v>
      </c>
      <c r="H480">
        <v>3</v>
      </c>
      <c r="I480" t="s">
        <v>329</v>
      </c>
      <c r="K480" t="s">
        <v>1348</v>
      </c>
      <c r="M480" t="e">
        <v>#N/A</v>
      </c>
      <c r="N480" t="e">
        <v>#N/A</v>
      </c>
      <c r="O480" t="e">
        <v>#N/A</v>
      </c>
      <c r="Q480" t="e">
        <v>#N/A</v>
      </c>
      <c r="R480" t="e">
        <v>#N/A</v>
      </c>
      <c r="S480" t="e">
        <v>#N/A</v>
      </c>
      <c r="T480" t="e">
        <v>#N/A</v>
      </c>
      <c r="U480" t="e">
        <v>#N/A</v>
      </c>
      <c r="V480" t="e">
        <v>#N/A</v>
      </c>
    </row>
    <row r="481" spans="1:22" x14ac:dyDescent="0.25">
      <c r="A481">
        <v>478</v>
      </c>
      <c r="B481">
        <v>2</v>
      </c>
      <c r="C481" t="s">
        <v>330</v>
      </c>
      <c r="D481">
        <v>4</v>
      </c>
      <c r="E481">
        <v>1</v>
      </c>
      <c r="F481">
        <v>1</v>
      </c>
      <c r="G481" t="s">
        <v>447</v>
      </c>
      <c r="H481">
        <v>3</v>
      </c>
      <c r="I481" t="s">
        <v>331</v>
      </c>
      <c r="K481" t="s">
        <v>1348</v>
      </c>
      <c r="M481" t="e">
        <v>#N/A</v>
      </c>
      <c r="N481" t="e">
        <v>#N/A</v>
      </c>
      <c r="O481" t="e">
        <v>#N/A</v>
      </c>
      <c r="Q481" t="e">
        <v>#N/A</v>
      </c>
      <c r="R481" t="e">
        <v>#N/A</v>
      </c>
      <c r="S481" t="e">
        <v>#N/A</v>
      </c>
      <c r="T481" t="e">
        <v>#N/A</v>
      </c>
      <c r="U481" t="e">
        <v>#N/A</v>
      </c>
      <c r="V481" t="e">
        <v>#N/A</v>
      </c>
    </row>
    <row r="482" spans="1:22" x14ac:dyDescent="0.25">
      <c r="A482">
        <v>479</v>
      </c>
      <c r="B482">
        <v>2</v>
      </c>
      <c r="C482" t="s">
        <v>982</v>
      </c>
      <c r="D482">
        <v>2</v>
      </c>
      <c r="E482">
        <v>1</v>
      </c>
      <c r="F482">
        <v>1</v>
      </c>
      <c r="G482" t="s">
        <v>589</v>
      </c>
      <c r="H482">
        <v>1</v>
      </c>
      <c r="I482" t="s">
        <v>332</v>
      </c>
      <c r="K482" t="s">
        <v>1348</v>
      </c>
      <c r="M482" t="s">
        <v>982</v>
      </c>
      <c r="N482" t="s">
        <v>445</v>
      </c>
      <c r="O482" t="s">
        <v>1344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</row>
    <row r="483" spans="1:22" x14ac:dyDescent="0.25">
      <c r="A483">
        <v>480</v>
      </c>
      <c r="B483">
        <v>2</v>
      </c>
      <c r="C483" t="s">
        <v>1371</v>
      </c>
      <c r="D483">
        <v>1</v>
      </c>
      <c r="E483">
        <v>1</v>
      </c>
      <c r="F483">
        <v>1</v>
      </c>
      <c r="G483" t="s">
        <v>447</v>
      </c>
      <c r="H483">
        <v>1</v>
      </c>
      <c r="I483" t="s">
        <v>333</v>
      </c>
      <c r="K483" t="s">
        <v>1348</v>
      </c>
      <c r="M483" t="e">
        <v>#N/A</v>
      </c>
      <c r="N483" t="e">
        <v>#N/A</v>
      </c>
      <c r="O483" t="e">
        <v>#N/A</v>
      </c>
      <c r="Q483" t="e">
        <v>#N/A</v>
      </c>
      <c r="R483" t="e">
        <v>#N/A</v>
      </c>
      <c r="S483" t="e">
        <v>#N/A</v>
      </c>
      <c r="T483" t="e">
        <v>#N/A</v>
      </c>
      <c r="U483" t="e">
        <v>#N/A</v>
      </c>
      <c r="V483" t="e">
        <v>#N/A</v>
      </c>
    </row>
    <row r="484" spans="1:22" x14ac:dyDescent="0.25">
      <c r="A484">
        <v>481</v>
      </c>
      <c r="B484">
        <v>2</v>
      </c>
      <c r="C484" t="s">
        <v>1415</v>
      </c>
      <c r="D484">
        <v>1</v>
      </c>
      <c r="E484">
        <v>1</v>
      </c>
      <c r="F484">
        <v>1</v>
      </c>
      <c r="G484" t="s">
        <v>544</v>
      </c>
      <c r="H484">
        <v>1</v>
      </c>
      <c r="I484" t="s">
        <v>334</v>
      </c>
      <c r="K484" t="s">
        <v>1348</v>
      </c>
      <c r="M484" t="e">
        <v>#N/A</v>
      </c>
      <c r="N484" t="e">
        <v>#N/A</v>
      </c>
      <c r="O484" t="e">
        <v>#N/A</v>
      </c>
      <c r="Q484" t="e">
        <v>#N/A</v>
      </c>
      <c r="R484" t="e">
        <v>#N/A</v>
      </c>
      <c r="S484" t="e">
        <v>#N/A</v>
      </c>
      <c r="T484" t="e">
        <v>#N/A</v>
      </c>
      <c r="U484" t="e">
        <v>#N/A</v>
      </c>
      <c r="V484" t="e">
        <v>#N/A</v>
      </c>
    </row>
    <row r="485" spans="1:22" x14ac:dyDescent="0.25">
      <c r="A485">
        <v>482</v>
      </c>
      <c r="B485">
        <v>2</v>
      </c>
      <c r="C485" t="s">
        <v>1417</v>
      </c>
      <c r="D485">
        <v>1</v>
      </c>
      <c r="E485">
        <v>1</v>
      </c>
      <c r="F485">
        <v>1</v>
      </c>
      <c r="G485" t="s">
        <v>544</v>
      </c>
      <c r="H485">
        <v>1</v>
      </c>
      <c r="I485" t="s">
        <v>335</v>
      </c>
      <c r="K485" t="s">
        <v>1348</v>
      </c>
      <c r="M485" t="e">
        <v>#N/A</v>
      </c>
      <c r="N485" t="e">
        <v>#N/A</v>
      </c>
      <c r="O485" t="e">
        <v>#N/A</v>
      </c>
      <c r="Q485" t="e">
        <v>#N/A</v>
      </c>
      <c r="R485" t="e">
        <v>#N/A</v>
      </c>
      <c r="S485" t="e">
        <v>#N/A</v>
      </c>
      <c r="T485" t="e">
        <v>#N/A</v>
      </c>
      <c r="U485" t="e">
        <v>#N/A</v>
      </c>
      <c r="V485" t="e">
        <v>#N/A</v>
      </c>
    </row>
    <row r="486" spans="1:22" x14ac:dyDescent="0.25">
      <c r="A486">
        <v>483</v>
      </c>
      <c r="B486">
        <v>2</v>
      </c>
      <c r="C486" t="s">
        <v>336</v>
      </c>
      <c r="D486">
        <v>2</v>
      </c>
      <c r="E486">
        <v>1</v>
      </c>
      <c r="F486">
        <v>1</v>
      </c>
      <c r="G486" t="s">
        <v>447</v>
      </c>
      <c r="H486">
        <v>1</v>
      </c>
      <c r="I486" t="s">
        <v>337</v>
      </c>
      <c r="K486" t="s">
        <v>1348</v>
      </c>
      <c r="M486" t="e">
        <v>#N/A</v>
      </c>
      <c r="N486" t="e">
        <v>#N/A</v>
      </c>
      <c r="O486" t="e">
        <v>#N/A</v>
      </c>
      <c r="Q486" t="e">
        <v>#N/A</v>
      </c>
      <c r="R486" t="e">
        <v>#N/A</v>
      </c>
      <c r="S486" t="e">
        <v>#N/A</v>
      </c>
      <c r="T486" t="e">
        <v>#N/A</v>
      </c>
      <c r="U486" t="e">
        <v>#N/A</v>
      </c>
      <c r="V486" t="e">
        <v>#N/A</v>
      </c>
    </row>
    <row r="487" spans="1:22" x14ac:dyDescent="0.25">
      <c r="A487">
        <v>484</v>
      </c>
      <c r="B487">
        <v>2</v>
      </c>
      <c r="C487" t="s">
        <v>338</v>
      </c>
      <c r="D487">
        <v>2</v>
      </c>
      <c r="E487">
        <v>1</v>
      </c>
      <c r="F487">
        <v>1</v>
      </c>
      <c r="G487" t="s">
        <v>447</v>
      </c>
      <c r="H487">
        <v>1</v>
      </c>
      <c r="I487" t="s">
        <v>339</v>
      </c>
      <c r="K487" t="s">
        <v>1348</v>
      </c>
      <c r="M487" t="e">
        <v>#N/A</v>
      </c>
      <c r="N487" t="e">
        <v>#N/A</v>
      </c>
      <c r="O487" t="e">
        <v>#N/A</v>
      </c>
      <c r="Q487" t="e">
        <v>#N/A</v>
      </c>
      <c r="R487" t="e">
        <v>#N/A</v>
      </c>
      <c r="S487" t="e">
        <v>#N/A</v>
      </c>
      <c r="T487" t="e">
        <v>#N/A</v>
      </c>
      <c r="U487" t="e">
        <v>#N/A</v>
      </c>
      <c r="V487" t="e">
        <v>#N/A</v>
      </c>
    </row>
    <row r="488" spans="1:22" x14ac:dyDescent="0.25">
      <c r="A488">
        <v>485</v>
      </c>
      <c r="B488">
        <v>2</v>
      </c>
      <c r="C488" t="s">
        <v>340</v>
      </c>
      <c r="D488">
        <v>2</v>
      </c>
      <c r="E488">
        <v>2</v>
      </c>
      <c r="F488">
        <v>1</v>
      </c>
      <c r="G488" t="s">
        <v>447</v>
      </c>
      <c r="H488">
        <v>2</v>
      </c>
      <c r="I488" t="s">
        <v>341</v>
      </c>
      <c r="K488" t="s">
        <v>1348</v>
      </c>
      <c r="M488" t="e">
        <v>#N/A</v>
      </c>
      <c r="N488" t="e">
        <v>#N/A</v>
      </c>
      <c r="O488" t="e">
        <v>#N/A</v>
      </c>
      <c r="Q488" t="e">
        <v>#N/A</v>
      </c>
      <c r="R488" t="e">
        <v>#N/A</v>
      </c>
      <c r="S488" t="e">
        <v>#N/A</v>
      </c>
      <c r="T488" t="e">
        <v>#N/A</v>
      </c>
      <c r="U488" t="e">
        <v>#N/A</v>
      </c>
      <c r="V488" t="e">
        <v>#N/A</v>
      </c>
    </row>
    <row r="489" spans="1:22" x14ac:dyDescent="0.25">
      <c r="A489">
        <v>486</v>
      </c>
      <c r="B489">
        <v>2</v>
      </c>
      <c r="C489" t="s">
        <v>342</v>
      </c>
      <c r="D489">
        <v>2</v>
      </c>
      <c r="E489">
        <v>2</v>
      </c>
      <c r="F489">
        <v>1</v>
      </c>
      <c r="G489" t="s">
        <v>447</v>
      </c>
      <c r="H489">
        <v>2</v>
      </c>
      <c r="I489" t="s">
        <v>343</v>
      </c>
      <c r="K489" t="s">
        <v>1348</v>
      </c>
      <c r="M489" t="e">
        <v>#N/A</v>
      </c>
      <c r="N489" t="e">
        <v>#N/A</v>
      </c>
      <c r="O489" t="e">
        <v>#N/A</v>
      </c>
      <c r="Q489" t="e">
        <v>#N/A</v>
      </c>
      <c r="R489" t="e">
        <v>#N/A</v>
      </c>
      <c r="S489" t="e">
        <v>#N/A</v>
      </c>
      <c r="T489" t="e">
        <v>#N/A</v>
      </c>
      <c r="U489" t="e">
        <v>#N/A</v>
      </c>
      <c r="V489" t="e">
        <v>#N/A</v>
      </c>
    </row>
    <row r="490" spans="1:22" x14ac:dyDescent="0.25">
      <c r="A490">
        <v>487</v>
      </c>
      <c r="B490">
        <v>2</v>
      </c>
      <c r="C490" t="s">
        <v>344</v>
      </c>
      <c r="D490">
        <v>2</v>
      </c>
      <c r="E490">
        <v>2</v>
      </c>
      <c r="F490">
        <v>1</v>
      </c>
      <c r="G490" t="s">
        <v>447</v>
      </c>
      <c r="H490">
        <v>2</v>
      </c>
      <c r="I490" t="s">
        <v>345</v>
      </c>
      <c r="K490" t="s">
        <v>1348</v>
      </c>
      <c r="M490" t="e">
        <v>#N/A</v>
      </c>
      <c r="N490" t="e">
        <v>#N/A</v>
      </c>
      <c r="O490" t="e">
        <v>#N/A</v>
      </c>
      <c r="Q490" t="e">
        <v>#N/A</v>
      </c>
      <c r="R490" t="e">
        <v>#N/A</v>
      </c>
      <c r="S490" t="e">
        <v>#N/A</v>
      </c>
      <c r="T490" t="e">
        <v>#N/A</v>
      </c>
      <c r="U490" t="e">
        <v>#N/A</v>
      </c>
      <c r="V490" t="e">
        <v>#N/A</v>
      </c>
    </row>
    <row r="491" spans="1:22" x14ac:dyDescent="0.25">
      <c r="A491">
        <v>488</v>
      </c>
      <c r="B491">
        <v>2</v>
      </c>
      <c r="C491" t="s">
        <v>346</v>
      </c>
      <c r="D491">
        <v>2</v>
      </c>
      <c r="E491">
        <v>1</v>
      </c>
      <c r="F491">
        <v>1</v>
      </c>
      <c r="G491" t="s">
        <v>447</v>
      </c>
      <c r="H491">
        <v>2</v>
      </c>
      <c r="I491" t="s">
        <v>347</v>
      </c>
      <c r="K491" t="s">
        <v>1348</v>
      </c>
      <c r="M491" t="e">
        <v>#N/A</v>
      </c>
      <c r="N491" t="e">
        <v>#N/A</v>
      </c>
      <c r="O491" t="e">
        <v>#N/A</v>
      </c>
      <c r="Q491" t="e">
        <v>#N/A</v>
      </c>
      <c r="R491" t="e">
        <v>#N/A</v>
      </c>
      <c r="S491" t="e">
        <v>#N/A</v>
      </c>
      <c r="T491" t="e">
        <v>#N/A</v>
      </c>
      <c r="U491" t="e">
        <v>#N/A</v>
      </c>
      <c r="V491" t="e">
        <v>#N/A</v>
      </c>
    </row>
    <row r="492" spans="1:22" x14ac:dyDescent="0.25">
      <c r="A492">
        <v>489</v>
      </c>
      <c r="B492">
        <v>2</v>
      </c>
      <c r="C492" t="s">
        <v>348</v>
      </c>
      <c r="D492">
        <v>3</v>
      </c>
      <c r="E492">
        <v>2</v>
      </c>
      <c r="F492">
        <v>2</v>
      </c>
      <c r="G492" t="s">
        <v>447</v>
      </c>
      <c r="H492">
        <v>2</v>
      </c>
      <c r="I492" t="s">
        <v>349</v>
      </c>
      <c r="K492" t="s">
        <v>1348</v>
      </c>
      <c r="M492" t="e">
        <v>#N/A</v>
      </c>
      <c r="N492" t="e">
        <v>#N/A</v>
      </c>
      <c r="O492" t="e">
        <v>#N/A</v>
      </c>
      <c r="Q492" t="e">
        <v>#N/A</v>
      </c>
      <c r="R492" t="e">
        <v>#N/A</v>
      </c>
      <c r="S492" t="e">
        <v>#N/A</v>
      </c>
      <c r="T492" t="e">
        <v>#N/A</v>
      </c>
      <c r="U492" t="e">
        <v>#N/A</v>
      </c>
      <c r="V492" t="e">
        <v>#N/A</v>
      </c>
    </row>
    <row r="493" spans="1:22" x14ac:dyDescent="0.25">
      <c r="A493">
        <v>490</v>
      </c>
      <c r="B493">
        <v>2</v>
      </c>
      <c r="C493" t="s">
        <v>350</v>
      </c>
      <c r="D493">
        <v>2</v>
      </c>
      <c r="E493">
        <v>1</v>
      </c>
      <c r="F493">
        <v>1</v>
      </c>
      <c r="G493" t="s">
        <v>447</v>
      </c>
      <c r="H493">
        <v>2</v>
      </c>
      <c r="I493" t="s">
        <v>351</v>
      </c>
      <c r="K493" t="s">
        <v>1348</v>
      </c>
      <c r="M493" t="e">
        <v>#N/A</v>
      </c>
      <c r="N493" t="e">
        <v>#N/A</v>
      </c>
      <c r="O493" t="e">
        <v>#N/A</v>
      </c>
      <c r="Q493" t="e">
        <v>#N/A</v>
      </c>
      <c r="R493" t="e">
        <v>#N/A</v>
      </c>
      <c r="S493" t="e">
        <v>#N/A</v>
      </c>
      <c r="T493" t="e">
        <v>#N/A</v>
      </c>
      <c r="U493" t="e">
        <v>#N/A</v>
      </c>
      <c r="V493" t="e">
        <v>#N/A</v>
      </c>
    </row>
    <row r="494" spans="1:22" x14ac:dyDescent="0.25">
      <c r="A494">
        <v>491</v>
      </c>
      <c r="B494">
        <v>2</v>
      </c>
      <c r="C494" t="s">
        <v>352</v>
      </c>
      <c r="D494">
        <v>2</v>
      </c>
      <c r="E494">
        <v>1</v>
      </c>
      <c r="F494">
        <v>1</v>
      </c>
      <c r="G494" t="s">
        <v>447</v>
      </c>
      <c r="H494">
        <v>2</v>
      </c>
      <c r="I494" t="s">
        <v>353</v>
      </c>
      <c r="K494" t="s">
        <v>1348</v>
      </c>
      <c r="M494" t="e">
        <v>#N/A</v>
      </c>
      <c r="N494" t="e">
        <v>#N/A</v>
      </c>
      <c r="O494" t="e">
        <v>#N/A</v>
      </c>
      <c r="Q494" t="e">
        <v>#N/A</v>
      </c>
      <c r="R494" t="e">
        <v>#N/A</v>
      </c>
      <c r="S494" t="e">
        <v>#N/A</v>
      </c>
      <c r="T494" t="e">
        <v>#N/A</v>
      </c>
      <c r="U494" t="e">
        <v>#N/A</v>
      </c>
      <c r="V494" t="e">
        <v>#N/A</v>
      </c>
    </row>
    <row r="495" spans="1:22" x14ac:dyDescent="0.25">
      <c r="A495">
        <v>492</v>
      </c>
      <c r="B495">
        <v>2</v>
      </c>
      <c r="C495" t="s">
        <v>354</v>
      </c>
      <c r="D495">
        <v>2</v>
      </c>
      <c r="E495">
        <v>1</v>
      </c>
      <c r="F495">
        <v>1</v>
      </c>
      <c r="G495" t="s">
        <v>447</v>
      </c>
      <c r="H495">
        <v>2</v>
      </c>
      <c r="I495" t="s">
        <v>355</v>
      </c>
      <c r="K495" t="s">
        <v>1348</v>
      </c>
      <c r="M495" t="e">
        <v>#N/A</v>
      </c>
      <c r="N495" t="e">
        <v>#N/A</v>
      </c>
      <c r="O495" t="e">
        <v>#N/A</v>
      </c>
      <c r="Q495" t="e">
        <v>#N/A</v>
      </c>
      <c r="R495" t="e">
        <v>#N/A</v>
      </c>
      <c r="S495" t="e">
        <v>#N/A</v>
      </c>
      <c r="T495" t="e">
        <v>#N/A</v>
      </c>
      <c r="U495" t="e">
        <v>#N/A</v>
      </c>
      <c r="V495" t="e">
        <v>#N/A</v>
      </c>
    </row>
    <row r="496" spans="1:22" x14ac:dyDescent="0.25">
      <c r="A496">
        <v>493</v>
      </c>
      <c r="B496">
        <v>2</v>
      </c>
      <c r="C496" t="s">
        <v>356</v>
      </c>
      <c r="D496">
        <v>2</v>
      </c>
      <c r="E496">
        <v>2</v>
      </c>
      <c r="F496">
        <v>2</v>
      </c>
      <c r="G496" t="s">
        <v>447</v>
      </c>
      <c r="H496">
        <v>2</v>
      </c>
      <c r="I496" t="s">
        <v>357</v>
      </c>
      <c r="K496" t="s">
        <v>1348</v>
      </c>
      <c r="M496" t="e">
        <v>#N/A</v>
      </c>
      <c r="N496" t="e">
        <v>#N/A</v>
      </c>
      <c r="O496" t="e">
        <v>#N/A</v>
      </c>
      <c r="Q496" t="e">
        <v>#N/A</v>
      </c>
      <c r="R496" t="e">
        <v>#N/A</v>
      </c>
      <c r="S496" t="e">
        <v>#N/A</v>
      </c>
      <c r="T496" t="e">
        <v>#N/A</v>
      </c>
      <c r="U496" t="e">
        <v>#N/A</v>
      </c>
      <c r="V496" t="e">
        <v>#N/A</v>
      </c>
    </row>
    <row r="497" spans="1:22" x14ac:dyDescent="0.25">
      <c r="A497">
        <v>494</v>
      </c>
      <c r="B497">
        <v>2</v>
      </c>
      <c r="C497" t="s">
        <v>358</v>
      </c>
      <c r="D497">
        <v>2</v>
      </c>
      <c r="E497">
        <v>2</v>
      </c>
      <c r="F497">
        <v>2</v>
      </c>
      <c r="G497" t="s">
        <v>447</v>
      </c>
      <c r="H497">
        <v>2</v>
      </c>
      <c r="I497" t="s">
        <v>359</v>
      </c>
      <c r="K497" t="s">
        <v>1348</v>
      </c>
      <c r="M497" t="e">
        <v>#N/A</v>
      </c>
      <c r="N497" t="e">
        <v>#N/A</v>
      </c>
      <c r="O497" t="e">
        <v>#N/A</v>
      </c>
      <c r="Q497" t="e">
        <v>#N/A</v>
      </c>
      <c r="R497" t="e">
        <v>#N/A</v>
      </c>
      <c r="S497" t="e">
        <v>#N/A</v>
      </c>
      <c r="T497" t="e">
        <v>#N/A</v>
      </c>
      <c r="U497" t="e">
        <v>#N/A</v>
      </c>
      <c r="V497" t="e">
        <v>#N/A</v>
      </c>
    </row>
    <row r="498" spans="1:22" x14ac:dyDescent="0.25">
      <c r="A498">
        <v>495</v>
      </c>
      <c r="B498">
        <v>2</v>
      </c>
      <c r="C498" t="s">
        <v>360</v>
      </c>
      <c r="D498">
        <v>2</v>
      </c>
      <c r="E498">
        <v>2</v>
      </c>
      <c r="F498">
        <v>2</v>
      </c>
      <c r="G498" t="s">
        <v>447</v>
      </c>
      <c r="H498">
        <v>2</v>
      </c>
      <c r="I498" t="s">
        <v>361</v>
      </c>
      <c r="K498" t="s">
        <v>1348</v>
      </c>
      <c r="M498" t="e">
        <v>#N/A</v>
      </c>
      <c r="N498" t="e">
        <v>#N/A</v>
      </c>
      <c r="O498" t="e">
        <v>#N/A</v>
      </c>
      <c r="Q498" t="e">
        <v>#N/A</v>
      </c>
      <c r="R498" t="e">
        <v>#N/A</v>
      </c>
      <c r="S498" t="e">
        <v>#N/A</v>
      </c>
      <c r="T498" t="e">
        <v>#N/A</v>
      </c>
      <c r="U498" t="e">
        <v>#N/A</v>
      </c>
      <c r="V498" t="e">
        <v>#N/A</v>
      </c>
    </row>
    <row r="499" spans="1:22" x14ac:dyDescent="0.25">
      <c r="A499">
        <v>496</v>
      </c>
      <c r="B499">
        <v>2</v>
      </c>
      <c r="C499" t="s">
        <v>362</v>
      </c>
      <c r="D499">
        <v>2</v>
      </c>
      <c r="E499">
        <v>2</v>
      </c>
      <c r="F499">
        <v>2</v>
      </c>
      <c r="G499" t="s">
        <v>447</v>
      </c>
      <c r="H499">
        <v>2</v>
      </c>
      <c r="I499" t="s">
        <v>363</v>
      </c>
      <c r="K499" t="s">
        <v>1348</v>
      </c>
      <c r="M499" t="e">
        <v>#N/A</v>
      </c>
      <c r="N499" t="e">
        <v>#N/A</v>
      </c>
      <c r="O499" t="e">
        <v>#N/A</v>
      </c>
      <c r="Q499" t="e">
        <v>#N/A</v>
      </c>
      <c r="R499" t="e">
        <v>#N/A</v>
      </c>
      <c r="S499" t="e">
        <v>#N/A</v>
      </c>
      <c r="T499" t="e">
        <v>#N/A</v>
      </c>
      <c r="U499" t="e">
        <v>#N/A</v>
      </c>
      <c r="V499" t="e">
        <v>#N/A</v>
      </c>
    </row>
    <row r="500" spans="1:22" x14ac:dyDescent="0.25">
      <c r="A500">
        <v>497</v>
      </c>
      <c r="B500">
        <v>2</v>
      </c>
      <c r="C500" t="s">
        <v>364</v>
      </c>
      <c r="D500">
        <v>2</v>
      </c>
      <c r="E500">
        <v>2</v>
      </c>
      <c r="F500">
        <v>2</v>
      </c>
      <c r="G500" t="s">
        <v>447</v>
      </c>
      <c r="H500">
        <v>2</v>
      </c>
      <c r="I500" t="s">
        <v>365</v>
      </c>
      <c r="K500" t="s">
        <v>1348</v>
      </c>
      <c r="M500" t="e">
        <v>#N/A</v>
      </c>
      <c r="N500" t="e">
        <v>#N/A</v>
      </c>
      <c r="O500" t="e">
        <v>#N/A</v>
      </c>
      <c r="Q500" t="e">
        <v>#N/A</v>
      </c>
      <c r="R500" t="e">
        <v>#N/A</v>
      </c>
      <c r="S500" t="e">
        <v>#N/A</v>
      </c>
      <c r="T500" t="e">
        <v>#N/A</v>
      </c>
      <c r="U500" t="e">
        <v>#N/A</v>
      </c>
      <c r="V500" t="e">
        <v>#N/A</v>
      </c>
    </row>
    <row r="501" spans="1:22" x14ac:dyDescent="0.25">
      <c r="A501">
        <v>498</v>
      </c>
      <c r="B501">
        <v>2</v>
      </c>
      <c r="C501" t="s">
        <v>366</v>
      </c>
      <c r="D501">
        <v>2</v>
      </c>
      <c r="E501">
        <v>2</v>
      </c>
      <c r="F501">
        <v>2</v>
      </c>
      <c r="G501" t="s">
        <v>447</v>
      </c>
      <c r="H501">
        <v>2</v>
      </c>
      <c r="I501" t="s">
        <v>367</v>
      </c>
      <c r="K501" t="s">
        <v>1348</v>
      </c>
      <c r="M501" t="e">
        <v>#N/A</v>
      </c>
      <c r="N501" t="e">
        <v>#N/A</v>
      </c>
      <c r="O501" t="e">
        <v>#N/A</v>
      </c>
      <c r="Q501" t="e">
        <v>#N/A</v>
      </c>
      <c r="R501" t="e">
        <v>#N/A</v>
      </c>
      <c r="S501" t="e">
        <v>#N/A</v>
      </c>
      <c r="T501" t="e">
        <v>#N/A</v>
      </c>
      <c r="U501" t="e">
        <v>#N/A</v>
      </c>
      <c r="V501" t="e">
        <v>#N/A</v>
      </c>
    </row>
    <row r="502" spans="1:22" x14ac:dyDescent="0.25">
      <c r="A502">
        <v>499</v>
      </c>
      <c r="B502">
        <v>2</v>
      </c>
      <c r="C502" t="s">
        <v>368</v>
      </c>
      <c r="D502">
        <v>2</v>
      </c>
      <c r="E502">
        <v>1</v>
      </c>
      <c r="F502">
        <v>1</v>
      </c>
      <c r="G502" t="s">
        <v>447</v>
      </c>
      <c r="H502">
        <v>2</v>
      </c>
      <c r="I502" t="s">
        <v>369</v>
      </c>
      <c r="K502" t="s">
        <v>1348</v>
      </c>
      <c r="M502" t="e">
        <v>#N/A</v>
      </c>
      <c r="N502" t="e">
        <v>#N/A</v>
      </c>
      <c r="O502" t="e">
        <v>#N/A</v>
      </c>
      <c r="Q502" t="e">
        <v>#N/A</v>
      </c>
      <c r="R502" t="e">
        <v>#N/A</v>
      </c>
      <c r="S502" t="e">
        <v>#N/A</v>
      </c>
      <c r="T502" t="e">
        <v>#N/A</v>
      </c>
      <c r="U502" t="e">
        <v>#N/A</v>
      </c>
      <c r="V502" t="e">
        <v>#N/A</v>
      </c>
    </row>
    <row r="503" spans="1:22" x14ac:dyDescent="0.25">
      <c r="A503">
        <v>500</v>
      </c>
      <c r="B503">
        <v>2</v>
      </c>
      <c r="C503" t="s">
        <v>370</v>
      </c>
      <c r="D503">
        <v>1</v>
      </c>
      <c r="E503">
        <v>1</v>
      </c>
      <c r="F503">
        <v>1</v>
      </c>
      <c r="G503" t="s">
        <v>447</v>
      </c>
      <c r="H503">
        <v>2</v>
      </c>
      <c r="I503" t="s">
        <v>371</v>
      </c>
      <c r="K503" t="s">
        <v>1348</v>
      </c>
      <c r="M503" t="e">
        <v>#N/A</v>
      </c>
      <c r="N503" t="e">
        <v>#N/A</v>
      </c>
      <c r="O503" t="e">
        <v>#N/A</v>
      </c>
      <c r="Q503" t="e">
        <v>#N/A</v>
      </c>
      <c r="R503" t="e">
        <v>#N/A</v>
      </c>
      <c r="S503" t="e">
        <v>#N/A</v>
      </c>
      <c r="T503" t="e">
        <v>#N/A</v>
      </c>
      <c r="U503" t="e">
        <v>#N/A</v>
      </c>
      <c r="V503" t="e">
        <v>#N/A</v>
      </c>
    </row>
    <row r="504" spans="1:22" x14ac:dyDescent="0.25">
      <c r="A504">
        <v>501</v>
      </c>
      <c r="B504">
        <v>2</v>
      </c>
      <c r="C504" t="s">
        <v>372</v>
      </c>
      <c r="D504">
        <v>1</v>
      </c>
      <c r="E504">
        <v>1</v>
      </c>
      <c r="F504">
        <v>1</v>
      </c>
      <c r="G504" t="s">
        <v>447</v>
      </c>
      <c r="H504">
        <v>2</v>
      </c>
      <c r="I504" t="s">
        <v>373</v>
      </c>
      <c r="K504" t="s">
        <v>1348</v>
      </c>
      <c r="M504" t="e">
        <v>#N/A</v>
      </c>
      <c r="N504" t="e">
        <v>#N/A</v>
      </c>
      <c r="O504" t="e">
        <v>#N/A</v>
      </c>
      <c r="Q504" t="e">
        <v>#N/A</v>
      </c>
      <c r="R504" t="e">
        <v>#N/A</v>
      </c>
      <c r="S504" t="e">
        <v>#N/A</v>
      </c>
      <c r="T504" t="e">
        <v>#N/A</v>
      </c>
      <c r="U504" t="e">
        <v>#N/A</v>
      </c>
      <c r="V504" t="e">
        <v>#N/A</v>
      </c>
    </row>
    <row r="505" spans="1:22" x14ac:dyDescent="0.25">
      <c r="A505">
        <v>502</v>
      </c>
      <c r="B505">
        <v>2</v>
      </c>
      <c r="C505" t="s">
        <v>374</v>
      </c>
      <c r="D505">
        <v>2</v>
      </c>
      <c r="E505">
        <v>1</v>
      </c>
      <c r="F505">
        <v>1</v>
      </c>
      <c r="G505" t="s">
        <v>447</v>
      </c>
      <c r="H505">
        <v>2</v>
      </c>
      <c r="I505" t="s">
        <v>375</v>
      </c>
      <c r="K505" t="s">
        <v>1348</v>
      </c>
      <c r="M505" t="e">
        <v>#N/A</v>
      </c>
      <c r="N505" t="e">
        <v>#N/A</v>
      </c>
      <c r="O505" t="e">
        <v>#N/A</v>
      </c>
      <c r="Q505" t="e">
        <v>#N/A</v>
      </c>
      <c r="R505" t="e">
        <v>#N/A</v>
      </c>
      <c r="S505" t="e">
        <v>#N/A</v>
      </c>
      <c r="T505" t="e">
        <v>#N/A</v>
      </c>
      <c r="U505" t="e">
        <v>#N/A</v>
      </c>
      <c r="V505" t="e">
        <v>#N/A</v>
      </c>
    </row>
    <row r="506" spans="1:22" x14ac:dyDescent="0.25">
      <c r="A506">
        <v>503</v>
      </c>
      <c r="B506">
        <v>2</v>
      </c>
      <c r="C506" t="s">
        <v>1222</v>
      </c>
      <c r="D506">
        <v>2</v>
      </c>
      <c r="E506">
        <v>1</v>
      </c>
      <c r="F506">
        <v>1</v>
      </c>
      <c r="G506" t="s">
        <v>447</v>
      </c>
      <c r="H506">
        <v>2</v>
      </c>
      <c r="I506" t="s">
        <v>376</v>
      </c>
      <c r="K506" t="s">
        <v>1348</v>
      </c>
      <c r="M506" t="e">
        <v>#N/A</v>
      </c>
      <c r="N506" t="e">
        <v>#N/A</v>
      </c>
      <c r="O506" t="e">
        <v>#N/A</v>
      </c>
      <c r="Q506" t="e">
        <v>#N/A</v>
      </c>
      <c r="R506" t="e">
        <v>#N/A</v>
      </c>
      <c r="S506" t="e">
        <v>#N/A</v>
      </c>
      <c r="T506" t="e">
        <v>#N/A</v>
      </c>
      <c r="U506" t="e">
        <v>#N/A</v>
      </c>
      <c r="V506" t="e">
        <v>#N/A</v>
      </c>
    </row>
    <row r="507" spans="1:22" x14ac:dyDescent="0.25">
      <c r="A507">
        <v>504</v>
      </c>
      <c r="B507">
        <v>2</v>
      </c>
      <c r="C507" t="s">
        <v>1223</v>
      </c>
      <c r="D507">
        <v>1</v>
      </c>
      <c r="E507">
        <v>1</v>
      </c>
      <c r="F507">
        <v>1</v>
      </c>
      <c r="G507" t="s">
        <v>447</v>
      </c>
      <c r="H507">
        <v>2</v>
      </c>
      <c r="I507" t="s">
        <v>377</v>
      </c>
      <c r="K507" t="s">
        <v>1348</v>
      </c>
      <c r="M507" t="e">
        <v>#N/A</v>
      </c>
      <c r="N507" t="e">
        <v>#N/A</v>
      </c>
      <c r="O507" t="e">
        <v>#N/A</v>
      </c>
      <c r="Q507" t="e">
        <v>#N/A</v>
      </c>
      <c r="R507" t="e">
        <v>#N/A</v>
      </c>
      <c r="S507" t="e">
        <v>#N/A</v>
      </c>
      <c r="T507" t="e">
        <v>#N/A</v>
      </c>
      <c r="U507" t="e">
        <v>#N/A</v>
      </c>
      <c r="V507" t="e">
        <v>#N/A</v>
      </c>
    </row>
    <row r="508" spans="1:22" x14ac:dyDescent="0.25">
      <c r="A508">
        <v>505</v>
      </c>
      <c r="B508">
        <v>2</v>
      </c>
      <c r="C508" t="s">
        <v>378</v>
      </c>
      <c r="D508">
        <v>1</v>
      </c>
      <c r="E508">
        <v>1</v>
      </c>
      <c r="F508">
        <v>1</v>
      </c>
      <c r="G508" t="s">
        <v>447</v>
      </c>
      <c r="H508">
        <v>2</v>
      </c>
      <c r="I508" t="s">
        <v>379</v>
      </c>
      <c r="K508" t="s">
        <v>1348</v>
      </c>
      <c r="M508" t="e">
        <v>#N/A</v>
      </c>
      <c r="N508" t="e">
        <v>#N/A</v>
      </c>
      <c r="O508" t="e">
        <v>#N/A</v>
      </c>
      <c r="Q508" t="e">
        <v>#N/A</v>
      </c>
      <c r="R508" t="e">
        <v>#N/A</v>
      </c>
      <c r="S508" t="e">
        <v>#N/A</v>
      </c>
      <c r="T508" t="e">
        <v>#N/A</v>
      </c>
      <c r="U508" t="e">
        <v>#N/A</v>
      </c>
      <c r="V508" t="e">
        <v>#N/A</v>
      </c>
    </row>
    <row r="509" spans="1:22" x14ac:dyDescent="0.25">
      <c r="A509">
        <v>506</v>
      </c>
      <c r="B509">
        <v>2</v>
      </c>
      <c r="C509" t="s">
        <v>380</v>
      </c>
      <c r="D509">
        <v>2</v>
      </c>
      <c r="E509">
        <v>1</v>
      </c>
      <c r="F509">
        <v>1</v>
      </c>
      <c r="G509" t="s">
        <v>447</v>
      </c>
      <c r="H509">
        <v>2</v>
      </c>
      <c r="I509" t="s">
        <v>381</v>
      </c>
      <c r="K509" t="s">
        <v>1348</v>
      </c>
      <c r="M509" t="e">
        <v>#N/A</v>
      </c>
      <c r="N509" t="e">
        <v>#N/A</v>
      </c>
      <c r="O509" t="e">
        <v>#N/A</v>
      </c>
      <c r="Q509" t="e">
        <v>#N/A</v>
      </c>
      <c r="R509" t="e">
        <v>#N/A</v>
      </c>
      <c r="S509" t="e">
        <v>#N/A</v>
      </c>
      <c r="T509" t="e">
        <v>#N/A</v>
      </c>
      <c r="U509" t="e">
        <v>#N/A</v>
      </c>
      <c r="V509" t="e">
        <v>#N/A</v>
      </c>
    </row>
    <row r="510" spans="1:22" x14ac:dyDescent="0.25">
      <c r="A510">
        <v>507</v>
      </c>
      <c r="B510">
        <v>2</v>
      </c>
      <c r="C510" t="s">
        <v>382</v>
      </c>
      <c r="D510">
        <v>2</v>
      </c>
      <c r="E510">
        <v>1</v>
      </c>
      <c r="F510">
        <v>1</v>
      </c>
      <c r="G510" t="s">
        <v>447</v>
      </c>
      <c r="H510">
        <v>2</v>
      </c>
      <c r="I510" t="s">
        <v>383</v>
      </c>
      <c r="K510" t="s">
        <v>1348</v>
      </c>
      <c r="M510" t="e">
        <v>#N/A</v>
      </c>
      <c r="N510" t="e">
        <v>#N/A</v>
      </c>
      <c r="O510" t="e">
        <v>#N/A</v>
      </c>
      <c r="Q510" t="e">
        <v>#N/A</v>
      </c>
      <c r="R510" t="e">
        <v>#N/A</v>
      </c>
      <c r="S510" t="e">
        <v>#N/A</v>
      </c>
      <c r="T510" t="e">
        <v>#N/A</v>
      </c>
      <c r="U510" t="e">
        <v>#N/A</v>
      </c>
      <c r="V510" t="e">
        <v>#N/A</v>
      </c>
    </row>
    <row r="511" spans="1:22" x14ac:dyDescent="0.25">
      <c r="A511">
        <v>508</v>
      </c>
      <c r="B511">
        <v>2</v>
      </c>
      <c r="C511" t="s">
        <v>384</v>
      </c>
      <c r="D511">
        <v>2</v>
      </c>
      <c r="E511">
        <v>1</v>
      </c>
      <c r="F511">
        <v>1</v>
      </c>
      <c r="G511" t="s">
        <v>447</v>
      </c>
      <c r="H511">
        <v>2</v>
      </c>
      <c r="I511" t="s">
        <v>385</v>
      </c>
      <c r="K511" t="s">
        <v>1348</v>
      </c>
      <c r="M511" t="e">
        <v>#N/A</v>
      </c>
      <c r="N511" t="e">
        <v>#N/A</v>
      </c>
      <c r="O511" t="e">
        <v>#N/A</v>
      </c>
      <c r="Q511" t="e">
        <v>#N/A</v>
      </c>
      <c r="R511" t="e">
        <v>#N/A</v>
      </c>
      <c r="S511" t="e">
        <v>#N/A</v>
      </c>
      <c r="T511" t="e">
        <v>#N/A</v>
      </c>
      <c r="U511" t="e">
        <v>#N/A</v>
      </c>
      <c r="V511" t="e">
        <v>#N/A</v>
      </c>
    </row>
    <row r="512" spans="1:22" x14ac:dyDescent="0.25">
      <c r="A512">
        <v>509</v>
      </c>
      <c r="B512">
        <v>2</v>
      </c>
      <c r="C512" t="s">
        <v>386</v>
      </c>
      <c r="D512">
        <v>2</v>
      </c>
      <c r="E512">
        <v>1</v>
      </c>
      <c r="F512">
        <v>1</v>
      </c>
      <c r="G512" t="s">
        <v>447</v>
      </c>
      <c r="H512">
        <v>2</v>
      </c>
      <c r="I512" t="s">
        <v>387</v>
      </c>
      <c r="K512" t="s">
        <v>1348</v>
      </c>
      <c r="M512" t="e">
        <v>#N/A</v>
      </c>
      <c r="N512" t="e">
        <v>#N/A</v>
      </c>
      <c r="O512" t="e">
        <v>#N/A</v>
      </c>
      <c r="Q512" t="e">
        <v>#N/A</v>
      </c>
      <c r="R512" t="e">
        <v>#N/A</v>
      </c>
      <c r="S512" t="e">
        <v>#N/A</v>
      </c>
      <c r="T512" t="e">
        <v>#N/A</v>
      </c>
      <c r="U512" t="e">
        <v>#N/A</v>
      </c>
      <c r="V512" t="e">
        <v>#N/A</v>
      </c>
    </row>
    <row r="513" spans="1:22" x14ac:dyDescent="0.25">
      <c r="A513">
        <v>510</v>
      </c>
      <c r="B513">
        <v>2</v>
      </c>
      <c r="C513" t="s">
        <v>388</v>
      </c>
      <c r="D513">
        <v>2</v>
      </c>
      <c r="E513">
        <v>2</v>
      </c>
      <c r="F513">
        <v>2</v>
      </c>
      <c r="G513" t="s">
        <v>447</v>
      </c>
      <c r="H513">
        <v>5</v>
      </c>
      <c r="I513" t="s">
        <v>389</v>
      </c>
      <c r="K513" t="s">
        <v>1348</v>
      </c>
      <c r="M513" t="e">
        <v>#N/A</v>
      </c>
      <c r="N513" t="e">
        <v>#N/A</v>
      </c>
      <c r="O513" t="e">
        <v>#N/A</v>
      </c>
      <c r="Q513" t="e">
        <v>#N/A</v>
      </c>
      <c r="R513" t="e">
        <v>#N/A</v>
      </c>
      <c r="S513" t="e">
        <v>#N/A</v>
      </c>
      <c r="T513" t="e">
        <v>#N/A</v>
      </c>
      <c r="U513" t="e">
        <v>#N/A</v>
      </c>
      <c r="V513" t="e">
        <v>#N/A</v>
      </c>
    </row>
    <row r="514" spans="1:22" x14ac:dyDescent="0.25">
      <c r="A514">
        <v>511</v>
      </c>
      <c r="B514">
        <v>2</v>
      </c>
      <c r="C514" t="s">
        <v>390</v>
      </c>
      <c r="D514">
        <v>2</v>
      </c>
      <c r="E514">
        <v>1</v>
      </c>
      <c r="F514">
        <v>1</v>
      </c>
      <c r="G514" t="s">
        <v>447</v>
      </c>
      <c r="H514">
        <v>3</v>
      </c>
      <c r="I514" t="s">
        <v>391</v>
      </c>
      <c r="K514" t="s">
        <v>1348</v>
      </c>
      <c r="M514" t="e">
        <v>#N/A</v>
      </c>
      <c r="N514" t="e">
        <v>#N/A</v>
      </c>
      <c r="O514" t="e">
        <v>#N/A</v>
      </c>
      <c r="Q514" t="e">
        <v>#N/A</v>
      </c>
      <c r="R514" t="e">
        <v>#N/A</v>
      </c>
      <c r="S514" t="e">
        <v>#N/A</v>
      </c>
      <c r="T514" t="e">
        <v>#N/A</v>
      </c>
      <c r="U514" t="e">
        <v>#N/A</v>
      </c>
      <c r="V514" t="e">
        <v>#N/A</v>
      </c>
    </row>
    <row r="515" spans="1:22" x14ac:dyDescent="0.25">
      <c r="A515">
        <v>512</v>
      </c>
      <c r="B515">
        <v>2</v>
      </c>
      <c r="C515" t="s">
        <v>392</v>
      </c>
      <c r="D515">
        <v>2</v>
      </c>
      <c r="E515">
        <v>2</v>
      </c>
      <c r="F515">
        <v>1</v>
      </c>
      <c r="G515" t="s">
        <v>447</v>
      </c>
      <c r="H515">
        <v>2</v>
      </c>
      <c r="I515" t="s">
        <v>393</v>
      </c>
      <c r="K515" t="s">
        <v>1348</v>
      </c>
      <c r="M515" t="e">
        <v>#N/A</v>
      </c>
      <c r="N515" t="e">
        <v>#N/A</v>
      </c>
      <c r="O515" t="e">
        <v>#N/A</v>
      </c>
      <c r="Q515" t="e">
        <v>#N/A</v>
      </c>
      <c r="R515" t="e">
        <v>#N/A</v>
      </c>
      <c r="S515" t="e">
        <v>#N/A</v>
      </c>
      <c r="T515" t="e">
        <v>#N/A</v>
      </c>
      <c r="U515" t="e">
        <v>#N/A</v>
      </c>
      <c r="V515" t="e">
        <v>#N/A</v>
      </c>
    </row>
    <row r="516" spans="1:22" x14ac:dyDescent="0.25">
      <c r="A516">
        <v>513</v>
      </c>
      <c r="B516">
        <v>2</v>
      </c>
      <c r="C516" t="s">
        <v>394</v>
      </c>
      <c r="D516">
        <v>4</v>
      </c>
      <c r="E516">
        <v>1</v>
      </c>
      <c r="F516">
        <v>1</v>
      </c>
      <c r="G516" t="s">
        <v>544</v>
      </c>
      <c r="H516">
        <v>1</v>
      </c>
      <c r="I516" t="s">
        <v>395</v>
      </c>
      <c r="K516" t="s">
        <v>1348</v>
      </c>
      <c r="M516" t="e">
        <v>#N/A</v>
      </c>
      <c r="N516" t="e">
        <v>#N/A</v>
      </c>
      <c r="O516" t="e">
        <v>#N/A</v>
      </c>
      <c r="Q516" t="e">
        <v>#N/A</v>
      </c>
      <c r="R516" t="e">
        <v>#N/A</v>
      </c>
      <c r="S516" t="e">
        <v>#N/A</v>
      </c>
      <c r="T516" t="e">
        <v>#N/A</v>
      </c>
      <c r="U516" t="e">
        <v>#N/A</v>
      </c>
      <c r="V516" t="e">
        <v>#N/A</v>
      </c>
    </row>
    <row r="517" spans="1:22" x14ac:dyDescent="0.25">
      <c r="A517">
        <v>514</v>
      </c>
      <c r="B517">
        <v>2</v>
      </c>
      <c r="C517" t="s">
        <v>1238</v>
      </c>
      <c r="D517">
        <v>2</v>
      </c>
      <c r="E517">
        <v>1</v>
      </c>
      <c r="F517">
        <v>1</v>
      </c>
      <c r="G517" t="s">
        <v>447</v>
      </c>
      <c r="H517">
        <v>3</v>
      </c>
      <c r="I517" t="s">
        <v>396</v>
      </c>
      <c r="K517" t="s">
        <v>1348</v>
      </c>
      <c r="M517" t="e">
        <v>#N/A</v>
      </c>
      <c r="N517" t="e">
        <v>#N/A</v>
      </c>
      <c r="O517" t="e">
        <v>#N/A</v>
      </c>
      <c r="Q517" t="e">
        <v>#N/A</v>
      </c>
      <c r="R517" t="e">
        <v>#N/A</v>
      </c>
      <c r="S517" t="e">
        <v>#N/A</v>
      </c>
      <c r="T517" t="e">
        <v>#N/A</v>
      </c>
      <c r="U517" t="e">
        <v>#N/A</v>
      </c>
      <c r="V517" t="e">
        <v>#N/A</v>
      </c>
    </row>
    <row r="518" spans="1:22" x14ac:dyDescent="0.25">
      <c r="A518">
        <v>515</v>
      </c>
      <c r="B518">
        <v>2</v>
      </c>
      <c r="C518" t="s">
        <v>1239</v>
      </c>
      <c r="D518">
        <v>1</v>
      </c>
      <c r="E518">
        <v>1</v>
      </c>
      <c r="F518">
        <v>1</v>
      </c>
      <c r="G518" t="s">
        <v>447</v>
      </c>
      <c r="H518">
        <v>3</v>
      </c>
      <c r="I518" t="s">
        <v>397</v>
      </c>
      <c r="K518" t="s">
        <v>1348</v>
      </c>
      <c r="M518" t="e">
        <v>#N/A</v>
      </c>
      <c r="N518" t="e">
        <v>#N/A</v>
      </c>
      <c r="O518" t="e">
        <v>#N/A</v>
      </c>
      <c r="Q518" t="e">
        <v>#N/A</v>
      </c>
      <c r="R518" t="e">
        <v>#N/A</v>
      </c>
      <c r="S518" t="e">
        <v>#N/A</v>
      </c>
      <c r="T518" t="e">
        <v>#N/A</v>
      </c>
      <c r="U518" t="e">
        <v>#N/A</v>
      </c>
      <c r="V518" t="e">
        <v>#N/A</v>
      </c>
    </row>
    <row r="519" spans="1:22" x14ac:dyDescent="0.25">
      <c r="A519">
        <v>516</v>
      </c>
      <c r="B519">
        <v>2</v>
      </c>
      <c r="C519" t="s">
        <v>398</v>
      </c>
      <c r="D519">
        <v>2</v>
      </c>
      <c r="E519">
        <v>1</v>
      </c>
      <c r="F519">
        <v>1</v>
      </c>
      <c r="G519" t="s">
        <v>447</v>
      </c>
      <c r="H519">
        <v>3</v>
      </c>
      <c r="I519" t="s">
        <v>399</v>
      </c>
      <c r="K519" t="s">
        <v>1348</v>
      </c>
      <c r="M519" t="e">
        <v>#N/A</v>
      </c>
      <c r="N519" t="e">
        <v>#N/A</v>
      </c>
      <c r="O519" t="e">
        <v>#N/A</v>
      </c>
      <c r="Q519" t="e">
        <v>#N/A</v>
      </c>
      <c r="R519" t="e">
        <v>#N/A</v>
      </c>
      <c r="S519" t="e">
        <v>#N/A</v>
      </c>
      <c r="T519" t="e">
        <v>#N/A</v>
      </c>
      <c r="U519" t="e">
        <v>#N/A</v>
      </c>
      <c r="V519" t="e">
        <v>#N/A</v>
      </c>
    </row>
    <row r="520" spans="1:22" x14ac:dyDescent="0.25">
      <c r="A520">
        <v>517</v>
      </c>
      <c r="B520">
        <v>2</v>
      </c>
      <c r="C520" t="s">
        <v>400</v>
      </c>
      <c r="D520">
        <v>2</v>
      </c>
      <c r="E520">
        <v>1</v>
      </c>
      <c r="F520">
        <v>1</v>
      </c>
      <c r="G520" t="s">
        <v>447</v>
      </c>
      <c r="H520">
        <v>3</v>
      </c>
      <c r="I520" t="s">
        <v>401</v>
      </c>
      <c r="K520" t="s">
        <v>1348</v>
      </c>
      <c r="M520" t="e">
        <v>#N/A</v>
      </c>
      <c r="N520" t="e">
        <v>#N/A</v>
      </c>
      <c r="O520" t="e">
        <v>#N/A</v>
      </c>
      <c r="Q520" t="e">
        <v>#N/A</v>
      </c>
      <c r="R520" t="e">
        <v>#N/A</v>
      </c>
      <c r="S520" t="e">
        <v>#N/A</v>
      </c>
      <c r="T520" t="e">
        <v>#N/A</v>
      </c>
      <c r="U520" t="e">
        <v>#N/A</v>
      </c>
      <c r="V520" t="e">
        <v>#N/A</v>
      </c>
    </row>
    <row r="521" spans="1:22" x14ac:dyDescent="0.25">
      <c r="A521">
        <v>518</v>
      </c>
      <c r="B521">
        <v>2</v>
      </c>
      <c r="C521" t="s">
        <v>402</v>
      </c>
      <c r="D521">
        <v>2</v>
      </c>
      <c r="E521">
        <v>2</v>
      </c>
      <c r="F521">
        <v>1</v>
      </c>
      <c r="G521" t="s">
        <v>447</v>
      </c>
      <c r="H521">
        <v>3</v>
      </c>
      <c r="I521" t="s">
        <v>403</v>
      </c>
      <c r="K521" t="s">
        <v>1348</v>
      </c>
      <c r="M521" t="e">
        <v>#N/A</v>
      </c>
      <c r="N521" t="e">
        <v>#N/A</v>
      </c>
      <c r="O521" t="e">
        <v>#N/A</v>
      </c>
      <c r="Q521" t="e">
        <v>#N/A</v>
      </c>
      <c r="R521" t="e">
        <v>#N/A</v>
      </c>
      <c r="S521" t="e">
        <v>#N/A</v>
      </c>
      <c r="T521" t="e">
        <v>#N/A</v>
      </c>
      <c r="U521" t="e">
        <v>#N/A</v>
      </c>
      <c r="V521" t="e">
        <v>#N/A</v>
      </c>
    </row>
    <row r="522" spans="1:22" x14ac:dyDescent="0.25">
      <c r="A522">
        <v>519</v>
      </c>
      <c r="B522">
        <v>2</v>
      </c>
      <c r="C522" t="s">
        <v>404</v>
      </c>
      <c r="D522">
        <v>2</v>
      </c>
      <c r="E522">
        <v>2</v>
      </c>
      <c r="F522">
        <v>1</v>
      </c>
      <c r="G522" t="s">
        <v>447</v>
      </c>
      <c r="H522">
        <v>3</v>
      </c>
      <c r="I522" t="s">
        <v>405</v>
      </c>
      <c r="K522" t="s">
        <v>1348</v>
      </c>
      <c r="M522" t="e">
        <v>#N/A</v>
      </c>
      <c r="N522" t="e">
        <v>#N/A</v>
      </c>
      <c r="O522" t="e">
        <v>#N/A</v>
      </c>
      <c r="Q522" t="e">
        <v>#N/A</v>
      </c>
      <c r="R522" t="e">
        <v>#N/A</v>
      </c>
      <c r="S522" t="e">
        <v>#N/A</v>
      </c>
      <c r="T522" t="e">
        <v>#N/A</v>
      </c>
      <c r="U522" t="e">
        <v>#N/A</v>
      </c>
      <c r="V522" t="e">
        <v>#N/A</v>
      </c>
    </row>
    <row r="523" spans="1:22" x14ac:dyDescent="0.25">
      <c r="A523">
        <v>520</v>
      </c>
      <c r="B523">
        <v>2</v>
      </c>
      <c r="C523" t="s">
        <v>406</v>
      </c>
      <c r="D523">
        <v>2</v>
      </c>
      <c r="E523">
        <v>1</v>
      </c>
      <c r="F523">
        <v>1</v>
      </c>
      <c r="G523" t="s">
        <v>447</v>
      </c>
      <c r="H523">
        <v>3</v>
      </c>
      <c r="I523" t="s">
        <v>407</v>
      </c>
      <c r="K523" t="s">
        <v>1348</v>
      </c>
      <c r="M523" t="e">
        <v>#N/A</v>
      </c>
      <c r="N523" t="e">
        <v>#N/A</v>
      </c>
      <c r="O523" t="e">
        <v>#N/A</v>
      </c>
      <c r="Q523" t="e">
        <v>#N/A</v>
      </c>
      <c r="R523" t="e">
        <v>#N/A</v>
      </c>
      <c r="S523" t="e">
        <v>#N/A</v>
      </c>
      <c r="T523" t="e">
        <v>#N/A</v>
      </c>
      <c r="U523" t="e">
        <v>#N/A</v>
      </c>
      <c r="V523" t="e">
        <v>#N/A</v>
      </c>
    </row>
    <row r="524" spans="1:22" x14ac:dyDescent="0.25">
      <c r="A524">
        <v>521</v>
      </c>
      <c r="B524">
        <v>2</v>
      </c>
      <c r="C524" t="s">
        <v>408</v>
      </c>
      <c r="D524">
        <v>2</v>
      </c>
      <c r="E524">
        <v>1</v>
      </c>
      <c r="F524">
        <v>1</v>
      </c>
      <c r="G524" t="s">
        <v>447</v>
      </c>
      <c r="H524">
        <v>3</v>
      </c>
      <c r="I524" t="s">
        <v>409</v>
      </c>
      <c r="K524" t="s">
        <v>1348</v>
      </c>
      <c r="M524" t="e">
        <v>#N/A</v>
      </c>
      <c r="N524" t="e">
        <v>#N/A</v>
      </c>
      <c r="O524" t="e">
        <v>#N/A</v>
      </c>
      <c r="Q524" t="e">
        <v>#N/A</v>
      </c>
      <c r="R524" t="e">
        <v>#N/A</v>
      </c>
      <c r="S524" t="e">
        <v>#N/A</v>
      </c>
      <c r="T524" t="e">
        <v>#N/A</v>
      </c>
      <c r="U524" t="e">
        <v>#N/A</v>
      </c>
      <c r="V524" t="e">
        <v>#N/A</v>
      </c>
    </row>
    <row r="525" spans="1:22" x14ac:dyDescent="0.25">
      <c r="A525">
        <v>522</v>
      </c>
      <c r="B525">
        <v>2</v>
      </c>
      <c r="C525" t="s">
        <v>410</v>
      </c>
      <c r="D525">
        <v>2</v>
      </c>
      <c r="E525">
        <v>2</v>
      </c>
      <c r="F525">
        <v>2</v>
      </c>
      <c r="G525" t="s">
        <v>447</v>
      </c>
      <c r="H525">
        <v>6</v>
      </c>
      <c r="I525" t="s">
        <v>411</v>
      </c>
      <c r="K525" t="s">
        <v>1348</v>
      </c>
      <c r="M525" t="e">
        <v>#N/A</v>
      </c>
      <c r="N525" t="e">
        <v>#N/A</v>
      </c>
      <c r="O525" t="e">
        <v>#N/A</v>
      </c>
      <c r="Q525" t="e">
        <v>#N/A</v>
      </c>
      <c r="R525" t="e">
        <v>#N/A</v>
      </c>
      <c r="S525" t="e">
        <v>#N/A</v>
      </c>
      <c r="T525" t="e">
        <v>#N/A</v>
      </c>
      <c r="U525" t="e">
        <v>#N/A</v>
      </c>
      <c r="V525" t="e">
        <v>#N/A</v>
      </c>
    </row>
    <row r="526" spans="1:22" x14ac:dyDescent="0.25">
      <c r="A526">
        <v>523</v>
      </c>
      <c r="B526">
        <v>2</v>
      </c>
      <c r="C526" t="s">
        <v>412</v>
      </c>
      <c r="D526">
        <v>2</v>
      </c>
      <c r="E526">
        <v>2</v>
      </c>
      <c r="F526">
        <v>1</v>
      </c>
      <c r="G526" t="s">
        <v>447</v>
      </c>
      <c r="H526">
        <v>4</v>
      </c>
      <c r="I526" t="s">
        <v>413</v>
      </c>
      <c r="K526" t="s">
        <v>1348</v>
      </c>
      <c r="M526" t="e">
        <v>#N/A</v>
      </c>
      <c r="N526" t="e">
        <v>#N/A</v>
      </c>
      <c r="O526" t="e">
        <v>#N/A</v>
      </c>
      <c r="Q526" t="e">
        <v>#N/A</v>
      </c>
      <c r="R526" t="e">
        <v>#N/A</v>
      </c>
      <c r="S526" t="e">
        <v>#N/A</v>
      </c>
      <c r="T526" t="e">
        <v>#N/A</v>
      </c>
      <c r="U526" t="e">
        <v>#N/A</v>
      </c>
      <c r="V526" t="e">
        <v>#N/A</v>
      </c>
    </row>
    <row r="527" spans="1:22" x14ac:dyDescent="0.25">
      <c r="A527">
        <v>524</v>
      </c>
      <c r="B527">
        <v>2</v>
      </c>
      <c r="C527" t="s">
        <v>414</v>
      </c>
      <c r="D527">
        <v>2</v>
      </c>
      <c r="E527">
        <v>2</v>
      </c>
      <c r="F527">
        <v>1</v>
      </c>
      <c r="G527" t="s">
        <v>447</v>
      </c>
      <c r="H527">
        <v>4</v>
      </c>
      <c r="I527" t="s">
        <v>415</v>
      </c>
      <c r="K527" t="s">
        <v>1348</v>
      </c>
      <c r="M527" t="e">
        <v>#N/A</v>
      </c>
      <c r="N527" t="e">
        <v>#N/A</v>
      </c>
      <c r="O527" t="e">
        <v>#N/A</v>
      </c>
      <c r="Q527" t="e">
        <v>#N/A</v>
      </c>
      <c r="R527" t="e">
        <v>#N/A</v>
      </c>
      <c r="S527" t="e">
        <v>#N/A</v>
      </c>
      <c r="T527" t="e">
        <v>#N/A</v>
      </c>
      <c r="U527" t="e">
        <v>#N/A</v>
      </c>
      <c r="V527" t="e">
        <v>#N/A</v>
      </c>
    </row>
    <row r="528" spans="1:22" x14ac:dyDescent="0.25">
      <c r="A528">
        <v>525</v>
      </c>
      <c r="B528">
        <v>2</v>
      </c>
      <c r="C528" t="s">
        <v>416</v>
      </c>
      <c r="D528">
        <v>1</v>
      </c>
      <c r="E528">
        <v>1</v>
      </c>
      <c r="F528">
        <v>1</v>
      </c>
      <c r="G528" t="s">
        <v>447</v>
      </c>
      <c r="H528">
        <v>26</v>
      </c>
      <c r="I528" t="s">
        <v>417</v>
      </c>
      <c r="K528" t="s">
        <v>1348</v>
      </c>
      <c r="M528" t="e">
        <v>#N/A</v>
      </c>
      <c r="N528" t="e">
        <v>#N/A</v>
      </c>
      <c r="O528" t="e">
        <v>#N/A</v>
      </c>
      <c r="Q528" t="e">
        <v>#N/A</v>
      </c>
      <c r="R528" t="e">
        <v>#N/A</v>
      </c>
      <c r="S528" t="e">
        <v>#N/A</v>
      </c>
      <c r="T528" t="e">
        <v>#N/A</v>
      </c>
      <c r="U528" t="e">
        <v>#N/A</v>
      </c>
      <c r="V528" t="e">
        <v>#N/A</v>
      </c>
    </row>
    <row r="529" spans="1:22" x14ac:dyDescent="0.25">
      <c r="A529">
        <v>526</v>
      </c>
      <c r="B529">
        <v>2</v>
      </c>
      <c r="C529" t="s">
        <v>418</v>
      </c>
      <c r="D529">
        <v>1</v>
      </c>
      <c r="E529">
        <v>1</v>
      </c>
      <c r="F529">
        <v>1</v>
      </c>
      <c r="G529" t="s">
        <v>447</v>
      </c>
      <c r="H529">
        <v>8</v>
      </c>
      <c r="I529" t="s">
        <v>419</v>
      </c>
      <c r="K529" t="s">
        <v>1348</v>
      </c>
      <c r="M529" t="e">
        <v>#N/A</v>
      </c>
      <c r="N529" t="e">
        <v>#N/A</v>
      </c>
      <c r="O529" t="e">
        <v>#N/A</v>
      </c>
      <c r="Q529" t="e">
        <v>#N/A</v>
      </c>
      <c r="R529" t="e">
        <v>#N/A</v>
      </c>
      <c r="S529" t="e">
        <v>#N/A</v>
      </c>
      <c r="T529" t="e">
        <v>#N/A</v>
      </c>
      <c r="U529" t="e">
        <v>#N/A</v>
      </c>
      <c r="V529" t="e">
        <v>#N/A</v>
      </c>
    </row>
    <row r="530" spans="1:22" x14ac:dyDescent="0.25">
      <c r="A530">
        <v>527</v>
      </c>
      <c r="B530">
        <v>2</v>
      </c>
      <c r="C530" t="s">
        <v>1215</v>
      </c>
      <c r="D530">
        <v>1</v>
      </c>
      <c r="E530">
        <v>1</v>
      </c>
      <c r="F530">
        <v>1</v>
      </c>
      <c r="G530" t="s">
        <v>544</v>
      </c>
      <c r="H530">
        <v>8</v>
      </c>
      <c r="I530" t="s">
        <v>420</v>
      </c>
      <c r="K530" t="s">
        <v>1348</v>
      </c>
      <c r="M530" t="e">
        <v>#N/A</v>
      </c>
      <c r="N530" t="e">
        <v>#N/A</v>
      </c>
      <c r="O530" t="e">
        <v>#N/A</v>
      </c>
      <c r="Q530" t="e">
        <v>#N/A</v>
      </c>
      <c r="R530" t="e">
        <v>#N/A</v>
      </c>
      <c r="S530" t="e">
        <v>#N/A</v>
      </c>
      <c r="T530" t="e">
        <v>#N/A</v>
      </c>
      <c r="U530" t="e">
        <v>#N/A</v>
      </c>
      <c r="V530" t="e">
        <v>#N/A</v>
      </c>
    </row>
    <row r="531" spans="1:22" x14ac:dyDescent="0.25">
      <c r="A531">
        <v>528</v>
      </c>
      <c r="B531">
        <v>2</v>
      </c>
      <c r="C531" t="s">
        <v>421</v>
      </c>
      <c r="D531">
        <v>79</v>
      </c>
      <c r="E531">
        <v>1</v>
      </c>
      <c r="F531">
        <v>1</v>
      </c>
      <c r="G531" t="s">
        <v>589</v>
      </c>
      <c r="H531">
        <v>12</v>
      </c>
      <c r="I531" t="s">
        <v>422</v>
      </c>
      <c r="K531" t="s">
        <v>1348</v>
      </c>
      <c r="M531" t="e">
        <v>#N/A</v>
      </c>
      <c r="N531" t="e">
        <v>#N/A</v>
      </c>
      <c r="O531" t="e">
        <v>#N/A</v>
      </c>
      <c r="Q531" t="e">
        <v>#N/A</v>
      </c>
      <c r="R531" t="e">
        <v>#N/A</v>
      </c>
      <c r="S531" t="e">
        <v>#N/A</v>
      </c>
      <c r="T531" t="e">
        <v>#N/A</v>
      </c>
      <c r="U531" t="e">
        <v>#N/A</v>
      </c>
      <c r="V531" t="e">
        <v>#N/A</v>
      </c>
    </row>
    <row r="532" spans="1:22" x14ac:dyDescent="0.25">
      <c r="A532">
        <v>529</v>
      </c>
      <c r="B532">
        <v>2</v>
      </c>
      <c r="C532" t="s">
        <v>423</v>
      </c>
      <c r="D532">
        <v>1</v>
      </c>
      <c r="E532">
        <v>1</v>
      </c>
      <c r="F532">
        <v>1</v>
      </c>
      <c r="G532" t="s">
        <v>447</v>
      </c>
      <c r="H532">
        <v>2</v>
      </c>
      <c r="I532" t="s">
        <v>424</v>
      </c>
      <c r="K532" t="s">
        <v>1348</v>
      </c>
      <c r="M532" t="e">
        <v>#N/A</v>
      </c>
      <c r="N532" t="e">
        <v>#N/A</v>
      </c>
      <c r="O532" t="e">
        <v>#N/A</v>
      </c>
      <c r="Q532" t="e">
        <v>#N/A</v>
      </c>
      <c r="R532" t="e">
        <v>#N/A</v>
      </c>
      <c r="S532" t="e">
        <v>#N/A</v>
      </c>
      <c r="T532" t="e">
        <v>#N/A</v>
      </c>
      <c r="U532" t="e">
        <v>#N/A</v>
      </c>
      <c r="V532" t="e">
        <v>#N/A</v>
      </c>
    </row>
    <row r="533" spans="1:22" x14ac:dyDescent="0.25">
      <c r="A533">
        <v>530</v>
      </c>
      <c r="B533">
        <v>2</v>
      </c>
      <c r="C533" t="s">
        <v>425</v>
      </c>
      <c r="D533">
        <v>1</v>
      </c>
      <c r="E533">
        <v>1</v>
      </c>
      <c r="F533">
        <v>1</v>
      </c>
      <c r="G533" t="s">
        <v>447</v>
      </c>
      <c r="H533">
        <v>2</v>
      </c>
      <c r="I533" t="s">
        <v>426</v>
      </c>
      <c r="K533" t="s">
        <v>1348</v>
      </c>
      <c r="M533" t="e">
        <v>#N/A</v>
      </c>
      <c r="N533" t="e">
        <v>#N/A</v>
      </c>
      <c r="O533" t="e">
        <v>#N/A</v>
      </c>
      <c r="Q533" t="e">
        <v>#N/A</v>
      </c>
      <c r="R533" t="e">
        <v>#N/A</v>
      </c>
      <c r="S533" t="e">
        <v>#N/A</v>
      </c>
      <c r="T533" t="e">
        <v>#N/A</v>
      </c>
      <c r="U533" t="e">
        <v>#N/A</v>
      </c>
      <c r="V533" t="e">
        <v>#N/A</v>
      </c>
    </row>
    <row r="534" spans="1:22" x14ac:dyDescent="0.25">
      <c r="A534">
        <v>531</v>
      </c>
      <c r="B534">
        <v>2</v>
      </c>
      <c r="C534" t="s">
        <v>427</v>
      </c>
      <c r="D534">
        <v>2</v>
      </c>
      <c r="E534">
        <v>1</v>
      </c>
      <c r="F534">
        <v>1</v>
      </c>
      <c r="G534" t="s">
        <v>447</v>
      </c>
      <c r="H534">
        <v>2</v>
      </c>
      <c r="I534" t="s">
        <v>428</v>
      </c>
      <c r="K534" t="s">
        <v>1348</v>
      </c>
      <c r="M534" t="e">
        <v>#N/A</v>
      </c>
      <c r="N534" t="e">
        <v>#N/A</v>
      </c>
      <c r="O534" t="e">
        <v>#N/A</v>
      </c>
      <c r="Q534" t="e">
        <v>#N/A</v>
      </c>
      <c r="R534" t="e">
        <v>#N/A</v>
      </c>
      <c r="S534" t="e">
        <v>#N/A</v>
      </c>
      <c r="T534" t="e">
        <v>#N/A</v>
      </c>
      <c r="U534" t="e">
        <v>#N/A</v>
      </c>
      <c r="V534" t="e">
        <v>#N/A</v>
      </c>
    </row>
    <row r="535" spans="1:22" x14ac:dyDescent="0.25">
      <c r="A535">
        <v>532</v>
      </c>
      <c r="B535">
        <v>2</v>
      </c>
      <c r="C535" t="s">
        <v>429</v>
      </c>
      <c r="D535">
        <v>1</v>
      </c>
      <c r="E535">
        <v>1</v>
      </c>
      <c r="F535">
        <v>1</v>
      </c>
      <c r="G535" t="s">
        <v>544</v>
      </c>
      <c r="H535">
        <v>2</v>
      </c>
      <c r="I535" t="s">
        <v>430</v>
      </c>
      <c r="K535" t="s">
        <v>1348</v>
      </c>
      <c r="M535" t="e">
        <v>#N/A</v>
      </c>
      <c r="N535" t="e">
        <v>#N/A</v>
      </c>
      <c r="O535" t="e">
        <v>#N/A</v>
      </c>
      <c r="Q535" t="e">
        <v>#N/A</v>
      </c>
      <c r="R535" t="e">
        <v>#N/A</v>
      </c>
      <c r="S535" t="e">
        <v>#N/A</v>
      </c>
      <c r="T535" t="e">
        <v>#N/A</v>
      </c>
      <c r="U535" t="e">
        <v>#N/A</v>
      </c>
      <c r="V535" t="e">
        <v>#N/A</v>
      </c>
    </row>
    <row r="536" spans="1:22" x14ac:dyDescent="0.25">
      <c r="A536">
        <v>533</v>
      </c>
      <c r="B536">
        <v>2</v>
      </c>
      <c r="C536" t="s">
        <v>431</v>
      </c>
      <c r="D536">
        <v>2</v>
      </c>
      <c r="E536">
        <v>1</v>
      </c>
      <c r="F536">
        <v>1</v>
      </c>
      <c r="G536" t="s">
        <v>589</v>
      </c>
      <c r="H536">
        <v>2</v>
      </c>
      <c r="I536" t="s">
        <v>432</v>
      </c>
      <c r="K536" t="s">
        <v>1348</v>
      </c>
      <c r="M536" t="e">
        <v>#N/A</v>
      </c>
      <c r="N536" t="e">
        <v>#N/A</v>
      </c>
      <c r="O536" t="e">
        <v>#N/A</v>
      </c>
      <c r="Q536" t="e">
        <v>#N/A</v>
      </c>
      <c r="R536" t="e">
        <v>#N/A</v>
      </c>
      <c r="S536" t="e">
        <v>#N/A</v>
      </c>
      <c r="T536" t="e">
        <v>#N/A</v>
      </c>
      <c r="U536" t="e">
        <v>#N/A</v>
      </c>
      <c r="V536" t="e">
        <v>#N/A</v>
      </c>
    </row>
    <row r="537" spans="1:22" x14ac:dyDescent="0.25">
      <c r="A537">
        <v>534</v>
      </c>
      <c r="B537">
        <v>2</v>
      </c>
      <c r="C537" t="s">
        <v>433</v>
      </c>
      <c r="D537">
        <v>2</v>
      </c>
      <c r="E537">
        <v>1</v>
      </c>
      <c r="F537">
        <v>1</v>
      </c>
      <c r="G537" t="s">
        <v>589</v>
      </c>
      <c r="H537">
        <v>2</v>
      </c>
      <c r="I537" t="s">
        <v>434</v>
      </c>
      <c r="K537" t="s">
        <v>1348</v>
      </c>
      <c r="M537" t="e">
        <v>#N/A</v>
      </c>
      <c r="N537" t="e">
        <v>#N/A</v>
      </c>
      <c r="O537" t="e">
        <v>#N/A</v>
      </c>
      <c r="Q537" t="e">
        <v>#N/A</v>
      </c>
      <c r="R537" t="e">
        <v>#N/A</v>
      </c>
      <c r="S537" t="e">
        <v>#N/A</v>
      </c>
      <c r="T537" t="e">
        <v>#N/A</v>
      </c>
      <c r="U537" t="e">
        <v>#N/A</v>
      </c>
      <c r="V537" t="e">
        <v>#N/A</v>
      </c>
    </row>
    <row r="538" spans="1:22" x14ac:dyDescent="0.25">
      <c r="A538">
        <v>535</v>
      </c>
      <c r="B538">
        <v>3</v>
      </c>
      <c r="C538" t="s">
        <v>435</v>
      </c>
      <c r="D538">
        <v>4</v>
      </c>
      <c r="E538">
        <v>2</v>
      </c>
      <c r="F538">
        <v>1</v>
      </c>
      <c r="G538" t="s">
        <v>589</v>
      </c>
      <c r="H538">
        <v>1</v>
      </c>
      <c r="I538" t="s">
        <v>436</v>
      </c>
      <c r="K538" t="s">
        <v>1348</v>
      </c>
      <c r="M538" t="e">
        <v>#N/A</v>
      </c>
      <c r="N538" t="e">
        <v>#N/A</v>
      </c>
      <c r="O538" t="e">
        <v>#N/A</v>
      </c>
      <c r="Q538" t="e">
        <v>#N/A</v>
      </c>
      <c r="R538" t="e">
        <v>#N/A</v>
      </c>
      <c r="S538" t="e">
        <v>#N/A</v>
      </c>
      <c r="T538" t="e">
        <v>#N/A</v>
      </c>
      <c r="U538" t="e">
        <v>#N/A</v>
      </c>
      <c r="V538" t="e">
        <v>#N/A</v>
      </c>
    </row>
    <row r="540" spans="1:22" x14ac:dyDescent="0.25">
      <c r="B540">
        <v>1</v>
      </c>
      <c r="C540" t="s">
        <v>554</v>
      </c>
      <c r="D540">
        <v>5</v>
      </c>
      <c r="E540">
        <v>2</v>
      </c>
      <c r="F540">
        <v>1</v>
      </c>
      <c r="G540" t="s">
        <v>544</v>
      </c>
      <c r="H540">
        <v>1</v>
      </c>
      <c r="I540" t="s">
        <v>555</v>
      </c>
      <c r="J540" t="s">
        <v>1342</v>
      </c>
    </row>
    <row r="541" spans="1:22" x14ac:dyDescent="0.25">
      <c r="B541">
        <v>1</v>
      </c>
      <c r="C541" t="s">
        <v>730</v>
      </c>
      <c r="D541">
        <v>1</v>
      </c>
      <c r="E541">
        <v>1</v>
      </c>
      <c r="F541">
        <v>1</v>
      </c>
      <c r="G541" t="s">
        <v>731</v>
      </c>
      <c r="H541">
        <v>4</v>
      </c>
      <c r="I541" t="s">
        <v>732</v>
      </c>
      <c r="J541" t="s">
        <v>1348</v>
      </c>
    </row>
    <row r="542" spans="1:22" x14ac:dyDescent="0.25">
      <c r="B542">
        <v>1</v>
      </c>
      <c r="C542" t="s">
        <v>733</v>
      </c>
      <c r="D542">
        <v>2</v>
      </c>
      <c r="E542">
        <v>11</v>
      </c>
      <c r="F542">
        <v>1</v>
      </c>
      <c r="G542" t="s">
        <v>447</v>
      </c>
      <c r="H542">
        <v>5</v>
      </c>
      <c r="I542" t="s">
        <v>734</v>
      </c>
      <c r="J542" t="s">
        <v>1340</v>
      </c>
    </row>
    <row r="544" spans="1:22" x14ac:dyDescent="0.25">
      <c r="B544">
        <v>2</v>
      </c>
      <c r="C544" t="s">
        <v>735</v>
      </c>
      <c r="D544">
        <v>2</v>
      </c>
      <c r="E544">
        <v>16</v>
      </c>
      <c r="F544">
        <v>1</v>
      </c>
      <c r="G544" t="s">
        <v>447</v>
      </c>
      <c r="H544">
        <v>1</v>
      </c>
      <c r="I544" t="s">
        <v>736</v>
      </c>
      <c r="J544" t="s">
        <v>1347</v>
      </c>
    </row>
    <row r="545" spans="2:10" x14ac:dyDescent="0.25">
      <c r="B545">
        <v>2</v>
      </c>
      <c r="C545" t="s">
        <v>753</v>
      </c>
      <c r="D545">
        <v>1</v>
      </c>
      <c r="E545">
        <v>1</v>
      </c>
      <c r="F545">
        <v>1</v>
      </c>
      <c r="G545" t="s">
        <v>447</v>
      </c>
      <c r="H545">
        <v>1</v>
      </c>
      <c r="I545" t="s">
        <v>754</v>
      </c>
      <c r="J545" t="s">
        <v>1345</v>
      </c>
    </row>
    <row r="546" spans="2:10" x14ac:dyDescent="0.25">
      <c r="B546">
        <v>2</v>
      </c>
      <c r="C546" t="s">
        <v>896</v>
      </c>
      <c r="D546">
        <v>3</v>
      </c>
      <c r="E546">
        <v>1</v>
      </c>
      <c r="F546">
        <v>1</v>
      </c>
      <c r="G546" t="s">
        <v>447</v>
      </c>
      <c r="H546">
        <v>4</v>
      </c>
      <c r="I546" t="s">
        <v>897</v>
      </c>
      <c r="J546" t="s">
        <v>1349</v>
      </c>
    </row>
    <row r="547" spans="2:10" x14ac:dyDescent="0.25">
      <c r="B547">
        <v>2</v>
      </c>
      <c r="C547" t="s">
        <v>898</v>
      </c>
      <c r="D547">
        <v>1</v>
      </c>
      <c r="E547">
        <v>1</v>
      </c>
      <c r="F547">
        <v>1</v>
      </c>
      <c r="G547" t="s">
        <v>447</v>
      </c>
      <c r="H547">
        <v>4</v>
      </c>
      <c r="I547" t="s">
        <v>899</v>
      </c>
      <c r="J547" t="s">
        <v>1349</v>
      </c>
    </row>
    <row r="548" spans="2:10" x14ac:dyDescent="0.25">
      <c r="B548">
        <v>2</v>
      </c>
      <c r="C548" t="s">
        <v>900</v>
      </c>
      <c r="D548">
        <v>1</v>
      </c>
      <c r="E548">
        <v>1</v>
      </c>
      <c r="F548">
        <v>1</v>
      </c>
      <c r="G548" t="s">
        <v>447</v>
      </c>
      <c r="H548">
        <v>4</v>
      </c>
      <c r="I548" t="s">
        <v>901</v>
      </c>
      <c r="J548" t="s">
        <v>1349</v>
      </c>
    </row>
    <row r="549" spans="2:10" x14ac:dyDescent="0.25">
      <c r="B549">
        <v>2</v>
      </c>
      <c r="C549" t="s">
        <v>902</v>
      </c>
      <c r="D549">
        <v>1</v>
      </c>
      <c r="E549">
        <v>1</v>
      </c>
      <c r="F549">
        <v>1</v>
      </c>
      <c r="G549" t="s">
        <v>447</v>
      </c>
      <c r="H549">
        <v>4</v>
      </c>
      <c r="I549" t="s">
        <v>903</v>
      </c>
      <c r="J549" t="s">
        <v>1349</v>
      </c>
    </row>
    <row r="550" spans="2:10" x14ac:dyDescent="0.25">
      <c r="B550">
        <v>2</v>
      </c>
      <c r="C550" t="s">
        <v>904</v>
      </c>
      <c r="D550">
        <v>1</v>
      </c>
      <c r="E550">
        <v>1</v>
      </c>
      <c r="F550">
        <v>1</v>
      </c>
      <c r="G550" t="s">
        <v>447</v>
      </c>
      <c r="H550">
        <v>4</v>
      </c>
      <c r="I550" t="s">
        <v>905</v>
      </c>
      <c r="J550" t="s">
        <v>1349</v>
      </c>
    </row>
    <row r="551" spans="2:10" x14ac:dyDescent="0.25">
      <c r="B551">
        <v>2</v>
      </c>
      <c r="C551" t="s">
        <v>906</v>
      </c>
      <c r="D551">
        <v>1</v>
      </c>
      <c r="E551">
        <v>1</v>
      </c>
      <c r="F551">
        <v>1</v>
      </c>
      <c r="G551" t="s">
        <v>447</v>
      </c>
      <c r="H551">
        <v>4</v>
      </c>
      <c r="I551" t="s">
        <v>907</v>
      </c>
      <c r="J551" t="s">
        <v>1349</v>
      </c>
    </row>
    <row r="552" spans="2:10" x14ac:dyDescent="0.25">
      <c r="B552">
        <v>2</v>
      </c>
      <c r="C552" t="s">
        <v>908</v>
      </c>
      <c r="D552">
        <v>1</v>
      </c>
      <c r="E552">
        <v>1</v>
      </c>
      <c r="F552">
        <v>1</v>
      </c>
      <c r="G552" t="s">
        <v>447</v>
      </c>
      <c r="H552">
        <v>4</v>
      </c>
      <c r="I552" t="s">
        <v>909</v>
      </c>
      <c r="J552" t="s">
        <v>1349</v>
      </c>
    </row>
    <row r="553" spans="2:10" x14ac:dyDescent="0.25">
      <c r="B553">
        <v>2</v>
      </c>
      <c r="C553" t="s">
        <v>910</v>
      </c>
      <c r="D553">
        <v>1</v>
      </c>
      <c r="E553">
        <v>1</v>
      </c>
      <c r="F553">
        <v>1</v>
      </c>
      <c r="G553" t="s">
        <v>447</v>
      </c>
      <c r="H553">
        <v>4</v>
      </c>
      <c r="I553" t="s">
        <v>911</v>
      </c>
      <c r="J553" t="s">
        <v>1349</v>
      </c>
    </row>
    <row r="554" spans="2:10" x14ac:dyDescent="0.25">
      <c r="B554">
        <v>2</v>
      </c>
      <c r="C554" t="s">
        <v>912</v>
      </c>
      <c r="D554">
        <v>1</v>
      </c>
      <c r="E554">
        <v>1</v>
      </c>
      <c r="F554">
        <v>1</v>
      </c>
      <c r="G554" t="s">
        <v>447</v>
      </c>
      <c r="H554">
        <v>4</v>
      </c>
      <c r="I554" t="s">
        <v>913</v>
      </c>
      <c r="J554" t="s">
        <v>1349</v>
      </c>
    </row>
    <row r="555" spans="2:10" x14ac:dyDescent="0.25">
      <c r="B555">
        <v>2</v>
      </c>
      <c r="C555" t="s">
        <v>914</v>
      </c>
      <c r="D555">
        <v>1</v>
      </c>
      <c r="E555">
        <v>1</v>
      </c>
      <c r="F555">
        <v>1</v>
      </c>
      <c r="G555" t="s">
        <v>447</v>
      </c>
      <c r="H555">
        <v>4</v>
      </c>
      <c r="I555" t="s">
        <v>915</v>
      </c>
      <c r="J555" t="s">
        <v>1349</v>
      </c>
    </row>
    <row r="556" spans="2:10" x14ac:dyDescent="0.25">
      <c r="B556">
        <v>2</v>
      </c>
      <c r="C556" t="s">
        <v>916</v>
      </c>
      <c r="D556">
        <v>1</v>
      </c>
      <c r="E556">
        <v>1</v>
      </c>
      <c r="F556">
        <v>1</v>
      </c>
      <c r="G556" t="s">
        <v>447</v>
      </c>
      <c r="H556">
        <v>4</v>
      </c>
      <c r="I556" t="s">
        <v>917</v>
      </c>
      <c r="J556" t="s">
        <v>1349</v>
      </c>
    </row>
    <row r="557" spans="2:10" x14ac:dyDescent="0.25">
      <c r="B557">
        <v>2</v>
      </c>
      <c r="C557" t="s">
        <v>918</v>
      </c>
      <c r="D557">
        <v>1</v>
      </c>
      <c r="E557">
        <v>1</v>
      </c>
      <c r="F557">
        <v>1</v>
      </c>
      <c r="G557" t="s">
        <v>447</v>
      </c>
      <c r="H557">
        <v>4</v>
      </c>
      <c r="I557" t="s">
        <v>919</v>
      </c>
      <c r="J557" t="s">
        <v>1349</v>
      </c>
    </row>
    <row r="558" spans="2:10" x14ac:dyDescent="0.25">
      <c r="B558">
        <v>2</v>
      </c>
      <c r="C558" t="s">
        <v>920</v>
      </c>
      <c r="D558">
        <v>1</v>
      </c>
      <c r="E558">
        <v>1</v>
      </c>
      <c r="F558">
        <v>1</v>
      </c>
      <c r="G558" t="s">
        <v>447</v>
      </c>
      <c r="H558">
        <v>4</v>
      </c>
      <c r="I558" t="s">
        <v>921</v>
      </c>
      <c r="J558" t="s">
        <v>1349</v>
      </c>
    </row>
    <row r="559" spans="2:10" x14ac:dyDescent="0.25">
      <c r="B559">
        <v>2</v>
      </c>
      <c r="C559" t="s">
        <v>922</v>
      </c>
      <c r="D559">
        <v>1</v>
      </c>
      <c r="E559">
        <v>1</v>
      </c>
      <c r="F559">
        <v>1</v>
      </c>
      <c r="G559" t="s">
        <v>447</v>
      </c>
      <c r="H559">
        <v>4</v>
      </c>
      <c r="I559" t="s">
        <v>923</v>
      </c>
      <c r="J559" t="s">
        <v>1349</v>
      </c>
    </row>
    <row r="560" spans="2:10" x14ac:dyDescent="0.25">
      <c r="B560">
        <v>2</v>
      </c>
      <c r="C560" t="s">
        <v>924</v>
      </c>
      <c r="D560">
        <v>2</v>
      </c>
      <c r="E560">
        <v>1</v>
      </c>
      <c r="F560">
        <v>1</v>
      </c>
      <c r="G560" t="s">
        <v>447</v>
      </c>
      <c r="H560">
        <v>5</v>
      </c>
      <c r="I560" t="s">
        <v>925</v>
      </c>
      <c r="J560" t="s">
        <v>1342</v>
      </c>
    </row>
    <row r="561" spans="2:10" x14ac:dyDescent="0.25">
      <c r="B561">
        <v>2</v>
      </c>
      <c r="C561" t="s">
        <v>926</v>
      </c>
      <c r="D561">
        <v>2</v>
      </c>
      <c r="E561">
        <v>2</v>
      </c>
      <c r="F561">
        <v>1</v>
      </c>
      <c r="G561" t="s">
        <v>447</v>
      </c>
      <c r="H561">
        <v>5</v>
      </c>
      <c r="I561" t="s">
        <v>927</v>
      </c>
      <c r="J561" t="s">
        <v>1342</v>
      </c>
    </row>
    <row r="562" spans="2:10" x14ac:dyDescent="0.25">
      <c r="B562">
        <v>2</v>
      </c>
      <c r="C562" t="s">
        <v>928</v>
      </c>
      <c r="D562">
        <v>3</v>
      </c>
      <c r="E562">
        <v>2</v>
      </c>
      <c r="F562">
        <v>1</v>
      </c>
      <c r="G562" t="s">
        <v>447</v>
      </c>
      <c r="H562">
        <v>5</v>
      </c>
      <c r="I562" t="s">
        <v>929</v>
      </c>
      <c r="J562" t="s">
        <v>1342</v>
      </c>
    </row>
    <row r="563" spans="2:10" x14ac:dyDescent="0.25">
      <c r="B563">
        <v>2</v>
      </c>
      <c r="C563" t="s">
        <v>930</v>
      </c>
      <c r="D563">
        <v>2</v>
      </c>
      <c r="E563">
        <v>2</v>
      </c>
      <c r="F563">
        <v>1</v>
      </c>
      <c r="G563" t="s">
        <v>447</v>
      </c>
      <c r="H563">
        <v>5</v>
      </c>
      <c r="I563" t="s">
        <v>931</v>
      </c>
      <c r="J563" t="s">
        <v>1342</v>
      </c>
    </row>
    <row r="564" spans="2:10" x14ac:dyDescent="0.25">
      <c r="B564">
        <v>2</v>
      </c>
      <c r="C564" t="s">
        <v>932</v>
      </c>
      <c r="D564">
        <v>2</v>
      </c>
      <c r="E564">
        <v>2</v>
      </c>
      <c r="F564">
        <v>1</v>
      </c>
      <c r="G564" t="s">
        <v>447</v>
      </c>
      <c r="H564">
        <v>5</v>
      </c>
      <c r="I564" t="s">
        <v>933</v>
      </c>
      <c r="J564" t="s">
        <v>1342</v>
      </c>
    </row>
    <row r="565" spans="2:10" x14ac:dyDescent="0.25">
      <c r="B565">
        <v>2</v>
      </c>
      <c r="C565" t="s">
        <v>934</v>
      </c>
      <c r="D565">
        <v>2</v>
      </c>
      <c r="E565">
        <v>1</v>
      </c>
      <c r="F565">
        <v>1</v>
      </c>
      <c r="G565" t="s">
        <v>447</v>
      </c>
      <c r="H565">
        <v>5</v>
      </c>
      <c r="I565" t="s">
        <v>935</v>
      </c>
      <c r="J565" t="s">
        <v>1348</v>
      </c>
    </row>
    <row r="566" spans="2:10" x14ac:dyDescent="0.25">
      <c r="B566">
        <v>2</v>
      </c>
      <c r="C566" t="s">
        <v>936</v>
      </c>
      <c r="D566">
        <v>2</v>
      </c>
      <c r="E566">
        <v>1</v>
      </c>
      <c r="F566">
        <v>1</v>
      </c>
      <c r="G566" t="s">
        <v>447</v>
      </c>
      <c r="H566">
        <v>5</v>
      </c>
      <c r="I566" t="s">
        <v>937</v>
      </c>
      <c r="J566" t="s">
        <v>1342</v>
      </c>
    </row>
    <row r="567" spans="2:10" x14ac:dyDescent="0.25">
      <c r="B567">
        <v>2</v>
      </c>
      <c r="C567" t="s">
        <v>938</v>
      </c>
      <c r="D567">
        <v>2</v>
      </c>
      <c r="E567">
        <v>1</v>
      </c>
      <c r="F567">
        <v>1</v>
      </c>
      <c r="G567" t="s">
        <v>447</v>
      </c>
      <c r="H567">
        <v>5</v>
      </c>
      <c r="I567" t="s">
        <v>939</v>
      </c>
      <c r="J567" t="s">
        <v>1348</v>
      </c>
    </row>
    <row r="568" spans="2:10" x14ac:dyDescent="0.25">
      <c r="B568">
        <v>2</v>
      </c>
      <c r="C568" t="s">
        <v>940</v>
      </c>
      <c r="D568">
        <v>3</v>
      </c>
      <c r="E568">
        <v>3</v>
      </c>
      <c r="F568">
        <v>3</v>
      </c>
      <c r="G568" t="s">
        <v>447</v>
      </c>
      <c r="H568">
        <v>5</v>
      </c>
      <c r="I568" t="s">
        <v>941</v>
      </c>
      <c r="J568" t="s">
        <v>1342</v>
      </c>
    </row>
    <row r="569" spans="2:10" x14ac:dyDescent="0.25">
      <c r="B569">
        <v>2</v>
      </c>
      <c r="C569" t="s">
        <v>960</v>
      </c>
      <c r="D569">
        <v>6</v>
      </c>
      <c r="E569">
        <v>1</v>
      </c>
      <c r="F569">
        <v>1</v>
      </c>
      <c r="G569" t="s">
        <v>544</v>
      </c>
      <c r="H569">
        <v>1</v>
      </c>
      <c r="I569" t="s">
        <v>961</v>
      </c>
      <c r="J569" t="s">
        <v>1342</v>
      </c>
    </row>
    <row r="570" spans="2:10" x14ac:dyDescent="0.25">
      <c r="B570">
        <v>2</v>
      </c>
      <c r="C570" t="s">
        <v>970</v>
      </c>
      <c r="D570">
        <v>1</v>
      </c>
      <c r="E570">
        <v>1</v>
      </c>
      <c r="F570">
        <v>1</v>
      </c>
      <c r="G570" t="s">
        <v>544</v>
      </c>
      <c r="H570">
        <v>4</v>
      </c>
      <c r="I570" t="s">
        <v>971</v>
      </c>
      <c r="J570" t="s">
        <v>1352</v>
      </c>
    </row>
    <row r="571" spans="2:10" x14ac:dyDescent="0.25">
      <c r="B571">
        <v>2</v>
      </c>
      <c r="C571" t="s">
        <v>986</v>
      </c>
      <c r="D571">
        <v>1</v>
      </c>
      <c r="E571">
        <v>1</v>
      </c>
      <c r="F571">
        <v>1</v>
      </c>
      <c r="G571" t="s">
        <v>589</v>
      </c>
      <c r="H571">
        <v>4</v>
      </c>
      <c r="I571" t="s">
        <v>987</v>
      </c>
      <c r="J571" t="s">
        <v>1352</v>
      </c>
    </row>
    <row r="572" spans="2:10" x14ac:dyDescent="0.25">
      <c r="B572">
        <v>2</v>
      </c>
      <c r="C572" t="s">
        <v>988</v>
      </c>
      <c r="D572">
        <v>1</v>
      </c>
      <c r="E572">
        <v>1</v>
      </c>
      <c r="F572">
        <v>1</v>
      </c>
      <c r="G572" t="s">
        <v>731</v>
      </c>
      <c r="H572">
        <v>4</v>
      </c>
      <c r="I572" t="s">
        <v>989</v>
      </c>
      <c r="J572" t="s">
        <v>1342</v>
      </c>
    </row>
    <row r="574" spans="2:10" x14ac:dyDescent="0.25">
      <c r="B574">
        <v>3</v>
      </c>
      <c r="C574" t="s">
        <v>1064</v>
      </c>
      <c r="D574">
        <v>8</v>
      </c>
      <c r="E574">
        <v>1</v>
      </c>
      <c r="F574">
        <v>1</v>
      </c>
      <c r="G574" t="s">
        <v>589</v>
      </c>
      <c r="H574">
        <v>4</v>
      </c>
      <c r="I574" t="s">
        <v>1065</v>
      </c>
      <c r="J574" t="s">
        <v>1345</v>
      </c>
    </row>
    <row r="575" spans="2:10" x14ac:dyDescent="0.25">
      <c r="B575" t="s">
        <v>1080</v>
      </c>
      <c r="C575" t="s">
        <v>934</v>
      </c>
    </row>
    <row r="576" spans="2:10" x14ac:dyDescent="0.25">
      <c r="B576" t="s">
        <v>1080</v>
      </c>
      <c r="C576" t="s">
        <v>938</v>
      </c>
    </row>
    <row r="577" spans="2:3" x14ac:dyDescent="0.25">
      <c r="B577" t="s">
        <v>1080</v>
      </c>
      <c r="C577" t="s">
        <v>936</v>
      </c>
    </row>
    <row r="578" spans="2:3" x14ac:dyDescent="0.25">
      <c r="B578" t="s">
        <v>1080</v>
      </c>
      <c r="C578" t="s">
        <v>924</v>
      </c>
    </row>
    <row r="579" spans="2:3" x14ac:dyDescent="0.25">
      <c r="B579" t="s">
        <v>1080</v>
      </c>
      <c r="C579" t="s">
        <v>1077</v>
      </c>
    </row>
  </sheetData>
  <phoneticPr fontId="4" type="noConversion"/>
  <conditionalFormatting sqref="S3">
    <cfRule type="cellIs" dxfId="41" priority="1" stopIfTrue="1" operator="equal">
      <formula>"Y"</formula>
    </cfRule>
  </conditionalFormatting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K99"/>
  <sheetViews>
    <sheetView topLeftCell="A83" workbookViewId="0">
      <selection activeCell="C99" sqref="C1:K99"/>
    </sheetView>
  </sheetViews>
  <sheetFormatPr defaultRowHeight="15" x14ac:dyDescent="0.25"/>
  <cols>
    <col min="10" max="10" width="38.42578125" customWidth="1"/>
  </cols>
  <sheetData>
    <row r="1" spans="3:11" x14ac:dyDescent="0.25">
      <c r="D1" t="s">
        <v>5</v>
      </c>
      <c r="E1" t="s">
        <v>6</v>
      </c>
      <c r="F1" t="s">
        <v>6</v>
      </c>
      <c r="G1" t="s">
        <v>7</v>
      </c>
      <c r="H1" t="s">
        <v>8</v>
      </c>
      <c r="I1" t="s">
        <v>6</v>
      </c>
      <c r="J1" t="s">
        <v>9</v>
      </c>
    </row>
    <row r="2" spans="3:11" x14ac:dyDescent="0.25">
      <c r="C2">
        <v>1</v>
      </c>
      <c r="D2" t="s">
        <v>537</v>
      </c>
      <c r="E2">
        <v>4</v>
      </c>
      <c r="F2">
        <v>1</v>
      </c>
      <c r="G2">
        <v>1</v>
      </c>
      <c r="H2" t="s">
        <v>447</v>
      </c>
      <c r="I2">
        <v>4</v>
      </c>
      <c r="J2" t="s">
        <v>538</v>
      </c>
      <c r="K2" t="s">
        <v>441</v>
      </c>
    </row>
    <row r="3" spans="3:11" x14ac:dyDescent="0.25">
      <c r="C3">
        <v>1</v>
      </c>
      <c r="D3" t="s">
        <v>539</v>
      </c>
      <c r="E3">
        <v>4</v>
      </c>
      <c r="F3">
        <v>1</v>
      </c>
      <c r="G3">
        <v>1</v>
      </c>
      <c r="H3" t="s">
        <v>447</v>
      </c>
      <c r="I3">
        <v>4</v>
      </c>
      <c r="J3" t="s">
        <v>540</v>
      </c>
      <c r="K3" t="s">
        <v>441</v>
      </c>
    </row>
    <row r="4" spans="3:11" x14ac:dyDescent="0.25">
      <c r="C4">
        <v>1</v>
      </c>
      <c r="D4" t="s">
        <v>576</v>
      </c>
      <c r="E4">
        <v>1</v>
      </c>
      <c r="F4">
        <v>1</v>
      </c>
      <c r="G4">
        <v>1</v>
      </c>
      <c r="H4" t="s">
        <v>544</v>
      </c>
      <c r="I4">
        <v>4</v>
      </c>
      <c r="J4" t="s">
        <v>577</v>
      </c>
      <c r="K4" t="s">
        <v>441</v>
      </c>
    </row>
    <row r="5" spans="3:11" x14ac:dyDescent="0.25">
      <c r="C5">
        <v>1</v>
      </c>
      <c r="D5" t="s">
        <v>595</v>
      </c>
      <c r="E5">
        <v>40</v>
      </c>
      <c r="F5">
        <v>1</v>
      </c>
      <c r="G5">
        <v>1</v>
      </c>
      <c r="H5" t="s">
        <v>589</v>
      </c>
      <c r="I5">
        <v>1</v>
      </c>
      <c r="J5" t="s">
        <v>10</v>
      </c>
      <c r="K5" t="s">
        <v>441</v>
      </c>
    </row>
    <row r="6" spans="3:11" x14ac:dyDescent="0.25">
      <c r="C6">
        <v>1</v>
      </c>
      <c r="D6" t="s">
        <v>700</v>
      </c>
      <c r="E6">
        <v>1</v>
      </c>
      <c r="F6">
        <v>1</v>
      </c>
      <c r="G6">
        <v>1</v>
      </c>
      <c r="H6" t="s">
        <v>589</v>
      </c>
      <c r="I6">
        <v>4</v>
      </c>
      <c r="J6" t="s">
        <v>701</v>
      </c>
      <c r="K6" t="s">
        <v>441</v>
      </c>
    </row>
    <row r="7" spans="3:11" x14ac:dyDescent="0.25">
      <c r="C7">
        <v>1</v>
      </c>
      <c r="D7" t="s">
        <v>714</v>
      </c>
      <c r="E7">
        <v>4</v>
      </c>
      <c r="F7">
        <v>4</v>
      </c>
      <c r="G7">
        <v>1</v>
      </c>
      <c r="H7" t="s">
        <v>589</v>
      </c>
      <c r="I7">
        <v>4</v>
      </c>
      <c r="J7" t="s">
        <v>715</v>
      </c>
      <c r="K7" t="s">
        <v>441</v>
      </c>
    </row>
    <row r="8" spans="3:11" x14ac:dyDescent="0.25">
      <c r="C8">
        <v>1</v>
      </c>
      <c r="D8" t="s">
        <v>566</v>
      </c>
      <c r="E8">
        <v>1</v>
      </c>
      <c r="F8">
        <v>1</v>
      </c>
      <c r="G8">
        <v>1</v>
      </c>
      <c r="H8" t="s">
        <v>544</v>
      </c>
      <c r="I8">
        <v>5</v>
      </c>
      <c r="J8" t="s">
        <v>567</v>
      </c>
      <c r="K8" t="s">
        <v>441</v>
      </c>
    </row>
    <row r="9" spans="3:11" x14ac:dyDescent="0.25">
      <c r="C9">
        <v>1</v>
      </c>
      <c r="D9" t="s">
        <v>710</v>
      </c>
      <c r="E9">
        <v>4</v>
      </c>
      <c r="F9">
        <v>1</v>
      </c>
      <c r="G9">
        <v>1</v>
      </c>
      <c r="H9" t="s">
        <v>589</v>
      </c>
      <c r="I9">
        <v>5</v>
      </c>
      <c r="J9" t="s">
        <v>711</v>
      </c>
      <c r="K9" t="s">
        <v>441</v>
      </c>
    </row>
    <row r="10" spans="3:11" x14ac:dyDescent="0.25">
      <c r="C10">
        <v>1</v>
      </c>
      <c r="D10" t="s">
        <v>1363</v>
      </c>
      <c r="E10">
        <v>1</v>
      </c>
      <c r="F10">
        <v>1</v>
      </c>
      <c r="G10">
        <v>1</v>
      </c>
      <c r="H10" t="s">
        <v>544</v>
      </c>
      <c r="I10">
        <v>1</v>
      </c>
      <c r="J10" t="s">
        <v>1364</v>
      </c>
      <c r="K10" t="s">
        <v>441</v>
      </c>
    </row>
    <row r="11" spans="3:11" x14ac:dyDescent="0.25">
      <c r="C11">
        <v>1</v>
      </c>
      <c r="D11" t="s">
        <v>11</v>
      </c>
      <c r="E11">
        <v>2</v>
      </c>
      <c r="F11">
        <v>3</v>
      </c>
      <c r="G11">
        <v>1</v>
      </c>
      <c r="H11" t="s">
        <v>447</v>
      </c>
      <c r="I11">
        <v>4</v>
      </c>
      <c r="J11" t="s">
        <v>12</v>
      </c>
      <c r="K11" t="s">
        <v>441</v>
      </c>
    </row>
    <row r="12" spans="3:11" x14ac:dyDescent="0.25">
      <c r="C12">
        <v>1</v>
      </c>
      <c r="D12" t="s">
        <v>13</v>
      </c>
      <c r="E12">
        <v>4</v>
      </c>
      <c r="F12">
        <v>3</v>
      </c>
      <c r="G12">
        <v>1</v>
      </c>
      <c r="H12" t="s">
        <v>589</v>
      </c>
      <c r="I12">
        <v>4</v>
      </c>
      <c r="J12" t="s">
        <v>14</v>
      </c>
      <c r="K12" t="s">
        <v>441</v>
      </c>
    </row>
    <row r="13" spans="3:11" x14ac:dyDescent="0.25">
      <c r="C13">
        <v>1</v>
      </c>
      <c r="D13" t="s">
        <v>15</v>
      </c>
      <c r="E13">
        <v>4</v>
      </c>
      <c r="F13">
        <v>1</v>
      </c>
      <c r="G13">
        <v>1</v>
      </c>
      <c r="H13" t="s">
        <v>589</v>
      </c>
      <c r="I13">
        <v>6</v>
      </c>
      <c r="J13" t="s">
        <v>16</v>
      </c>
      <c r="K13" t="s">
        <v>441</v>
      </c>
    </row>
    <row r="14" spans="3:11" x14ac:dyDescent="0.25">
      <c r="C14">
        <v>1</v>
      </c>
      <c r="D14" t="s">
        <v>17</v>
      </c>
      <c r="E14">
        <v>4</v>
      </c>
      <c r="F14">
        <v>10</v>
      </c>
      <c r="G14">
        <v>1</v>
      </c>
      <c r="H14" t="s">
        <v>589</v>
      </c>
      <c r="I14">
        <v>1</v>
      </c>
      <c r="J14" t="s">
        <v>18</v>
      </c>
      <c r="K14" t="s">
        <v>441</v>
      </c>
    </row>
    <row r="15" spans="3:11" x14ac:dyDescent="0.25">
      <c r="C15">
        <v>1</v>
      </c>
      <c r="D15" t="s">
        <v>19</v>
      </c>
      <c r="E15">
        <v>1</v>
      </c>
      <c r="F15">
        <v>1</v>
      </c>
      <c r="G15">
        <v>1</v>
      </c>
      <c r="H15" t="s">
        <v>544</v>
      </c>
      <c r="I15">
        <v>6</v>
      </c>
      <c r="J15" t="s">
        <v>20</v>
      </c>
      <c r="K15" t="s">
        <v>441</v>
      </c>
    </row>
    <row r="17" spans="3:11" x14ac:dyDescent="0.25">
      <c r="D17" t="s">
        <v>5</v>
      </c>
      <c r="E17" t="s">
        <v>6</v>
      </c>
      <c r="F17" t="s">
        <v>6</v>
      </c>
      <c r="G17" t="s">
        <v>7</v>
      </c>
      <c r="H17" t="s">
        <v>21</v>
      </c>
      <c r="I17" t="s">
        <v>22</v>
      </c>
      <c r="J17" t="s">
        <v>23</v>
      </c>
    </row>
    <row r="18" spans="3:11" x14ac:dyDescent="0.25">
      <c r="C18">
        <v>2</v>
      </c>
      <c r="D18" t="s">
        <v>789</v>
      </c>
      <c r="E18">
        <v>2</v>
      </c>
      <c r="F18">
        <v>1</v>
      </c>
      <c r="G18">
        <v>1</v>
      </c>
      <c r="H18" t="s">
        <v>447</v>
      </c>
      <c r="I18">
        <v>1</v>
      </c>
      <c r="J18" t="s">
        <v>24</v>
      </c>
      <c r="K18" t="s">
        <v>441</v>
      </c>
    </row>
    <row r="19" spans="3:11" x14ac:dyDescent="0.25">
      <c r="C19">
        <v>2</v>
      </c>
      <c r="D19" t="s">
        <v>791</v>
      </c>
      <c r="E19">
        <v>2</v>
      </c>
      <c r="F19">
        <v>1</v>
      </c>
      <c r="G19">
        <v>1</v>
      </c>
      <c r="H19" t="s">
        <v>447</v>
      </c>
      <c r="I19">
        <v>2</v>
      </c>
      <c r="J19" t="s">
        <v>792</v>
      </c>
      <c r="K19" t="s">
        <v>441</v>
      </c>
    </row>
    <row r="20" spans="3:11" x14ac:dyDescent="0.25">
      <c r="C20">
        <v>2</v>
      </c>
      <c r="D20" t="s">
        <v>952</v>
      </c>
      <c r="E20">
        <v>2</v>
      </c>
      <c r="F20">
        <v>16</v>
      </c>
      <c r="G20">
        <v>1</v>
      </c>
      <c r="H20" t="s">
        <v>544</v>
      </c>
      <c r="I20">
        <v>1</v>
      </c>
      <c r="J20" t="s">
        <v>25</v>
      </c>
      <c r="K20" t="s">
        <v>441</v>
      </c>
    </row>
    <row r="21" spans="3:11" x14ac:dyDescent="0.25">
      <c r="C21">
        <v>2</v>
      </c>
      <c r="D21" t="s">
        <v>954</v>
      </c>
      <c r="E21">
        <v>2</v>
      </c>
      <c r="F21">
        <v>1</v>
      </c>
      <c r="G21">
        <v>1</v>
      </c>
      <c r="H21" t="s">
        <v>544</v>
      </c>
      <c r="I21">
        <v>1</v>
      </c>
      <c r="J21" t="s">
        <v>26</v>
      </c>
      <c r="K21" t="s">
        <v>441</v>
      </c>
    </row>
    <row r="22" spans="3:11" x14ac:dyDescent="0.25">
      <c r="C22">
        <v>2</v>
      </c>
      <c r="D22" t="s">
        <v>1405</v>
      </c>
      <c r="E22">
        <v>1</v>
      </c>
      <c r="F22">
        <v>1</v>
      </c>
      <c r="G22">
        <v>1</v>
      </c>
      <c r="H22" t="s">
        <v>447</v>
      </c>
      <c r="I22">
        <v>1</v>
      </c>
      <c r="J22" t="s">
        <v>27</v>
      </c>
      <c r="K22" t="s">
        <v>441</v>
      </c>
    </row>
    <row r="23" spans="3:11" x14ac:dyDescent="0.25">
      <c r="C23">
        <v>2</v>
      </c>
      <c r="D23" t="s">
        <v>1363</v>
      </c>
      <c r="E23">
        <v>1</v>
      </c>
      <c r="F23">
        <v>1</v>
      </c>
      <c r="G23">
        <v>1</v>
      </c>
      <c r="H23" t="s">
        <v>544</v>
      </c>
      <c r="I23">
        <v>1</v>
      </c>
      <c r="J23" t="s">
        <v>28</v>
      </c>
      <c r="K23" t="s">
        <v>441</v>
      </c>
    </row>
    <row r="24" spans="3:11" x14ac:dyDescent="0.25">
      <c r="C24">
        <v>2</v>
      </c>
      <c r="D24" t="s">
        <v>1234</v>
      </c>
      <c r="E24">
        <v>3</v>
      </c>
      <c r="F24">
        <v>1</v>
      </c>
      <c r="G24">
        <v>1</v>
      </c>
      <c r="H24" t="s">
        <v>544</v>
      </c>
      <c r="I24">
        <v>1</v>
      </c>
      <c r="J24" t="s">
        <v>29</v>
      </c>
      <c r="K24" t="s">
        <v>441</v>
      </c>
    </row>
    <row r="25" spans="3:11" x14ac:dyDescent="0.25">
      <c r="C25">
        <v>2</v>
      </c>
      <c r="D25" t="s">
        <v>1425</v>
      </c>
      <c r="E25">
        <v>3</v>
      </c>
      <c r="F25">
        <v>1</v>
      </c>
      <c r="G25">
        <v>1</v>
      </c>
      <c r="H25" t="s">
        <v>589</v>
      </c>
      <c r="I25">
        <v>1</v>
      </c>
      <c r="J25" t="s">
        <v>30</v>
      </c>
      <c r="K25" t="s">
        <v>441</v>
      </c>
    </row>
    <row r="26" spans="3:11" x14ac:dyDescent="0.25">
      <c r="C26">
        <v>2</v>
      </c>
      <c r="D26" t="s">
        <v>1443</v>
      </c>
      <c r="E26">
        <v>2</v>
      </c>
      <c r="F26">
        <v>1</v>
      </c>
      <c r="G26">
        <v>1</v>
      </c>
      <c r="H26" t="s">
        <v>447</v>
      </c>
      <c r="I26">
        <v>1</v>
      </c>
      <c r="J26" t="s">
        <v>31</v>
      </c>
      <c r="K26" t="s">
        <v>441</v>
      </c>
    </row>
    <row r="27" spans="3:11" x14ac:dyDescent="0.25">
      <c r="C27">
        <v>2</v>
      </c>
      <c r="D27" t="s">
        <v>1022</v>
      </c>
      <c r="E27">
        <v>2</v>
      </c>
      <c r="F27">
        <v>1</v>
      </c>
      <c r="G27">
        <v>1</v>
      </c>
      <c r="H27" t="s">
        <v>447</v>
      </c>
      <c r="I27">
        <v>1</v>
      </c>
      <c r="J27" t="s">
        <v>1292</v>
      </c>
      <c r="K27" t="s">
        <v>441</v>
      </c>
    </row>
    <row r="28" spans="3:11" x14ac:dyDescent="0.25">
      <c r="C28">
        <v>2</v>
      </c>
      <c r="D28" t="s">
        <v>32</v>
      </c>
      <c r="E28">
        <v>2</v>
      </c>
      <c r="F28">
        <v>14</v>
      </c>
      <c r="G28">
        <v>1</v>
      </c>
      <c r="H28" t="s">
        <v>544</v>
      </c>
      <c r="I28">
        <v>1</v>
      </c>
      <c r="J28" t="s">
        <v>33</v>
      </c>
      <c r="K28" t="s">
        <v>441</v>
      </c>
    </row>
    <row r="29" spans="3:11" x14ac:dyDescent="0.25">
      <c r="C29">
        <v>2</v>
      </c>
      <c r="D29" t="s">
        <v>34</v>
      </c>
      <c r="E29">
        <v>1</v>
      </c>
      <c r="F29">
        <v>1</v>
      </c>
      <c r="G29">
        <v>1</v>
      </c>
      <c r="H29" t="s">
        <v>544</v>
      </c>
      <c r="I29">
        <v>1</v>
      </c>
      <c r="J29" t="s">
        <v>35</v>
      </c>
      <c r="K29" t="s">
        <v>441</v>
      </c>
    </row>
    <row r="30" spans="3:11" x14ac:dyDescent="0.25">
      <c r="C30">
        <v>2</v>
      </c>
      <c r="D30" t="s">
        <v>36</v>
      </c>
      <c r="E30">
        <v>1</v>
      </c>
      <c r="F30">
        <v>1</v>
      </c>
      <c r="G30">
        <v>1</v>
      </c>
      <c r="H30" t="s">
        <v>447</v>
      </c>
      <c r="I30">
        <v>5</v>
      </c>
      <c r="J30" t="s">
        <v>37</v>
      </c>
      <c r="K30" t="s">
        <v>441</v>
      </c>
    </row>
    <row r="31" spans="3:11" x14ac:dyDescent="0.25">
      <c r="C31">
        <v>2</v>
      </c>
      <c r="D31" t="s">
        <v>1229</v>
      </c>
      <c r="E31">
        <v>1</v>
      </c>
      <c r="F31">
        <v>1</v>
      </c>
      <c r="G31">
        <v>1</v>
      </c>
      <c r="H31" t="s">
        <v>544</v>
      </c>
      <c r="I31">
        <v>5</v>
      </c>
      <c r="J31" t="s">
        <v>38</v>
      </c>
      <c r="K31" t="s">
        <v>441</v>
      </c>
    </row>
    <row r="32" spans="3:11" x14ac:dyDescent="0.25">
      <c r="C32">
        <v>2</v>
      </c>
      <c r="D32" t="s">
        <v>1224</v>
      </c>
      <c r="E32">
        <v>1</v>
      </c>
      <c r="F32">
        <v>1</v>
      </c>
      <c r="G32">
        <v>1</v>
      </c>
      <c r="H32" t="s">
        <v>39</v>
      </c>
      <c r="I32">
        <v>5</v>
      </c>
      <c r="J32" t="s">
        <v>40</v>
      </c>
      <c r="K32" t="s">
        <v>441</v>
      </c>
    </row>
    <row r="33" spans="3:11" x14ac:dyDescent="0.25">
      <c r="C33">
        <v>2</v>
      </c>
      <c r="D33" t="s">
        <v>1211</v>
      </c>
      <c r="E33">
        <v>1</v>
      </c>
      <c r="F33">
        <v>1</v>
      </c>
      <c r="G33">
        <v>1</v>
      </c>
      <c r="H33" t="s">
        <v>731</v>
      </c>
      <c r="I33">
        <v>5</v>
      </c>
      <c r="J33" t="s">
        <v>41</v>
      </c>
      <c r="K33" t="s">
        <v>441</v>
      </c>
    </row>
    <row r="34" spans="3:11" x14ac:dyDescent="0.25">
      <c r="C34">
        <v>2</v>
      </c>
      <c r="D34" t="s">
        <v>42</v>
      </c>
      <c r="E34">
        <v>1</v>
      </c>
      <c r="F34">
        <v>1</v>
      </c>
      <c r="G34">
        <v>1</v>
      </c>
      <c r="H34" t="s">
        <v>544</v>
      </c>
      <c r="I34">
        <v>2</v>
      </c>
      <c r="J34" t="s">
        <v>43</v>
      </c>
      <c r="K34" t="s">
        <v>441</v>
      </c>
    </row>
    <row r="35" spans="3:11" x14ac:dyDescent="0.25">
      <c r="C35">
        <v>2</v>
      </c>
      <c r="D35" t="s">
        <v>1020</v>
      </c>
      <c r="E35">
        <v>1</v>
      </c>
      <c r="F35">
        <v>1</v>
      </c>
      <c r="G35">
        <v>1</v>
      </c>
      <c r="H35" t="s">
        <v>447</v>
      </c>
      <c r="I35">
        <v>15</v>
      </c>
      <c r="J35" t="s">
        <v>44</v>
      </c>
      <c r="K35" t="s">
        <v>441</v>
      </c>
    </row>
    <row r="36" spans="3:11" x14ac:dyDescent="0.25">
      <c r="C36">
        <v>2</v>
      </c>
      <c r="D36" t="s">
        <v>1075</v>
      </c>
      <c r="E36">
        <v>2</v>
      </c>
      <c r="F36">
        <v>2</v>
      </c>
      <c r="G36">
        <v>2</v>
      </c>
      <c r="H36" t="s">
        <v>447</v>
      </c>
      <c r="I36">
        <v>1</v>
      </c>
      <c r="J36" t="s">
        <v>45</v>
      </c>
      <c r="K36" t="s">
        <v>441</v>
      </c>
    </row>
    <row r="37" spans="3:11" x14ac:dyDescent="0.25">
      <c r="C37">
        <v>2</v>
      </c>
      <c r="D37" t="s">
        <v>46</v>
      </c>
      <c r="E37">
        <v>2</v>
      </c>
      <c r="F37">
        <v>2</v>
      </c>
      <c r="G37">
        <v>1</v>
      </c>
      <c r="H37" t="s">
        <v>447</v>
      </c>
      <c r="I37">
        <v>1</v>
      </c>
      <c r="J37" t="s">
        <v>47</v>
      </c>
      <c r="K37" t="s">
        <v>441</v>
      </c>
    </row>
    <row r="38" spans="3:11" x14ac:dyDescent="0.25">
      <c r="C38">
        <v>2</v>
      </c>
      <c r="D38" t="s">
        <v>48</v>
      </c>
      <c r="E38">
        <v>2</v>
      </c>
      <c r="F38">
        <v>2</v>
      </c>
      <c r="G38">
        <v>1</v>
      </c>
      <c r="H38" t="s">
        <v>447</v>
      </c>
      <c r="I38">
        <v>1</v>
      </c>
      <c r="J38" t="s">
        <v>49</v>
      </c>
      <c r="K38" t="s">
        <v>441</v>
      </c>
    </row>
    <row r="39" spans="3:11" x14ac:dyDescent="0.25">
      <c r="C39">
        <v>2</v>
      </c>
      <c r="D39" t="s">
        <v>50</v>
      </c>
      <c r="E39">
        <v>3</v>
      </c>
      <c r="F39">
        <v>2</v>
      </c>
      <c r="G39">
        <v>1</v>
      </c>
      <c r="H39" t="s">
        <v>447</v>
      </c>
      <c r="I39">
        <v>1</v>
      </c>
      <c r="J39" t="s">
        <v>51</v>
      </c>
      <c r="K39" t="s">
        <v>441</v>
      </c>
    </row>
    <row r="40" spans="3:11" x14ac:dyDescent="0.25">
      <c r="C40">
        <v>2</v>
      </c>
      <c r="D40" t="s">
        <v>1242</v>
      </c>
      <c r="E40">
        <v>2</v>
      </c>
      <c r="F40">
        <v>1</v>
      </c>
      <c r="G40">
        <v>1</v>
      </c>
      <c r="H40" t="s">
        <v>544</v>
      </c>
      <c r="I40">
        <v>8</v>
      </c>
      <c r="J40" t="s">
        <v>52</v>
      </c>
      <c r="K40" t="s">
        <v>441</v>
      </c>
    </row>
    <row r="41" spans="3:11" x14ac:dyDescent="0.25">
      <c r="C41">
        <v>2</v>
      </c>
      <c r="D41" t="s">
        <v>1240</v>
      </c>
      <c r="E41">
        <v>1</v>
      </c>
      <c r="F41">
        <v>1</v>
      </c>
      <c r="G41">
        <v>1</v>
      </c>
      <c r="H41" t="s">
        <v>447</v>
      </c>
      <c r="I41">
        <v>5</v>
      </c>
      <c r="J41" t="s">
        <v>53</v>
      </c>
      <c r="K41" t="s">
        <v>441</v>
      </c>
    </row>
    <row r="42" spans="3:11" x14ac:dyDescent="0.25">
      <c r="C42">
        <v>2</v>
      </c>
      <c r="D42" t="s">
        <v>54</v>
      </c>
      <c r="E42">
        <v>1</v>
      </c>
      <c r="F42">
        <v>1</v>
      </c>
      <c r="G42">
        <v>1</v>
      </c>
      <c r="H42" t="s">
        <v>544</v>
      </c>
      <c r="I42">
        <v>5</v>
      </c>
      <c r="J42" t="s">
        <v>55</v>
      </c>
      <c r="K42" t="s">
        <v>441</v>
      </c>
    </row>
    <row r="43" spans="3:11" x14ac:dyDescent="0.25">
      <c r="C43">
        <v>2</v>
      </c>
      <c r="D43" t="s">
        <v>1076</v>
      </c>
      <c r="E43">
        <v>2</v>
      </c>
      <c r="F43">
        <v>2</v>
      </c>
      <c r="G43">
        <v>2</v>
      </c>
      <c r="H43" t="s">
        <v>447</v>
      </c>
      <c r="I43">
        <v>4</v>
      </c>
      <c r="J43" t="s">
        <v>56</v>
      </c>
      <c r="K43" t="s">
        <v>441</v>
      </c>
    </row>
    <row r="44" spans="3:11" x14ac:dyDescent="0.25">
      <c r="C44">
        <v>2</v>
      </c>
      <c r="D44" t="s">
        <v>57</v>
      </c>
      <c r="E44">
        <v>1</v>
      </c>
      <c r="F44">
        <v>1</v>
      </c>
      <c r="G44">
        <v>1</v>
      </c>
      <c r="H44" t="s">
        <v>544</v>
      </c>
      <c r="I44">
        <v>1</v>
      </c>
      <c r="J44" t="s">
        <v>58</v>
      </c>
      <c r="K44" t="s">
        <v>441</v>
      </c>
    </row>
    <row r="45" spans="3:11" x14ac:dyDescent="0.25">
      <c r="C45">
        <v>2</v>
      </c>
      <c r="D45" t="s">
        <v>1241</v>
      </c>
      <c r="E45">
        <v>6</v>
      </c>
      <c r="F45">
        <v>1</v>
      </c>
      <c r="G45">
        <v>1</v>
      </c>
      <c r="H45" t="s">
        <v>544</v>
      </c>
      <c r="I45">
        <v>1</v>
      </c>
      <c r="J45" t="s">
        <v>59</v>
      </c>
      <c r="K45" t="s">
        <v>441</v>
      </c>
    </row>
    <row r="46" spans="3:11" x14ac:dyDescent="0.25">
      <c r="C46">
        <v>2</v>
      </c>
      <c r="D46" t="s">
        <v>60</v>
      </c>
      <c r="E46">
        <v>2</v>
      </c>
      <c r="F46">
        <v>2</v>
      </c>
      <c r="G46">
        <v>14</v>
      </c>
      <c r="H46" t="s">
        <v>544</v>
      </c>
      <c r="I46">
        <v>1</v>
      </c>
      <c r="J46" t="s">
        <v>61</v>
      </c>
      <c r="K46" t="s">
        <v>441</v>
      </c>
    </row>
    <row r="47" spans="3:11" x14ac:dyDescent="0.25">
      <c r="C47">
        <v>2</v>
      </c>
      <c r="D47" t="s">
        <v>62</v>
      </c>
      <c r="E47">
        <v>2</v>
      </c>
      <c r="F47">
        <v>14</v>
      </c>
      <c r="G47">
        <v>1</v>
      </c>
      <c r="H47" t="s">
        <v>544</v>
      </c>
      <c r="I47">
        <v>1</v>
      </c>
      <c r="J47" t="s">
        <v>63</v>
      </c>
      <c r="K47" t="s">
        <v>441</v>
      </c>
    </row>
    <row r="48" spans="3:11" x14ac:dyDescent="0.25">
      <c r="C48">
        <v>2</v>
      </c>
      <c r="D48" t="s">
        <v>1032</v>
      </c>
      <c r="E48">
        <v>2</v>
      </c>
      <c r="F48">
        <v>2</v>
      </c>
      <c r="G48">
        <v>14</v>
      </c>
      <c r="H48" t="s">
        <v>544</v>
      </c>
      <c r="I48">
        <v>1</v>
      </c>
      <c r="J48" t="s">
        <v>1033</v>
      </c>
      <c r="K48" t="s">
        <v>441</v>
      </c>
    </row>
    <row r="49" spans="3:11" x14ac:dyDescent="0.25">
      <c r="C49">
        <v>2</v>
      </c>
      <c r="D49" t="s">
        <v>1050</v>
      </c>
      <c r="E49">
        <v>1</v>
      </c>
      <c r="F49">
        <v>1</v>
      </c>
      <c r="G49">
        <v>1</v>
      </c>
      <c r="H49" t="s">
        <v>589</v>
      </c>
      <c r="I49">
        <v>1</v>
      </c>
      <c r="J49" t="s">
        <v>1325</v>
      </c>
      <c r="K49" t="s">
        <v>441</v>
      </c>
    </row>
    <row r="50" spans="3:11" x14ac:dyDescent="0.25">
      <c r="C50">
        <v>2</v>
      </c>
      <c r="D50" t="s">
        <v>1060</v>
      </c>
      <c r="E50">
        <v>4</v>
      </c>
      <c r="F50">
        <v>2</v>
      </c>
      <c r="G50">
        <v>1</v>
      </c>
      <c r="H50" t="s">
        <v>589</v>
      </c>
      <c r="I50">
        <v>1</v>
      </c>
      <c r="J50" t="s">
        <v>1061</v>
      </c>
      <c r="K50" t="s">
        <v>441</v>
      </c>
    </row>
    <row r="51" spans="3:11" x14ac:dyDescent="0.25">
      <c r="C51">
        <v>2</v>
      </c>
      <c r="D51" t="s">
        <v>64</v>
      </c>
      <c r="E51">
        <v>3</v>
      </c>
      <c r="F51">
        <v>1</v>
      </c>
      <c r="G51">
        <v>1</v>
      </c>
      <c r="H51" t="s">
        <v>589</v>
      </c>
      <c r="I51">
        <v>1</v>
      </c>
      <c r="J51" t="s">
        <v>65</v>
      </c>
      <c r="K51" t="s">
        <v>441</v>
      </c>
    </row>
    <row r="52" spans="3:11" x14ac:dyDescent="0.25">
      <c r="C52">
        <v>2</v>
      </c>
      <c r="D52" t="s">
        <v>1235</v>
      </c>
      <c r="E52">
        <v>4</v>
      </c>
      <c r="F52">
        <v>1</v>
      </c>
      <c r="G52">
        <v>1</v>
      </c>
      <c r="H52" t="s">
        <v>589</v>
      </c>
      <c r="I52">
        <v>1</v>
      </c>
      <c r="J52" t="s">
        <v>66</v>
      </c>
      <c r="K52" t="s">
        <v>441</v>
      </c>
    </row>
    <row r="53" spans="3:11" x14ac:dyDescent="0.25">
      <c r="C53">
        <v>2</v>
      </c>
      <c r="D53" t="s">
        <v>1058</v>
      </c>
      <c r="E53">
        <v>1</v>
      </c>
      <c r="F53">
        <v>1</v>
      </c>
      <c r="G53">
        <v>1</v>
      </c>
      <c r="H53" t="s">
        <v>589</v>
      </c>
      <c r="I53">
        <v>1</v>
      </c>
      <c r="J53" t="s">
        <v>1329</v>
      </c>
      <c r="K53" t="s">
        <v>441</v>
      </c>
    </row>
    <row r="54" spans="3:11" x14ac:dyDescent="0.25">
      <c r="C54">
        <v>2</v>
      </c>
      <c r="D54" t="s">
        <v>67</v>
      </c>
      <c r="E54">
        <v>1</v>
      </c>
      <c r="F54">
        <v>1</v>
      </c>
      <c r="G54">
        <v>1</v>
      </c>
      <c r="H54" t="s">
        <v>447</v>
      </c>
      <c r="I54">
        <v>19</v>
      </c>
      <c r="J54" t="s">
        <v>68</v>
      </c>
      <c r="K54" t="s">
        <v>441</v>
      </c>
    </row>
    <row r="55" spans="3:11" x14ac:dyDescent="0.25">
      <c r="C55">
        <v>2</v>
      </c>
      <c r="D55" t="s">
        <v>69</v>
      </c>
      <c r="E55">
        <v>2</v>
      </c>
      <c r="F55">
        <v>2</v>
      </c>
      <c r="G55">
        <v>1</v>
      </c>
      <c r="H55" t="s">
        <v>447</v>
      </c>
      <c r="I55">
        <v>9</v>
      </c>
      <c r="J55" t="s">
        <v>70</v>
      </c>
      <c r="K55" t="s">
        <v>441</v>
      </c>
    </row>
    <row r="56" spans="3:11" x14ac:dyDescent="0.25">
      <c r="C56">
        <v>2</v>
      </c>
      <c r="D56" t="s">
        <v>71</v>
      </c>
      <c r="E56">
        <v>1</v>
      </c>
      <c r="F56">
        <v>1</v>
      </c>
      <c r="G56">
        <v>1</v>
      </c>
      <c r="H56" t="s">
        <v>544</v>
      </c>
      <c r="I56">
        <v>12</v>
      </c>
      <c r="J56" t="s">
        <v>72</v>
      </c>
      <c r="K56" t="s">
        <v>441</v>
      </c>
    </row>
    <row r="57" spans="3:11" x14ac:dyDescent="0.25">
      <c r="C57">
        <v>2</v>
      </c>
      <c r="D57" t="s">
        <v>73</v>
      </c>
      <c r="E57">
        <v>8</v>
      </c>
      <c r="F57">
        <v>1</v>
      </c>
      <c r="G57">
        <v>1</v>
      </c>
      <c r="H57" t="s">
        <v>447</v>
      </c>
      <c r="I57">
        <v>2</v>
      </c>
      <c r="J57" t="s">
        <v>74</v>
      </c>
      <c r="K57" t="s">
        <v>441</v>
      </c>
    </row>
    <row r="58" spans="3:11" x14ac:dyDescent="0.25">
      <c r="C58">
        <v>2</v>
      </c>
      <c r="D58" t="s">
        <v>75</v>
      </c>
      <c r="E58">
        <v>1</v>
      </c>
      <c r="F58">
        <v>1</v>
      </c>
      <c r="G58">
        <v>1</v>
      </c>
      <c r="H58" t="s">
        <v>447</v>
      </c>
      <c r="I58">
        <v>2</v>
      </c>
      <c r="J58" t="s">
        <v>76</v>
      </c>
      <c r="K58" t="s">
        <v>441</v>
      </c>
    </row>
    <row r="59" spans="3:11" x14ac:dyDescent="0.25">
      <c r="C59">
        <v>2</v>
      </c>
      <c r="D59" t="s">
        <v>77</v>
      </c>
      <c r="E59">
        <v>1</v>
      </c>
      <c r="F59">
        <v>1</v>
      </c>
      <c r="G59">
        <v>1</v>
      </c>
      <c r="H59" t="s">
        <v>447</v>
      </c>
      <c r="I59">
        <v>2</v>
      </c>
      <c r="J59" t="s">
        <v>78</v>
      </c>
      <c r="K59" t="s">
        <v>441</v>
      </c>
    </row>
    <row r="60" spans="3:11" x14ac:dyDescent="0.25">
      <c r="C60">
        <v>2</v>
      </c>
      <c r="D60" t="s">
        <v>79</v>
      </c>
      <c r="E60">
        <v>1</v>
      </c>
      <c r="F60">
        <v>1</v>
      </c>
      <c r="G60">
        <v>1</v>
      </c>
      <c r="H60" t="s">
        <v>447</v>
      </c>
      <c r="I60">
        <v>2</v>
      </c>
      <c r="J60" t="s">
        <v>80</v>
      </c>
      <c r="K60" t="s">
        <v>441</v>
      </c>
    </row>
    <row r="61" spans="3:11" x14ac:dyDescent="0.25">
      <c r="C61">
        <v>2</v>
      </c>
      <c r="D61" t="s">
        <v>81</v>
      </c>
      <c r="E61">
        <v>2</v>
      </c>
      <c r="F61">
        <v>8</v>
      </c>
      <c r="G61">
        <v>1</v>
      </c>
      <c r="H61" t="s">
        <v>544</v>
      </c>
      <c r="I61">
        <v>2</v>
      </c>
      <c r="J61" t="s">
        <v>82</v>
      </c>
      <c r="K61" t="s">
        <v>441</v>
      </c>
    </row>
    <row r="62" spans="3:11" x14ac:dyDescent="0.25">
      <c r="C62">
        <v>2</v>
      </c>
      <c r="D62" t="s">
        <v>83</v>
      </c>
      <c r="E62">
        <v>1</v>
      </c>
      <c r="F62">
        <v>1</v>
      </c>
      <c r="G62">
        <v>1</v>
      </c>
      <c r="H62" t="s">
        <v>544</v>
      </c>
      <c r="I62">
        <v>2</v>
      </c>
      <c r="J62" t="s">
        <v>84</v>
      </c>
      <c r="K62" t="s">
        <v>441</v>
      </c>
    </row>
    <row r="63" spans="3:11" x14ac:dyDescent="0.25">
      <c r="C63">
        <v>2</v>
      </c>
      <c r="D63" t="s">
        <v>85</v>
      </c>
      <c r="E63">
        <v>8</v>
      </c>
      <c r="F63">
        <v>1</v>
      </c>
      <c r="G63">
        <v>1</v>
      </c>
      <c r="H63" t="s">
        <v>544</v>
      </c>
      <c r="I63">
        <v>2</v>
      </c>
      <c r="J63" t="s">
        <v>86</v>
      </c>
      <c r="K63" t="s">
        <v>441</v>
      </c>
    </row>
    <row r="64" spans="3:11" x14ac:dyDescent="0.25">
      <c r="C64">
        <v>2</v>
      </c>
      <c r="D64" t="s">
        <v>87</v>
      </c>
      <c r="E64">
        <v>2</v>
      </c>
      <c r="F64">
        <v>8</v>
      </c>
      <c r="G64">
        <v>1</v>
      </c>
      <c r="H64" t="s">
        <v>544</v>
      </c>
      <c r="I64">
        <v>2</v>
      </c>
      <c r="J64" t="s">
        <v>88</v>
      </c>
      <c r="K64" t="s">
        <v>441</v>
      </c>
    </row>
    <row r="65" spans="3:11" x14ac:dyDescent="0.25">
      <c r="C65">
        <v>2</v>
      </c>
      <c r="D65" t="s">
        <v>1228</v>
      </c>
      <c r="E65">
        <v>1</v>
      </c>
      <c r="F65">
        <v>1</v>
      </c>
      <c r="G65">
        <v>1</v>
      </c>
      <c r="H65" t="s">
        <v>447</v>
      </c>
      <c r="I65">
        <v>2</v>
      </c>
      <c r="J65" t="s">
        <v>89</v>
      </c>
      <c r="K65" t="s">
        <v>441</v>
      </c>
    </row>
    <row r="66" spans="3:11" x14ac:dyDescent="0.25">
      <c r="C66">
        <v>2</v>
      </c>
      <c r="D66" t="s">
        <v>90</v>
      </c>
      <c r="E66">
        <v>1</v>
      </c>
      <c r="F66">
        <v>1</v>
      </c>
      <c r="G66">
        <v>1</v>
      </c>
      <c r="H66" t="s">
        <v>447</v>
      </c>
      <c r="I66">
        <v>1</v>
      </c>
      <c r="J66" t="s">
        <v>91</v>
      </c>
      <c r="K66" t="s">
        <v>441</v>
      </c>
    </row>
    <row r="67" spans="3:11" x14ac:dyDescent="0.25">
      <c r="C67">
        <v>2</v>
      </c>
      <c r="D67" t="s">
        <v>92</v>
      </c>
      <c r="E67">
        <v>2</v>
      </c>
      <c r="F67">
        <v>8</v>
      </c>
      <c r="G67">
        <v>1</v>
      </c>
      <c r="H67" t="s">
        <v>544</v>
      </c>
      <c r="I67">
        <v>1</v>
      </c>
      <c r="J67" t="s">
        <v>93</v>
      </c>
      <c r="K67" t="s">
        <v>441</v>
      </c>
    </row>
    <row r="69" spans="3:11" x14ac:dyDescent="0.25">
      <c r="D69" t="s">
        <v>5</v>
      </c>
      <c r="E69" t="s">
        <v>6</v>
      </c>
      <c r="F69" t="s">
        <v>6</v>
      </c>
      <c r="G69" t="s">
        <v>7</v>
      </c>
      <c r="H69" t="s">
        <v>21</v>
      </c>
      <c r="I69" t="e">
        <f xml:space="preserve"> toc</f>
        <v>#NAME?</v>
      </c>
      <c r="J69" t="s">
        <v>94</v>
      </c>
    </row>
    <row r="70" spans="3:11" x14ac:dyDescent="0.25">
      <c r="C70">
        <v>3</v>
      </c>
      <c r="D70" t="s">
        <v>1445</v>
      </c>
      <c r="E70">
        <v>2</v>
      </c>
      <c r="F70">
        <v>1</v>
      </c>
      <c r="G70">
        <v>1</v>
      </c>
      <c r="H70" t="s">
        <v>447</v>
      </c>
      <c r="I70">
        <v>1</v>
      </c>
      <c r="J70" t="s">
        <v>95</v>
      </c>
      <c r="K70" t="s">
        <v>441</v>
      </c>
    </row>
    <row r="71" spans="3:11" x14ac:dyDescent="0.25">
      <c r="C71">
        <v>3</v>
      </c>
      <c r="D71" t="s">
        <v>1447</v>
      </c>
      <c r="E71">
        <v>2</v>
      </c>
      <c r="F71">
        <v>1</v>
      </c>
      <c r="G71">
        <v>1</v>
      </c>
      <c r="H71" t="s">
        <v>447</v>
      </c>
      <c r="I71">
        <v>1</v>
      </c>
      <c r="J71" t="s">
        <v>96</v>
      </c>
      <c r="K71" t="s">
        <v>441</v>
      </c>
    </row>
    <row r="72" spans="3:11" x14ac:dyDescent="0.25">
      <c r="C72">
        <v>3</v>
      </c>
      <c r="D72" t="s">
        <v>1449</v>
      </c>
      <c r="E72">
        <v>2</v>
      </c>
      <c r="F72">
        <v>1</v>
      </c>
      <c r="G72">
        <v>1</v>
      </c>
      <c r="H72" t="s">
        <v>447</v>
      </c>
      <c r="I72">
        <v>1</v>
      </c>
      <c r="J72" t="s">
        <v>97</v>
      </c>
      <c r="K72" t="s">
        <v>441</v>
      </c>
    </row>
    <row r="73" spans="3:11" x14ac:dyDescent="0.25">
      <c r="C73">
        <v>3</v>
      </c>
      <c r="D73" t="s">
        <v>958</v>
      </c>
      <c r="E73">
        <v>5</v>
      </c>
      <c r="F73">
        <v>1</v>
      </c>
      <c r="G73">
        <v>1</v>
      </c>
      <c r="H73" t="s">
        <v>544</v>
      </c>
      <c r="I73">
        <v>1</v>
      </c>
      <c r="J73" t="s">
        <v>98</v>
      </c>
      <c r="K73" t="s">
        <v>441</v>
      </c>
    </row>
    <row r="74" spans="3:11" x14ac:dyDescent="0.25">
      <c r="C74">
        <v>3</v>
      </c>
      <c r="D74" t="s">
        <v>1241</v>
      </c>
      <c r="E74">
        <v>6</v>
      </c>
      <c r="F74">
        <v>1</v>
      </c>
      <c r="G74">
        <v>1</v>
      </c>
      <c r="H74" t="s">
        <v>544</v>
      </c>
      <c r="I74">
        <v>1</v>
      </c>
      <c r="J74" t="s">
        <v>99</v>
      </c>
      <c r="K74" t="s">
        <v>441</v>
      </c>
    </row>
    <row r="75" spans="3:11" x14ac:dyDescent="0.25">
      <c r="C75">
        <v>3</v>
      </c>
      <c r="D75" t="s">
        <v>1405</v>
      </c>
      <c r="E75">
        <v>1</v>
      </c>
      <c r="F75">
        <v>1</v>
      </c>
      <c r="G75">
        <v>1</v>
      </c>
      <c r="H75" t="s">
        <v>447</v>
      </c>
      <c r="I75">
        <v>1</v>
      </c>
      <c r="J75" t="s">
        <v>27</v>
      </c>
      <c r="K75" t="s">
        <v>441</v>
      </c>
    </row>
    <row r="76" spans="3:11" x14ac:dyDescent="0.25">
      <c r="C76">
        <v>3</v>
      </c>
      <c r="D76" t="s">
        <v>100</v>
      </c>
      <c r="E76">
        <v>1</v>
      </c>
      <c r="F76">
        <v>1</v>
      </c>
      <c r="G76">
        <v>1</v>
      </c>
      <c r="H76" t="s">
        <v>544</v>
      </c>
      <c r="I76">
        <v>1</v>
      </c>
      <c r="J76" t="s">
        <v>101</v>
      </c>
      <c r="K76" t="s">
        <v>441</v>
      </c>
    </row>
    <row r="77" spans="3:11" x14ac:dyDescent="0.25">
      <c r="C77">
        <v>3</v>
      </c>
      <c r="D77" t="s">
        <v>57</v>
      </c>
      <c r="E77">
        <v>1</v>
      </c>
      <c r="F77">
        <v>1</v>
      </c>
      <c r="G77">
        <v>1</v>
      </c>
      <c r="H77" t="s">
        <v>544</v>
      </c>
      <c r="I77">
        <v>1</v>
      </c>
      <c r="J77" t="s">
        <v>102</v>
      </c>
      <c r="K77" t="s">
        <v>441</v>
      </c>
    </row>
    <row r="78" spans="3:11" x14ac:dyDescent="0.25">
      <c r="C78">
        <v>3</v>
      </c>
      <c r="D78" t="s">
        <v>62</v>
      </c>
      <c r="E78">
        <v>2</v>
      </c>
      <c r="F78">
        <v>14</v>
      </c>
      <c r="G78">
        <v>1</v>
      </c>
      <c r="H78" t="s">
        <v>544</v>
      </c>
      <c r="I78">
        <v>1</v>
      </c>
      <c r="J78" t="s">
        <v>63</v>
      </c>
      <c r="K78" t="s">
        <v>441</v>
      </c>
    </row>
    <row r="79" spans="3:11" x14ac:dyDescent="0.25">
      <c r="C79">
        <v>3</v>
      </c>
      <c r="D79" t="s">
        <v>60</v>
      </c>
      <c r="E79">
        <v>2</v>
      </c>
      <c r="F79">
        <v>2</v>
      </c>
      <c r="G79">
        <v>14</v>
      </c>
      <c r="H79" t="s">
        <v>544</v>
      </c>
      <c r="I79">
        <v>1</v>
      </c>
      <c r="J79" t="s">
        <v>61</v>
      </c>
      <c r="K79" t="s">
        <v>441</v>
      </c>
    </row>
    <row r="80" spans="3:11" x14ac:dyDescent="0.25">
      <c r="C80">
        <v>3</v>
      </c>
      <c r="D80" t="s">
        <v>103</v>
      </c>
      <c r="E80">
        <v>3</v>
      </c>
      <c r="F80">
        <v>1</v>
      </c>
      <c r="G80">
        <v>1</v>
      </c>
      <c r="H80" t="s">
        <v>589</v>
      </c>
      <c r="I80">
        <v>1</v>
      </c>
      <c r="J80" t="s">
        <v>104</v>
      </c>
      <c r="K80" t="s">
        <v>441</v>
      </c>
    </row>
    <row r="81" spans="3:11" x14ac:dyDescent="0.25">
      <c r="C81">
        <v>3</v>
      </c>
      <c r="D81" t="s">
        <v>1235</v>
      </c>
      <c r="E81">
        <v>4</v>
      </c>
      <c r="F81">
        <v>1</v>
      </c>
      <c r="G81">
        <v>1</v>
      </c>
      <c r="H81" t="s">
        <v>589</v>
      </c>
      <c r="I81">
        <v>1</v>
      </c>
      <c r="J81" t="s">
        <v>105</v>
      </c>
      <c r="K81" t="s">
        <v>441</v>
      </c>
    </row>
    <row r="82" spans="3:11" x14ac:dyDescent="0.25">
      <c r="C82">
        <v>3</v>
      </c>
      <c r="D82" t="s">
        <v>64</v>
      </c>
      <c r="E82">
        <v>3</v>
      </c>
      <c r="F82">
        <v>1</v>
      </c>
      <c r="G82">
        <v>1</v>
      </c>
      <c r="H82" t="s">
        <v>589</v>
      </c>
      <c r="I82">
        <v>1</v>
      </c>
      <c r="J82" t="s">
        <v>106</v>
      </c>
      <c r="K82" t="s">
        <v>441</v>
      </c>
    </row>
    <row r="83" spans="3:11" x14ac:dyDescent="0.25">
      <c r="C83">
        <v>3</v>
      </c>
      <c r="D83" t="s">
        <v>543</v>
      </c>
      <c r="E83">
        <v>1</v>
      </c>
      <c r="F83">
        <v>1</v>
      </c>
      <c r="G83">
        <v>1</v>
      </c>
      <c r="H83" t="s">
        <v>544</v>
      </c>
      <c r="I83">
        <v>1</v>
      </c>
      <c r="J83" t="s">
        <v>1258</v>
      </c>
      <c r="K83" t="s">
        <v>441</v>
      </c>
    </row>
    <row r="84" spans="3:11" x14ac:dyDescent="0.25">
      <c r="C84">
        <v>3</v>
      </c>
      <c r="D84" t="s">
        <v>32</v>
      </c>
      <c r="E84">
        <v>2</v>
      </c>
      <c r="F84">
        <v>14</v>
      </c>
      <c r="G84">
        <v>1</v>
      </c>
      <c r="H84" t="s">
        <v>544</v>
      </c>
      <c r="I84">
        <v>1</v>
      </c>
      <c r="J84" t="s">
        <v>33</v>
      </c>
      <c r="K84" t="s">
        <v>441</v>
      </c>
    </row>
    <row r="85" spans="3:11" x14ac:dyDescent="0.25">
      <c r="C85">
        <v>3</v>
      </c>
      <c r="D85" t="s">
        <v>783</v>
      </c>
      <c r="E85">
        <v>1</v>
      </c>
      <c r="F85">
        <v>1</v>
      </c>
      <c r="G85">
        <v>1</v>
      </c>
      <c r="H85" t="s">
        <v>447</v>
      </c>
      <c r="I85">
        <v>9</v>
      </c>
      <c r="J85" t="s">
        <v>107</v>
      </c>
      <c r="K85" t="s">
        <v>441</v>
      </c>
    </row>
    <row r="86" spans="3:11" x14ac:dyDescent="0.25">
      <c r="C86">
        <v>3</v>
      </c>
      <c r="D86" t="s">
        <v>785</v>
      </c>
      <c r="E86">
        <v>1</v>
      </c>
      <c r="F86">
        <v>1</v>
      </c>
      <c r="G86">
        <v>1</v>
      </c>
      <c r="H86" t="s">
        <v>447</v>
      </c>
      <c r="I86">
        <v>9</v>
      </c>
      <c r="J86" t="s">
        <v>1296</v>
      </c>
      <c r="K86" t="s">
        <v>441</v>
      </c>
    </row>
    <row r="87" spans="3:11" x14ac:dyDescent="0.25">
      <c r="C87">
        <v>3</v>
      </c>
      <c r="D87" t="s">
        <v>108</v>
      </c>
      <c r="E87">
        <v>1</v>
      </c>
      <c r="F87">
        <v>1</v>
      </c>
      <c r="G87">
        <v>1</v>
      </c>
      <c r="H87" t="s">
        <v>447</v>
      </c>
      <c r="I87">
        <v>2</v>
      </c>
      <c r="J87" t="s">
        <v>109</v>
      </c>
      <c r="K87" t="s">
        <v>441</v>
      </c>
    </row>
    <row r="88" spans="3:11" x14ac:dyDescent="0.25">
      <c r="C88">
        <v>3</v>
      </c>
      <c r="D88" t="s">
        <v>110</v>
      </c>
      <c r="E88">
        <v>2</v>
      </c>
      <c r="F88">
        <v>1</v>
      </c>
      <c r="G88">
        <v>1</v>
      </c>
      <c r="H88" t="s">
        <v>447</v>
      </c>
      <c r="I88">
        <v>2</v>
      </c>
      <c r="J88" t="s">
        <v>111</v>
      </c>
      <c r="K88" t="s">
        <v>441</v>
      </c>
    </row>
    <row r="89" spans="3:11" x14ac:dyDescent="0.25">
      <c r="C89">
        <v>3</v>
      </c>
      <c r="D89" t="s">
        <v>112</v>
      </c>
      <c r="E89">
        <v>1</v>
      </c>
      <c r="F89">
        <v>1</v>
      </c>
      <c r="G89">
        <v>1</v>
      </c>
      <c r="H89" t="s">
        <v>544</v>
      </c>
      <c r="I89">
        <v>2</v>
      </c>
      <c r="J89" t="s">
        <v>113</v>
      </c>
      <c r="K89" t="s">
        <v>441</v>
      </c>
    </row>
    <row r="90" spans="3:11" x14ac:dyDescent="0.25">
      <c r="C90">
        <v>3</v>
      </c>
      <c r="D90" t="s">
        <v>114</v>
      </c>
      <c r="E90">
        <v>2</v>
      </c>
      <c r="F90">
        <v>1</v>
      </c>
      <c r="G90">
        <v>1</v>
      </c>
      <c r="H90" t="s">
        <v>544</v>
      </c>
      <c r="I90">
        <v>2</v>
      </c>
      <c r="J90" t="s">
        <v>118</v>
      </c>
      <c r="K90" t="s">
        <v>441</v>
      </c>
    </row>
    <row r="91" spans="3:11" x14ac:dyDescent="0.25">
      <c r="C91">
        <v>3</v>
      </c>
      <c r="D91" t="s">
        <v>119</v>
      </c>
      <c r="E91">
        <v>2</v>
      </c>
      <c r="F91">
        <v>1</v>
      </c>
      <c r="G91">
        <v>1</v>
      </c>
      <c r="H91" t="s">
        <v>544</v>
      </c>
      <c r="I91">
        <v>2</v>
      </c>
      <c r="J91" t="s">
        <v>120</v>
      </c>
      <c r="K91" t="s">
        <v>441</v>
      </c>
    </row>
    <row r="92" spans="3:11" x14ac:dyDescent="0.25">
      <c r="C92">
        <v>3</v>
      </c>
      <c r="D92" t="s">
        <v>121</v>
      </c>
      <c r="E92">
        <v>2</v>
      </c>
      <c r="F92">
        <v>1</v>
      </c>
      <c r="G92">
        <v>1</v>
      </c>
      <c r="H92" t="s">
        <v>544</v>
      </c>
      <c r="I92">
        <v>2</v>
      </c>
      <c r="J92" t="s">
        <v>122</v>
      </c>
      <c r="K92" t="s">
        <v>441</v>
      </c>
    </row>
    <row r="93" spans="3:11" x14ac:dyDescent="0.25">
      <c r="C93">
        <v>3</v>
      </c>
      <c r="D93" t="s">
        <v>123</v>
      </c>
      <c r="E93">
        <v>1</v>
      </c>
      <c r="F93">
        <v>1</v>
      </c>
      <c r="G93">
        <v>1</v>
      </c>
      <c r="H93" t="s">
        <v>544</v>
      </c>
      <c r="I93">
        <v>2</v>
      </c>
      <c r="J93" t="s">
        <v>124</v>
      </c>
      <c r="K93" t="s">
        <v>441</v>
      </c>
    </row>
    <row r="94" spans="3:11" x14ac:dyDescent="0.25">
      <c r="C94">
        <v>3</v>
      </c>
      <c r="D94" t="s">
        <v>125</v>
      </c>
      <c r="E94">
        <v>1</v>
      </c>
      <c r="F94">
        <v>1</v>
      </c>
      <c r="G94">
        <v>1</v>
      </c>
      <c r="H94" t="s">
        <v>544</v>
      </c>
      <c r="I94">
        <v>2</v>
      </c>
      <c r="J94" t="s">
        <v>126</v>
      </c>
      <c r="K94" t="s">
        <v>441</v>
      </c>
    </row>
    <row r="95" spans="3:11" x14ac:dyDescent="0.25">
      <c r="C95">
        <v>3</v>
      </c>
      <c r="D95" t="s">
        <v>127</v>
      </c>
      <c r="E95">
        <v>1</v>
      </c>
      <c r="F95">
        <v>1</v>
      </c>
      <c r="G95">
        <v>1</v>
      </c>
      <c r="H95" t="s">
        <v>447</v>
      </c>
      <c r="I95">
        <v>1</v>
      </c>
      <c r="J95" t="s">
        <v>128</v>
      </c>
      <c r="K95" t="s">
        <v>441</v>
      </c>
    </row>
    <row r="96" spans="3:11" x14ac:dyDescent="0.25">
      <c r="C96">
        <v>3</v>
      </c>
      <c r="D96" t="s">
        <v>129</v>
      </c>
      <c r="E96">
        <v>2</v>
      </c>
      <c r="F96">
        <v>1</v>
      </c>
      <c r="G96">
        <v>1</v>
      </c>
      <c r="H96" t="s">
        <v>447</v>
      </c>
      <c r="I96">
        <v>1</v>
      </c>
      <c r="J96" t="s">
        <v>130</v>
      </c>
      <c r="K96" t="s">
        <v>441</v>
      </c>
    </row>
    <row r="97" spans="3:11" x14ac:dyDescent="0.25">
      <c r="C97">
        <v>3</v>
      </c>
      <c r="D97" t="s">
        <v>131</v>
      </c>
      <c r="E97">
        <v>2</v>
      </c>
      <c r="F97">
        <v>1</v>
      </c>
      <c r="G97">
        <v>1</v>
      </c>
      <c r="H97" t="s">
        <v>447</v>
      </c>
      <c r="I97">
        <v>1</v>
      </c>
      <c r="J97" t="s">
        <v>132</v>
      </c>
      <c r="K97" t="s">
        <v>441</v>
      </c>
    </row>
    <row r="98" spans="3:11" x14ac:dyDescent="0.25">
      <c r="C98">
        <v>3</v>
      </c>
      <c r="D98" t="s">
        <v>133</v>
      </c>
      <c r="E98">
        <v>2</v>
      </c>
      <c r="F98">
        <v>1</v>
      </c>
      <c r="G98">
        <v>1</v>
      </c>
      <c r="H98" t="s">
        <v>447</v>
      </c>
      <c r="I98">
        <v>1</v>
      </c>
      <c r="J98" t="s">
        <v>134</v>
      </c>
      <c r="K98" t="s">
        <v>441</v>
      </c>
    </row>
    <row r="99" spans="3:11" x14ac:dyDescent="0.25">
      <c r="C99">
        <v>3</v>
      </c>
      <c r="D99" t="s">
        <v>135</v>
      </c>
      <c r="E99">
        <v>2</v>
      </c>
      <c r="F99">
        <v>1</v>
      </c>
      <c r="G99">
        <v>1</v>
      </c>
      <c r="H99" t="s">
        <v>447</v>
      </c>
      <c r="I99">
        <v>1</v>
      </c>
      <c r="J99" t="s">
        <v>136</v>
      </c>
      <c r="K99" t="s">
        <v>441</v>
      </c>
    </row>
  </sheetData>
  <phoneticPr fontId="4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08"/>
  <sheetViews>
    <sheetView workbookViewId="0">
      <selection activeCell="B1" sqref="B1:L109"/>
    </sheetView>
  </sheetViews>
  <sheetFormatPr defaultRowHeight="15" x14ac:dyDescent="0.25"/>
  <cols>
    <col min="2" max="2" width="5.28515625" customWidth="1"/>
    <col min="3" max="3" width="14.7109375" customWidth="1"/>
    <col min="4" max="6" width="3.5703125" customWidth="1"/>
    <col min="7" max="7" width="3.85546875" customWidth="1"/>
    <col min="8" max="8" width="2.85546875" customWidth="1"/>
    <col min="9" max="9" width="32.140625" customWidth="1"/>
    <col min="10" max="10" width="19.85546875" customWidth="1"/>
    <col min="11" max="11" width="15.140625" customWidth="1"/>
  </cols>
  <sheetData>
    <row r="1" spans="2:12" x14ac:dyDescent="0.25">
      <c r="B1" t="s">
        <v>437</v>
      </c>
      <c r="L1" t="s">
        <v>1069</v>
      </c>
    </row>
    <row r="2" spans="2:12" x14ac:dyDescent="0.25">
      <c r="B2">
        <v>1</v>
      </c>
      <c r="C2" t="s">
        <v>446</v>
      </c>
      <c r="D2">
        <v>1</v>
      </c>
      <c r="E2">
        <v>1</v>
      </c>
      <c r="F2">
        <v>1</v>
      </c>
      <c r="G2" t="s">
        <v>447</v>
      </c>
      <c r="H2">
        <v>1</v>
      </c>
      <c r="I2" t="s">
        <v>448</v>
      </c>
      <c r="J2" t="e">
        <f>VLOOKUP(C2,#REF!,1,FALSE)</f>
        <v>#REF!</v>
      </c>
      <c r="K2" t="s">
        <v>1246</v>
      </c>
      <c r="L2" t="s">
        <v>1340</v>
      </c>
    </row>
    <row r="3" spans="2:12" x14ac:dyDescent="0.25">
      <c r="B3">
        <v>1</v>
      </c>
      <c r="C3" t="s">
        <v>543</v>
      </c>
      <c r="D3">
        <v>1</v>
      </c>
      <c r="E3">
        <v>1</v>
      </c>
      <c r="F3">
        <v>1</v>
      </c>
      <c r="G3" t="s">
        <v>544</v>
      </c>
      <c r="H3">
        <v>1</v>
      </c>
      <c r="I3" t="s">
        <v>1258</v>
      </c>
      <c r="J3" t="e">
        <f>VLOOKUP(C3,#REF!,1,FALSE)</f>
        <v>#REF!</v>
      </c>
      <c r="K3" t="s">
        <v>1246</v>
      </c>
      <c r="L3" t="s">
        <v>1340</v>
      </c>
    </row>
    <row r="4" spans="2:12" x14ac:dyDescent="0.25">
      <c r="B4">
        <v>1</v>
      </c>
      <c r="C4" t="s">
        <v>546</v>
      </c>
      <c r="D4">
        <v>1</v>
      </c>
      <c r="E4">
        <v>1</v>
      </c>
      <c r="F4">
        <v>1</v>
      </c>
      <c r="G4" t="s">
        <v>544</v>
      </c>
      <c r="H4">
        <v>1</v>
      </c>
      <c r="I4" t="s">
        <v>547</v>
      </c>
      <c r="J4" t="e">
        <f>VLOOKUP(C4,#REF!,1,FALSE)</f>
        <v>#REF!</v>
      </c>
      <c r="K4" t="s">
        <v>1246</v>
      </c>
      <c r="L4" t="s">
        <v>1340</v>
      </c>
    </row>
    <row r="5" spans="2:12" x14ac:dyDescent="0.25">
      <c r="B5">
        <v>1</v>
      </c>
      <c r="C5" t="s">
        <v>548</v>
      </c>
      <c r="D5">
        <v>1</v>
      </c>
      <c r="E5">
        <v>1</v>
      </c>
      <c r="F5">
        <v>1</v>
      </c>
      <c r="G5" t="s">
        <v>544</v>
      </c>
      <c r="H5">
        <v>1</v>
      </c>
      <c r="I5" t="s">
        <v>549</v>
      </c>
      <c r="J5" t="e">
        <f>VLOOKUP(C5,#REF!,1,FALSE)</f>
        <v>#REF!</v>
      </c>
      <c r="K5" t="s">
        <v>1246</v>
      </c>
      <c r="L5" t="s">
        <v>1340</v>
      </c>
    </row>
    <row r="6" spans="2:12" x14ac:dyDescent="0.25">
      <c r="B6">
        <v>1</v>
      </c>
      <c r="C6" t="s">
        <v>550</v>
      </c>
      <c r="D6">
        <v>1</v>
      </c>
      <c r="E6">
        <v>1</v>
      </c>
      <c r="F6">
        <v>1</v>
      </c>
      <c r="G6" t="s">
        <v>544</v>
      </c>
      <c r="H6">
        <v>1</v>
      </c>
      <c r="I6" t="s">
        <v>1259</v>
      </c>
      <c r="J6" t="e">
        <f>VLOOKUP(C6,#REF!,1,FALSE)</f>
        <v>#REF!</v>
      </c>
      <c r="K6" t="s">
        <v>1246</v>
      </c>
      <c r="L6" t="s">
        <v>1340</v>
      </c>
    </row>
    <row r="7" spans="2:12" x14ac:dyDescent="0.25">
      <c r="B7">
        <v>1</v>
      </c>
      <c r="C7" t="s">
        <v>552</v>
      </c>
      <c r="D7">
        <v>1</v>
      </c>
      <c r="E7">
        <v>1</v>
      </c>
      <c r="F7">
        <v>1</v>
      </c>
      <c r="G7" t="s">
        <v>544</v>
      </c>
      <c r="H7">
        <v>4</v>
      </c>
      <c r="I7" t="s">
        <v>1260</v>
      </c>
      <c r="J7" t="e">
        <f>VLOOKUP(C7,#REF!,1,FALSE)</f>
        <v>#REF!</v>
      </c>
      <c r="K7" t="s">
        <v>1246</v>
      </c>
      <c r="L7" t="s">
        <v>1340</v>
      </c>
    </row>
    <row r="8" spans="2:12" x14ac:dyDescent="0.25">
      <c r="B8">
        <v>1</v>
      </c>
      <c r="C8" t="s">
        <v>556</v>
      </c>
      <c r="D8">
        <v>5</v>
      </c>
      <c r="E8">
        <v>2</v>
      </c>
      <c r="F8">
        <v>1</v>
      </c>
      <c r="G8" t="s">
        <v>544</v>
      </c>
      <c r="H8">
        <v>1</v>
      </c>
      <c r="I8" t="s">
        <v>557</v>
      </c>
      <c r="J8" t="e">
        <f>VLOOKUP(C8,#REF!,1,FALSE)</f>
        <v>#REF!</v>
      </c>
      <c r="K8" t="s">
        <v>1246</v>
      </c>
      <c r="L8" t="s">
        <v>1340</v>
      </c>
    </row>
    <row r="9" spans="2:12" x14ac:dyDescent="0.25">
      <c r="B9">
        <v>1</v>
      </c>
      <c r="C9" t="s">
        <v>588</v>
      </c>
      <c r="D9">
        <v>16</v>
      </c>
      <c r="E9">
        <v>1</v>
      </c>
      <c r="F9">
        <v>1</v>
      </c>
      <c r="G9" t="s">
        <v>589</v>
      </c>
      <c r="H9">
        <v>1</v>
      </c>
      <c r="I9" t="s">
        <v>1261</v>
      </c>
      <c r="J9" t="e">
        <f>VLOOKUP(C9,#REF!,1,FALSE)</f>
        <v>#REF!</v>
      </c>
      <c r="K9" t="s">
        <v>1246</v>
      </c>
      <c r="L9" t="s">
        <v>1340</v>
      </c>
    </row>
    <row r="10" spans="2:12" x14ac:dyDescent="0.25">
      <c r="B10">
        <v>1</v>
      </c>
      <c r="C10" t="s">
        <v>591</v>
      </c>
      <c r="D10">
        <v>4</v>
      </c>
      <c r="E10">
        <v>1</v>
      </c>
      <c r="F10">
        <v>1</v>
      </c>
      <c r="G10" t="s">
        <v>589</v>
      </c>
      <c r="H10">
        <v>1</v>
      </c>
      <c r="I10" t="s">
        <v>1262</v>
      </c>
      <c r="J10" t="e">
        <f>VLOOKUP(C10,#REF!,1,FALSE)</f>
        <v>#REF!</v>
      </c>
      <c r="K10" t="s">
        <v>1246</v>
      </c>
      <c r="L10" t="s">
        <v>1340</v>
      </c>
    </row>
    <row r="11" spans="2:12" x14ac:dyDescent="0.25">
      <c r="B11">
        <v>1</v>
      </c>
      <c r="C11" t="s">
        <v>593</v>
      </c>
      <c r="D11">
        <v>16</v>
      </c>
      <c r="E11">
        <v>1</v>
      </c>
      <c r="F11">
        <v>1</v>
      </c>
      <c r="G11" t="s">
        <v>589</v>
      </c>
      <c r="H11">
        <v>1</v>
      </c>
      <c r="I11" t="s">
        <v>1263</v>
      </c>
      <c r="J11" t="e">
        <f>VLOOKUP(C11,#REF!,1,FALSE)</f>
        <v>#REF!</v>
      </c>
      <c r="K11" t="s">
        <v>1246</v>
      </c>
      <c r="L11" t="s">
        <v>1340</v>
      </c>
    </row>
    <row r="12" spans="2:12" x14ac:dyDescent="0.25">
      <c r="B12">
        <v>1</v>
      </c>
      <c r="C12" t="s">
        <v>597</v>
      </c>
      <c r="D12">
        <v>48</v>
      </c>
      <c r="E12">
        <v>1</v>
      </c>
      <c r="F12">
        <v>1</v>
      </c>
      <c r="G12" t="s">
        <v>589</v>
      </c>
      <c r="H12">
        <v>1</v>
      </c>
      <c r="I12" t="s">
        <v>1264</v>
      </c>
      <c r="J12" t="e">
        <f>VLOOKUP(C12,#REF!,1,FALSE)</f>
        <v>#REF!</v>
      </c>
      <c r="K12" t="s">
        <v>1246</v>
      </c>
      <c r="L12" t="s">
        <v>1340</v>
      </c>
    </row>
    <row r="13" spans="2:12" x14ac:dyDescent="0.25">
      <c r="B13">
        <v>1</v>
      </c>
      <c r="C13" t="s">
        <v>599</v>
      </c>
      <c r="D13">
        <v>64</v>
      </c>
      <c r="E13">
        <v>1</v>
      </c>
      <c r="F13">
        <v>1</v>
      </c>
      <c r="G13" t="s">
        <v>589</v>
      </c>
      <c r="H13">
        <v>1</v>
      </c>
      <c r="I13" t="s">
        <v>1265</v>
      </c>
      <c r="J13" t="e">
        <f>VLOOKUP(C13,#REF!,1,FALSE)</f>
        <v>#REF!</v>
      </c>
      <c r="K13" t="s">
        <v>1246</v>
      </c>
      <c r="L13" t="s">
        <v>1340</v>
      </c>
    </row>
    <row r="14" spans="2:12" x14ac:dyDescent="0.25">
      <c r="B14">
        <v>1</v>
      </c>
      <c r="C14" t="s">
        <v>601</v>
      </c>
      <c r="D14">
        <v>40</v>
      </c>
      <c r="E14">
        <v>1</v>
      </c>
      <c r="F14">
        <v>1</v>
      </c>
      <c r="G14" t="s">
        <v>589</v>
      </c>
      <c r="H14">
        <v>1</v>
      </c>
      <c r="I14" t="s">
        <v>1266</v>
      </c>
      <c r="J14" t="e">
        <f>VLOOKUP(C14,#REF!,1,FALSE)</f>
        <v>#REF!</v>
      </c>
      <c r="K14" t="s">
        <v>1246</v>
      </c>
      <c r="L14" t="s">
        <v>1340</v>
      </c>
    </row>
    <row r="15" spans="2:12" x14ac:dyDescent="0.25">
      <c r="B15">
        <v>1</v>
      </c>
      <c r="C15" t="s">
        <v>603</v>
      </c>
      <c r="D15">
        <v>40</v>
      </c>
      <c r="E15">
        <v>1</v>
      </c>
      <c r="F15">
        <v>1</v>
      </c>
      <c r="G15" t="s">
        <v>589</v>
      </c>
      <c r="H15">
        <v>1</v>
      </c>
      <c r="I15" t="s">
        <v>1267</v>
      </c>
      <c r="J15" t="e">
        <f>VLOOKUP(C15,#REF!,1,FALSE)</f>
        <v>#REF!</v>
      </c>
      <c r="K15" t="s">
        <v>1246</v>
      </c>
      <c r="L15" t="s">
        <v>1340</v>
      </c>
    </row>
    <row r="16" spans="2:12" x14ac:dyDescent="0.25">
      <c r="B16">
        <v>1</v>
      </c>
      <c r="C16" t="s">
        <v>607</v>
      </c>
      <c r="D16">
        <v>4</v>
      </c>
      <c r="E16">
        <v>2</v>
      </c>
      <c r="F16">
        <v>1</v>
      </c>
      <c r="G16" t="s">
        <v>589</v>
      </c>
      <c r="H16">
        <v>1</v>
      </c>
      <c r="I16" t="s">
        <v>1268</v>
      </c>
      <c r="J16" t="e">
        <f>VLOOKUP(C16,#REF!,1,FALSE)</f>
        <v>#REF!</v>
      </c>
      <c r="K16" t="s">
        <v>1246</v>
      </c>
      <c r="L16" t="s">
        <v>1340</v>
      </c>
    </row>
    <row r="17" spans="2:12" x14ac:dyDescent="0.25">
      <c r="B17" t="s">
        <v>440</v>
      </c>
      <c r="C17" t="s">
        <v>1269</v>
      </c>
      <c r="G17" t="s">
        <v>589</v>
      </c>
      <c r="I17" t="s">
        <v>1270</v>
      </c>
      <c r="J17" t="e">
        <f>VLOOKUP(C17,#REF!,1,FALSE)</f>
        <v>#REF!</v>
      </c>
      <c r="K17" t="s">
        <v>1246</v>
      </c>
      <c r="L17" t="s">
        <v>1340</v>
      </c>
    </row>
    <row r="18" spans="2:12" x14ac:dyDescent="0.25">
      <c r="B18">
        <v>1</v>
      </c>
      <c r="C18" t="s">
        <v>609</v>
      </c>
      <c r="D18">
        <v>4</v>
      </c>
      <c r="E18">
        <v>14</v>
      </c>
      <c r="F18">
        <v>1</v>
      </c>
      <c r="G18" t="s">
        <v>589</v>
      </c>
      <c r="H18">
        <v>1</v>
      </c>
      <c r="I18" t="s">
        <v>1271</v>
      </c>
      <c r="J18" t="e">
        <f>VLOOKUP(C18,#REF!,1,FALSE)</f>
        <v>#REF!</v>
      </c>
      <c r="K18" t="s">
        <v>1246</v>
      </c>
      <c r="L18" t="s">
        <v>1340</v>
      </c>
    </row>
    <row r="19" spans="2:12" x14ac:dyDescent="0.25">
      <c r="B19" t="s">
        <v>440</v>
      </c>
      <c r="C19" t="s">
        <v>1272</v>
      </c>
      <c r="G19" t="s">
        <v>589</v>
      </c>
      <c r="I19" t="s">
        <v>1273</v>
      </c>
      <c r="J19" t="e">
        <f>VLOOKUP(C19,#REF!,1,FALSE)</f>
        <v>#REF!</v>
      </c>
      <c r="K19" t="s">
        <v>1246</v>
      </c>
      <c r="L19" t="s">
        <v>1340</v>
      </c>
    </row>
    <row r="20" spans="2:12" x14ac:dyDescent="0.25">
      <c r="B20">
        <v>3</v>
      </c>
      <c r="C20" t="s">
        <v>1026</v>
      </c>
      <c r="D20">
        <v>1</v>
      </c>
      <c r="E20">
        <v>1</v>
      </c>
      <c r="F20">
        <v>1</v>
      </c>
      <c r="G20" t="s">
        <v>544</v>
      </c>
      <c r="H20">
        <v>1</v>
      </c>
      <c r="I20" t="s">
        <v>1027</v>
      </c>
      <c r="J20" t="e">
        <f>VLOOKUP(C20,#REF!,1,FALSE)</f>
        <v>#REF!</v>
      </c>
      <c r="K20" t="s">
        <v>1246</v>
      </c>
      <c r="L20" t="s">
        <v>1340</v>
      </c>
    </row>
    <row r="21" spans="2:12" x14ac:dyDescent="0.25">
      <c r="B21">
        <v>3</v>
      </c>
      <c r="C21" t="s">
        <v>1030</v>
      </c>
      <c r="D21">
        <v>3</v>
      </c>
      <c r="E21">
        <v>1</v>
      </c>
      <c r="F21">
        <v>1</v>
      </c>
      <c r="G21" t="s">
        <v>544</v>
      </c>
      <c r="H21">
        <v>1</v>
      </c>
      <c r="I21" t="s">
        <v>1031</v>
      </c>
      <c r="J21" t="e">
        <f>VLOOKUP(C21,#REF!,1,FALSE)</f>
        <v>#REF!</v>
      </c>
      <c r="K21" t="s">
        <v>1246</v>
      </c>
      <c r="L21" t="s">
        <v>1340</v>
      </c>
    </row>
    <row r="22" spans="2:12" x14ac:dyDescent="0.25">
      <c r="B22">
        <v>3</v>
      </c>
      <c r="C22" t="s">
        <v>1036</v>
      </c>
      <c r="D22">
        <v>2</v>
      </c>
      <c r="E22">
        <v>1</v>
      </c>
      <c r="F22">
        <v>1</v>
      </c>
      <c r="G22" t="s">
        <v>544</v>
      </c>
      <c r="H22">
        <v>1</v>
      </c>
      <c r="I22" t="s">
        <v>1274</v>
      </c>
      <c r="J22" t="e">
        <f>VLOOKUP(C22,#REF!,1,FALSE)</f>
        <v>#REF!</v>
      </c>
      <c r="K22" t="s">
        <v>1246</v>
      </c>
      <c r="L22" t="s">
        <v>1340</v>
      </c>
    </row>
    <row r="23" spans="2:12" x14ac:dyDescent="0.25">
      <c r="B23">
        <v>2</v>
      </c>
      <c r="C23" t="s">
        <v>958</v>
      </c>
      <c r="D23">
        <v>5</v>
      </c>
      <c r="E23">
        <v>1</v>
      </c>
      <c r="F23">
        <v>1</v>
      </c>
      <c r="G23" t="s">
        <v>544</v>
      </c>
      <c r="H23">
        <v>1</v>
      </c>
      <c r="I23" t="s">
        <v>1275</v>
      </c>
      <c r="J23" t="e">
        <f>VLOOKUP(C23,#REF!,1,FALSE)</f>
        <v>#REF!</v>
      </c>
      <c r="K23" t="s">
        <v>1246</v>
      </c>
      <c r="L23" s="11" t="s">
        <v>1351</v>
      </c>
    </row>
    <row r="24" spans="2:12" x14ac:dyDescent="0.25">
      <c r="B24">
        <v>2</v>
      </c>
      <c r="C24" t="s">
        <v>980</v>
      </c>
      <c r="D24">
        <v>5</v>
      </c>
      <c r="E24">
        <v>1</v>
      </c>
      <c r="F24">
        <v>1</v>
      </c>
      <c r="G24" t="s">
        <v>589</v>
      </c>
      <c r="H24">
        <v>1</v>
      </c>
      <c r="I24" t="s">
        <v>1276</v>
      </c>
      <c r="J24" t="e">
        <f>VLOOKUP(C24,#REF!,1,FALSE)</f>
        <v>#REF!</v>
      </c>
      <c r="K24" t="s">
        <v>1246</v>
      </c>
      <c r="L24" s="11" t="s">
        <v>1351</v>
      </c>
    </row>
    <row r="25" spans="2:12" x14ac:dyDescent="0.25">
      <c r="B25">
        <v>2</v>
      </c>
      <c r="C25" t="s">
        <v>984</v>
      </c>
      <c r="D25">
        <v>4</v>
      </c>
      <c r="E25">
        <v>1</v>
      </c>
      <c r="F25">
        <v>1</v>
      </c>
      <c r="G25" t="s">
        <v>589</v>
      </c>
      <c r="H25">
        <v>1</v>
      </c>
      <c r="I25" t="s">
        <v>1277</v>
      </c>
      <c r="J25" t="e">
        <f>VLOOKUP(C25,#REF!,1,FALSE)</f>
        <v>#REF!</v>
      </c>
      <c r="K25" t="s">
        <v>1246</v>
      </c>
      <c r="L25" s="11" t="s">
        <v>1351</v>
      </c>
    </row>
    <row r="26" spans="2:12" x14ac:dyDescent="0.25">
      <c r="B26">
        <v>3</v>
      </c>
      <c r="C26" t="s">
        <v>1040</v>
      </c>
      <c r="D26">
        <v>6</v>
      </c>
      <c r="E26">
        <v>1</v>
      </c>
      <c r="F26">
        <v>1</v>
      </c>
      <c r="G26" t="s">
        <v>544</v>
      </c>
      <c r="H26">
        <v>1</v>
      </c>
      <c r="I26" t="s">
        <v>1278</v>
      </c>
      <c r="J26" t="e">
        <f>VLOOKUP(C26,#REF!,1,FALSE)</f>
        <v>#REF!</v>
      </c>
      <c r="K26" t="s">
        <v>1246</v>
      </c>
      <c r="L26" s="11" t="s">
        <v>1351</v>
      </c>
    </row>
    <row r="27" spans="2:12" x14ac:dyDescent="0.25">
      <c r="B27">
        <v>2</v>
      </c>
      <c r="C27" t="s">
        <v>755</v>
      </c>
      <c r="D27">
        <v>2</v>
      </c>
      <c r="E27">
        <v>16</v>
      </c>
      <c r="F27">
        <v>1</v>
      </c>
      <c r="G27" t="s">
        <v>447</v>
      </c>
      <c r="H27">
        <v>1</v>
      </c>
      <c r="I27" t="s">
        <v>1279</v>
      </c>
      <c r="J27" t="e">
        <f>VLOOKUP(C27,#REF!,1,FALSE)</f>
        <v>#REF!</v>
      </c>
      <c r="K27" t="s">
        <v>1246</v>
      </c>
      <c r="L27" t="s">
        <v>438</v>
      </c>
    </row>
    <row r="28" spans="2:12" x14ac:dyDescent="0.25">
      <c r="B28">
        <v>2</v>
      </c>
      <c r="C28" t="s">
        <v>757</v>
      </c>
      <c r="D28">
        <v>2</v>
      </c>
      <c r="E28">
        <v>1</v>
      </c>
      <c r="F28">
        <v>1</v>
      </c>
      <c r="G28" t="s">
        <v>447</v>
      </c>
      <c r="H28">
        <v>1</v>
      </c>
      <c r="I28" t="s">
        <v>1280</v>
      </c>
      <c r="J28" t="e">
        <f>VLOOKUP(C28,#REF!,1,FALSE)</f>
        <v>#REF!</v>
      </c>
      <c r="K28" t="s">
        <v>1246</v>
      </c>
      <c r="L28" t="s">
        <v>438</v>
      </c>
    </row>
    <row r="29" spans="2:12" x14ac:dyDescent="0.25">
      <c r="B29">
        <v>2</v>
      </c>
      <c r="C29" t="s">
        <v>811</v>
      </c>
      <c r="D29">
        <v>2</v>
      </c>
      <c r="E29">
        <v>1</v>
      </c>
      <c r="F29">
        <v>1</v>
      </c>
      <c r="G29" t="s">
        <v>447</v>
      </c>
      <c r="H29">
        <v>2</v>
      </c>
      <c r="I29" t="s">
        <v>812</v>
      </c>
      <c r="J29" t="e">
        <f>VLOOKUP(C29,#REF!,1,FALSE)</f>
        <v>#REF!</v>
      </c>
      <c r="K29" t="s">
        <v>1246</v>
      </c>
      <c r="L29" t="s">
        <v>438</v>
      </c>
    </row>
    <row r="30" spans="2:12" x14ac:dyDescent="0.25">
      <c r="B30">
        <v>2</v>
      </c>
      <c r="C30" t="s">
        <v>878</v>
      </c>
      <c r="D30">
        <v>2</v>
      </c>
      <c r="E30">
        <v>2</v>
      </c>
      <c r="F30">
        <v>1</v>
      </c>
      <c r="G30" t="s">
        <v>447</v>
      </c>
      <c r="H30">
        <v>3</v>
      </c>
      <c r="I30" t="s">
        <v>879</v>
      </c>
      <c r="J30" t="e">
        <f>VLOOKUP(C30,#REF!,1,FALSE)</f>
        <v>#REF!</v>
      </c>
      <c r="K30" t="s">
        <v>1246</v>
      </c>
      <c r="L30" t="s">
        <v>438</v>
      </c>
    </row>
    <row r="31" spans="2:12" x14ac:dyDescent="0.25">
      <c r="B31">
        <v>2</v>
      </c>
      <c r="C31" t="s">
        <v>880</v>
      </c>
      <c r="D31">
        <v>2</v>
      </c>
      <c r="E31">
        <v>2</v>
      </c>
      <c r="F31">
        <v>1</v>
      </c>
      <c r="G31" t="s">
        <v>447</v>
      </c>
      <c r="H31">
        <v>3</v>
      </c>
      <c r="I31" t="s">
        <v>881</v>
      </c>
      <c r="J31" t="e">
        <f>VLOOKUP(C31,#REF!,1,FALSE)</f>
        <v>#REF!</v>
      </c>
      <c r="K31" t="s">
        <v>1246</v>
      </c>
      <c r="L31" t="s">
        <v>438</v>
      </c>
    </row>
    <row r="32" spans="2:12" x14ac:dyDescent="0.25">
      <c r="B32">
        <v>2</v>
      </c>
      <c r="C32" t="s">
        <v>882</v>
      </c>
      <c r="D32">
        <v>2</v>
      </c>
      <c r="E32">
        <v>2</v>
      </c>
      <c r="F32">
        <v>1</v>
      </c>
      <c r="G32" t="s">
        <v>447</v>
      </c>
      <c r="H32">
        <v>3</v>
      </c>
      <c r="I32" t="s">
        <v>883</v>
      </c>
      <c r="J32" t="e">
        <f>VLOOKUP(C32,#REF!,1,FALSE)</f>
        <v>#REF!</v>
      </c>
      <c r="K32" t="s">
        <v>1246</v>
      </c>
      <c r="L32" t="s">
        <v>438</v>
      </c>
    </row>
    <row r="33" spans="2:12" x14ac:dyDescent="0.25">
      <c r="B33">
        <v>2</v>
      </c>
      <c r="C33" t="s">
        <v>884</v>
      </c>
      <c r="D33">
        <v>2</v>
      </c>
      <c r="E33">
        <v>2</v>
      </c>
      <c r="F33">
        <v>1</v>
      </c>
      <c r="G33" t="s">
        <v>447</v>
      </c>
      <c r="H33">
        <v>3</v>
      </c>
      <c r="I33" t="s">
        <v>885</v>
      </c>
      <c r="J33" t="e">
        <f>VLOOKUP(C33,#REF!,1,FALSE)</f>
        <v>#REF!</v>
      </c>
      <c r="K33" t="s">
        <v>1246</v>
      </c>
      <c r="L33" t="s">
        <v>438</v>
      </c>
    </row>
    <row r="34" spans="2:12" x14ac:dyDescent="0.25">
      <c r="B34">
        <v>2</v>
      </c>
      <c r="C34" t="s">
        <v>944</v>
      </c>
      <c r="D34">
        <v>2</v>
      </c>
      <c r="E34">
        <v>16</v>
      </c>
      <c r="F34">
        <v>1</v>
      </c>
      <c r="G34" t="s">
        <v>544</v>
      </c>
      <c r="H34">
        <v>1</v>
      </c>
      <c r="I34" t="s">
        <v>1281</v>
      </c>
      <c r="J34" t="e">
        <f>VLOOKUP(C34,#REF!,1,FALSE)</f>
        <v>#REF!</v>
      </c>
      <c r="K34" t="s">
        <v>1246</v>
      </c>
      <c r="L34" t="s">
        <v>438</v>
      </c>
    </row>
    <row r="35" spans="2:12" x14ac:dyDescent="0.25">
      <c r="B35">
        <v>2</v>
      </c>
      <c r="C35" t="s">
        <v>946</v>
      </c>
      <c r="D35">
        <v>3</v>
      </c>
      <c r="E35">
        <v>2</v>
      </c>
      <c r="F35">
        <v>16</v>
      </c>
      <c r="G35" t="s">
        <v>544</v>
      </c>
      <c r="H35">
        <v>1</v>
      </c>
      <c r="I35" t="s">
        <v>1282</v>
      </c>
      <c r="J35" t="e">
        <f>VLOOKUP(C35,#REF!,1,FALSE)</f>
        <v>#REF!</v>
      </c>
      <c r="K35" t="s">
        <v>1246</v>
      </c>
      <c r="L35" t="s">
        <v>438</v>
      </c>
    </row>
    <row r="36" spans="2:12" x14ac:dyDescent="0.25">
      <c r="B36">
        <v>2</v>
      </c>
      <c r="C36" t="s">
        <v>976</v>
      </c>
      <c r="D36">
        <v>2</v>
      </c>
      <c r="E36">
        <v>16</v>
      </c>
      <c r="F36">
        <v>1</v>
      </c>
      <c r="G36" t="s">
        <v>589</v>
      </c>
      <c r="H36">
        <v>1</v>
      </c>
      <c r="I36" t="s">
        <v>1283</v>
      </c>
      <c r="J36" t="e">
        <f>VLOOKUP(C36,#REF!,1,FALSE)</f>
        <v>#REF!</v>
      </c>
      <c r="K36" t="s">
        <v>1246</v>
      </c>
      <c r="L36" t="s">
        <v>438</v>
      </c>
    </row>
    <row r="37" spans="2:12" x14ac:dyDescent="0.25">
      <c r="B37">
        <v>3</v>
      </c>
      <c r="C37" t="s">
        <v>996</v>
      </c>
      <c r="D37">
        <v>2</v>
      </c>
      <c r="E37">
        <v>2</v>
      </c>
      <c r="F37">
        <v>1</v>
      </c>
      <c r="G37" t="s">
        <v>447</v>
      </c>
      <c r="H37">
        <v>1</v>
      </c>
      <c r="I37" t="s">
        <v>1284</v>
      </c>
      <c r="J37" t="e">
        <f>VLOOKUP(C37,#REF!,1,FALSE)</f>
        <v>#REF!</v>
      </c>
      <c r="K37" t="s">
        <v>1246</v>
      </c>
      <c r="L37" t="s">
        <v>438</v>
      </c>
    </row>
    <row r="38" spans="2:12" x14ac:dyDescent="0.25">
      <c r="B38">
        <v>3</v>
      </c>
      <c r="C38" t="s">
        <v>998</v>
      </c>
      <c r="D38">
        <v>1</v>
      </c>
      <c r="E38">
        <v>1</v>
      </c>
      <c r="F38">
        <v>1</v>
      </c>
      <c r="G38" t="s">
        <v>447</v>
      </c>
      <c r="H38">
        <v>1</v>
      </c>
      <c r="I38" t="s">
        <v>1285</v>
      </c>
      <c r="J38" t="e">
        <f>VLOOKUP(C38,#REF!,1,FALSE)</f>
        <v>#REF!</v>
      </c>
      <c r="K38" t="s">
        <v>1246</v>
      </c>
      <c r="L38" t="s">
        <v>438</v>
      </c>
    </row>
    <row r="39" spans="2:12" x14ac:dyDescent="0.25">
      <c r="B39">
        <v>3</v>
      </c>
      <c r="C39" t="s">
        <v>1000</v>
      </c>
      <c r="D39">
        <v>1</v>
      </c>
      <c r="E39">
        <v>1</v>
      </c>
      <c r="F39">
        <v>1</v>
      </c>
      <c r="G39" t="s">
        <v>447</v>
      </c>
      <c r="H39">
        <v>1</v>
      </c>
      <c r="I39" t="s">
        <v>1286</v>
      </c>
      <c r="J39" t="e">
        <f>VLOOKUP(C39,#REF!,1,FALSE)</f>
        <v>#REF!</v>
      </c>
      <c r="K39" t="s">
        <v>1246</v>
      </c>
      <c r="L39" t="s">
        <v>438</v>
      </c>
    </row>
    <row r="40" spans="2:12" x14ac:dyDescent="0.25">
      <c r="B40">
        <v>3</v>
      </c>
      <c r="C40" t="s">
        <v>1002</v>
      </c>
      <c r="D40">
        <v>1</v>
      </c>
      <c r="E40">
        <v>1</v>
      </c>
      <c r="F40">
        <v>1</v>
      </c>
      <c r="G40" t="s">
        <v>447</v>
      </c>
      <c r="H40">
        <v>1</v>
      </c>
      <c r="I40" t="s">
        <v>1287</v>
      </c>
      <c r="J40" t="e">
        <f>VLOOKUP(C40,#REF!,1,FALSE)</f>
        <v>#REF!</v>
      </c>
      <c r="K40" t="s">
        <v>1246</v>
      </c>
      <c r="L40" t="s">
        <v>438</v>
      </c>
    </row>
    <row r="41" spans="2:12" x14ac:dyDescent="0.25">
      <c r="B41">
        <v>3</v>
      </c>
      <c r="C41" t="s">
        <v>1004</v>
      </c>
      <c r="D41">
        <v>1</v>
      </c>
      <c r="E41">
        <v>1</v>
      </c>
      <c r="F41">
        <v>1</v>
      </c>
      <c r="G41" t="s">
        <v>447</v>
      </c>
      <c r="H41">
        <v>1</v>
      </c>
      <c r="I41" t="s">
        <v>1288</v>
      </c>
      <c r="J41" t="e">
        <f>VLOOKUP(C41,#REF!,1,FALSE)</f>
        <v>#REF!</v>
      </c>
      <c r="K41" t="s">
        <v>1246</v>
      </c>
      <c r="L41" t="s">
        <v>438</v>
      </c>
    </row>
    <row r="42" spans="2:12" x14ac:dyDescent="0.25">
      <c r="B42">
        <v>3</v>
      </c>
      <c r="C42" t="s">
        <v>1006</v>
      </c>
      <c r="D42">
        <v>1</v>
      </c>
      <c r="E42">
        <v>1</v>
      </c>
      <c r="F42">
        <v>1</v>
      </c>
      <c r="G42" t="s">
        <v>447</v>
      </c>
      <c r="H42">
        <v>1</v>
      </c>
      <c r="I42" t="s">
        <v>1289</v>
      </c>
      <c r="J42" t="e">
        <f>VLOOKUP(C42,#REF!,1,FALSE)</f>
        <v>#REF!</v>
      </c>
      <c r="K42" t="s">
        <v>1246</v>
      </c>
      <c r="L42" t="s">
        <v>438</v>
      </c>
    </row>
    <row r="43" spans="2:12" x14ac:dyDescent="0.25">
      <c r="B43">
        <v>3</v>
      </c>
      <c r="C43" t="s">
        <v>1008</v>
      </c>
      <c r="D43">
        <v>1</v>
      </c>
      <c r="E43">
        <v>1</v>
      </c>
      <c r="F43">
        <v>1</v>
      </c>
      <c r="G43" t="s">
        <v>447</v>
      </c>
      <c r="H43">
        <v>1</v>
      </c>
      <c r="I43" t="s">
        <v>1290</v>
      </c>
      <c r="J43" t="e">
        <f>VLOOKUP(C43,#REF!,1,FALSE)</f>
        <v>#REF!</v>
      </c>
      <c r="K43" t="s">
        <v>1246</v>
      </c>
      <c r="L43" t="s">
        <v>438</v>
      </c>
    </row>
    <row r="44" spans="2:12" x14ac:dyDescent="0.25">
      <c r="B44">
        <v>3</v>
      </c>
      <c r="C44" t="s">
        <v>1010</v>
      </c>
      <c r="D44">
        <v>1</v>
      </c>
      <c r="E44">
        <v>1</v>
      </c>
      <c r="F44">
        <v>1</v>
      </c>
      <c r="G44" t="s">
        <v>447</v>
      </c>
      <c r="H44">
        <v>1</v>
      </c>
      <c r="I44" t="s">
        <v>1011</v>
      </c>
      <c r="J44" t="e">
        <f>VLOOKUP(C44,#REF!,1,FALSE)</f>
        <v>#REF!</v>
      </c>
      <c r="K44" t="s">
        <v>1246</v>
      </c>
      <c r="L44" t="s">
        <v>438</v>
      </c>
    </row>
    <row r="45" spans="2:12" x14ac:dyDescent="0.25">
      <c r="B45">
        <v>3</v>
      </c>
      <c r="C45" t="s">
        <v>1020</v>
      </c>
      <c r="D45">
        <v>1</v>
      </c>
      <c r="E45">
        <v>1</v>
      </c>
      <c r="F45">
        <v>1</v>
      </c>
      <c r="G45" t="s">
        <v>447</v>
      </c>
      <c r="H45">
        <v>1</v>
      </c>
      <c r="I45" t="s">
        <v>1291</v>
      </c>
      <c r="J45" t="e">
        <f>VLOOKUP(C45,#REF!,1,FALSE)</f>
        <v>#REF!</v>
      </c>
      <c r="K45" t="s">
        <v>1246</v>
      </c>
      <c r="L45" t="s">
        <v>438</v>
      </c>
    </row>
    <row r="46" spans="2:12" x14ac:dyDescent="0.25">
      <c r="B46">
        <v>3</v>
      </c>
      <c r="C46" t="s">
        <v>1022</v>
      </c>
      <c r="D46">
        <v>2</v>
      </c>
      <c r="E46">
        <v>1</v>
      </c>
      <c r="F46">
        <v>1</v>
      </c>
      <c r="G46" t="s">
        <v>447</v>
      </c>
      <c r="H46">
        <v>1</v>
      </c>
      <c r="I46" t="s">
        <v>1292</v>
      </c>
      <c r="J46" t="e">
        <f>VLOOKUP(C46,#REF!,1,FALSE)</f>
        <v>#REF!</v>
      </c>
      <c r="K46" t="s">
        <v>1246</v>
      </c>
      <c r="L46" t="s">
        <v>438</v>
      </c>
    </row>
    <row r="47" spans="2:12" x14ac:dyDescent="0.25">
      <c r="B47">
        <v>3</v>
      </c>
      <c r="C47" t="s">
        <v>1024</v>
      </c>
      <c r="D47">
        <v>2</v>
      </c>
      <c r="E47">
        <v>1</v>
      </c>
      <c r="F47">
        <v>1</v>
      </c>
      <c r="G47" t="s">
        <v>447</v>
      </c>
      <c r="H47">
        <v>1</v>
      </c>
      <c r="I47" t="s">
        <v>1293</v>
      </c>
      <c r="J47" t="e">
        <f>VLOOKUP(C47,#REF!,1,FALSE)</f>
        <v>#REF!</v>
      </c>
      <c r="K47" t="s">
        <v>1246</v>
      </c>
      <c r="L47" t="s">
        <v>438</v>
      </c>
    </row>
    <row r="48" spans="2:12" x14ac:dyDescent="0.25">
      <c r="B48">
        <v>3</v>
      </c>
      <c r="C48" t="s">
        <v>1032</v>
      </c>
      <c r="D48">
        <v>2</v>
      </c>
      <c r="E48">
        <v>2</v>
      </c>
      <c r="F48">
        <v>16</v>
      </c>
      <c r="G48" t="s">
        <v>544</v>
      </c>
      <c r="H48">
        <v>1</v>
      </c>
      <c r="I48" t="s">
        <v>1033</v>
      </c>
      <c r="J48" t="e">
        <f>VLOOKUP(C48,#REF!,1,FALSE)</f>
        <v>#REF!</v>
      </c>
      <c r="K48" t="s">
        <v>1246</v>
      </c>
      <c r="L48" t="s">
        <v>438</v>
      </c>
    </row>
    <row r="49" spans="2:12" x14ac:dyDescent="0.25">
      <c r="B49">
        <v>3</v>
      </c>
      <c r="C49" t="s">
        <v>1060</v>
      </c>
      <c r="D49">
        <v>4</v>
      </c>
      <c r="E49">
        <v>2</v>
      </c>
      <c r="F49">
        <v>1</v>
      </c>
      <c r="G49" t="s">
        <v>589</v>
      </c>
      <c r="H49">
        <v>1</v>
      </c>
      <c r="I49" t="s">
        <v>1061</v>
      </c>
      <c r="J49" t="e">
        <f>VLOOKUP(C49,#REF!,1,FALSE)</f>
        <v>#REF!</v>
      </c>
      <c r="K49" t="s">
        <v>1246</v>
      </c>
      <c r="L49" t="s">
        <v>438</v>
      </c>
    </row>
    <row r="50" spans="2:12" x14ac:dyDescent="0.25">
      <c r="B50">
        <v>3</v>
      </c>
      <c r="C50" t="s">
        <v>1062</v>
      </c>
      <c r="D50">
        <v>3</v>
      </c>
      <c r="E50">
        <v>1</v>
      </c>
      <c r="F50">
        <v>1</v>
      </c>
      <c r="G50" t="s">
        <v>589</v>
      </c>
      <c r="H50">
        <v>1</v>
      </c>
      <c r="I50" t="s">
        <v>1294</v>
      </c>
      <c r="J50" t="e">
        <f>VLOOKUP(C50,#REF!,1,FALSE)</f>
        <v>#REF!</v>
      </c>
      <c r="K50" t="s">
        <v>1246</v>
      </c>
      <c r="L50" t="s">
        <v>438</v>
      </c>
    </row>
    <row r="51" spans="2:12" x14ac:dyDescent="0.25">
      <c r="B51">
        <v>2</v>
      </c>
      <c r="C51" t="s">
        <v>783</v>
      </c>
      <c r="D51">
        <v>1</v>
      </c>
      <c r="E51">
        <v>1</v>
      </c>
      <c r="F51">
        <v>1</v>
      </c>
      <c r="G51" t="s">
        <v>447</v>
      </c>
      <c r="H51">
        <v>1</v>
      </c>
      <c r="I51" t="s">
        <v>1295</v>
      </c>
      <c r="J51" t="e">
        <f>VLOOKUP(C51,#REF!,1,FALSE)</f>
        <v>#REF!</v>
      </c>
      <c r="K51" t="s">
        <v>1246</v>
      </c>
      <c r="L51" t="s">
        <v>1345</v>
      </c>
    </row>
    <row r="52" spans="2:12" x14ac:dyDescent="0.25">
      <c r="B52">
        <v>2</v>
      </c>
      <c r="C52" t="s">
        <v>785</v>
      </c>
      <c r="D52">
        <v>1</v>
      </c>
      <c r="E52">
        <v>1</v>
      </c>
      <c r="F52">
        <v>1</v>
      </c>
      <c r="G52" t="s">
        <v>447</v>
      </c>
      <c r="H52">
        <v>1</v>
      </c>
      <c r="I52" t="s">
        <v>1296</v>
      </c>
      <c r="J52" t="e">
        <f>VLOOKUP(C52,#REF!,1,FALSE)</f>
        <v>#REF!</v>
      </c>
      <c r="K52" t="s">
        <v>1246</v>
      </c>
      <c r="L52" t="s">
        <v>1345</v>
      </c>
    </row>
    <row r="53" spans="2:12" x14ac:dyDescent="0.25">
      <c r="B53">
        <v>2</v>
      </c>
      <c r="C53" t="s">
        <v>737</v>
      </c>
      <c r="D53">
        <v>2</v>
      </c>
      <c r="E53">
        <v>16</v>
      </c>
      <c r="F53">
        <v>1</v>
      </c>
      <c r="G53" t="s">
        <v>447</v>
      </c>
      <c r="H53">
        <v>1</v>
      </c>
      <c r="I53" t="s">
        <v>738</v>
      </c>
      <c r="J53" t="e">
        <f>VLOOKUP(C53,#REF!,1,FALSE)</f>
        <v>#REF!</v>
      </c>
      <c r="K53" t="s">
        <v>1246</v>
      </c>
      <c r="L53" t="s">
        <v>1345</v>
      </c>
    </row>
    <row r="54" spans="2:12" x14ac:dyDescent="0.25">
      <c r="B54">
        <v>2</v>
      </c>
      <c r="C54" t="s">
        <v>739</v>
      </c>
      <c r="D54">
        <v>1</v>
      </c>
      <c r="E54">
        <v>1</v>
      </c>
      <c r="F54">
        <v>1</v>
      </c>
      <c r="G54" t="s">
        <v>447</v>
      </c>
      <c r="H54">
        <v>1</v>
      </c>
      <c r="I54" t="s">
        <v>1297</v>
      </c>
      <c r="J54" t="e">
        <f>VLOOKUP(C54,#REF!,1,FALSE)</f>
        <v>#REF!</v>
      </c>
      <c r="K54" t="s">
        <v>1246</v>
      </c>
      <c r="L54" t="s">
        <v>1345</v>
      </c>
    </row>
    <row r="55" spans="2:12" x14ac:dyDescent="0.25">
      <c r="B55">
        <v>2</v>
      </c>
      <c r="C55" t="s">
        <v>741</v>
      </c>
      <c r="D55">
        <v>2</v>
      </c>
      <c r="E55">
        <v>1</v>
      </c>
      <c r="F55">
        <v>1</v>
      </c>
      <c r="G55" t="s">
        <v>447</v>
      </c>
      <c r="H55">
        <v>1</v>
      </c>
      <c r="I55" t="s">
        <v>1298</v>
      </c>
      <c r="J55" t="e">
        <f>VLOOKUP(C55,#REF!,1,FALSE)</f>
        <v>#REF!</v>
      </c>
      <c r="K55" t="s">
        <v>1246</v>
      </c>
      <c r="L55" t="s">
        <v>1345</v>
      </c>
    </row>
    <row r="56" spans="2:12" x14ac:dyDescent="0.25">
      <c r="B56">
        <v>2</v>
      </c>
      <c r="C56" t="s">
        <v>743</v>
      </c>
      <c r="D56">
        <v>1</v>
      </c>
      <c r="E56">
        <v>1</v>
      </c>
      <c r="F56">
        <v>1</v>
      </c>
      <c r="G56" t="s">
        <v>447</v>
      </c>
      <c r="H56">
        <v>1</v>
      </c>
      <c r="I56" t="s">
        <v>1299</v>
      </c>
      <c r="J56" t="e">
        <f>VLOOKUP(C56,#REF!,1,FALSE)</f>
        <v>#REF!</v>
      </c>
      <c r="K56" t="s">
        <v>1246</v>
      </c>
      <c r="L56" t="s">
        <v>1345</v>
      </c>
    </row>
    <row r="57" spans="2:12" x14ac:dyDescent="0.25">
      <c r="B57">
        <v>2</v>
      </c>
      <c r="C57" t="s">
        <v>745</v>
      </c>
      <c r="D57">
        <v>1</v>
      </c>
      <c r="E57">
        <v>1</v>
      </c>
      <c r="F57">
        <v>1</v>
      </c>
      <c r="G57" t="s">
        <v>447</v>
      </c>
      <c r="H57">
        <v>1</v>
      </c>
      <c r="I57" t="s">
        <v>1300</v>
      </c>
      <c r="J57" t="e">
        <f>VLOOKUP(C57,#REF!,1,FALSE)</f>
        <v>#REF!</v>
      </c>
      <c r="K57" t="s">
        <v>1246</v>
      </c>
      <c r="L57" t="s">
        <v>1345</v>
      </c>
    </row>
    <row r="58" spans="2:12" x14ac:dyDescent="0.25">
      <c r="B58">
        <v>2</v>
      </c>
      <c r="C58" t="s">
        <v>749</v>
      </c>
      <c r="D58">
        <v>1</v>
      </c>
      <c r="E58">
        <v>1</v>
      </c>
      <c r="F58">
        <v>1</v>
      </c>
      <c r="G58" t="s">
        <v>447</v>
      </c>
      <c r="H58">
        <v>1</v>
      </c>
      <c r="I58" t="s">
        <v>1301</v>
      </c>
      <c r="J58" t="e">
        <f>VLOOKUP(C58,#REF!,1,FALSE)</f>
        <v>#REF!</v>
      </c>
      <c r="K58" t="s">
        <v>1246</v>
      </c>
      <c r="L58" t="s">
        <v>1345</v>
      </c>
    </row>
    <row r="59" spans="2:12" x14ac:dyDescent="0.25">
      <c r="B59">
        <v>2</v>
      </c>
      <c r="C59" t="s">
        <v>751</v>
      </c>
      <c r="D59">
        <v>1</v>
      </c>
      <c r="E59">
        <v>1</v>
      </c>
      <c r="F59">
        <v>1</v>
      </c>
      <c r="G59" t="s">
        <v>447</v>
      </c>
      <c r="H59">
        <v>4</v>
      </c>
      <c r="I59" t="s">
        <v>1302</v>
      </c>
      <c r="J59" t="e">
        <f>VLOOKUP(C59,#REF!,1,FALSE)</f>
        <v>#REF!</v>
      </c>
      <c r="K59" t="s">
        <v>1246</v>
      </c>
      <c r="L59" t="s">
        <v>1345</v>
      </c>
    </row>
    <row r="60" spans="2:12" x14ac:dyDescent="0.25">
      <c r="B60">
        <v>2</v>
      </c>
      <c r="C60" t="s">
        <v>759</v>
      </c>
      <c r="D60">
        <v>1</v>
      </c>
      <c r="E60">
        <v>1</v>
      </c>
      <c r="F60">
        <v>1</v>
      </c>
      <c r="G60" t="s">
        <v>447</v>
      </c>
      <c r="H60">
        <v>1</v>
      </c>
      <c r="I60" t="s">
        <v>760</v>
      </c>
      <c r="J60" t="e">
        <f>VLOOKUP(C60,#REF!,1,FALSE)</f>
        <v>#REF!</v>
      </c>
      <c r="K60" t="s">
        <v>1246</v>
      </c>
      <c r="L60" t="s">
        <v>1345</v>
      </c>
    </row>
    <row r="61" spans="2:12" x14ac:dyDescent="0.25">
      <c r="B61">
        <v>2</v>
      </c>
      <c r="C61" t="s">
        <v>761</v>
      </c>
      <c r="D61">
        <v>1</v>
      </c>
      <c r="E61">
        <v>1</v>
      </c>
      <c r="F61">
        <v>1</v>
      </c>
      <c r="G61" t="s">
        <v>447</v>
      </c>
      <c r="H61">
        <v>1</v>
      </c>
      <c r="I61" t="s">
        <v>1303</v>
      </c>
      <c r="J61" t="e">
        <f>VLOOKUP(C61,#REF!,1,FALSE)</f>
        <v>#REF!</v>
      </c>
      <c r="K61" t="s">
        <v>1246</v>
      </c>
      <c r="L61" t="s">
        <v>1345</v>
      </c>
    </row>
    <row r="62" spans="2:12" x14ac:dyDescent="0.25">
      <c r="B62">
        <v>2</v>
      </c>
      <c r="C62" t="s">
        <v>763</v>
      </c>
      <c r="D62">
        <v>1</v>
      </c>
      <c r="E62">
        <v>1</v>
      </c>
      <c r="F62">
        <v>1</v>
      </c>
      <c r="G62" t="s">
        <v>447</v>
      </c>
      <c r="H62">
        <v>1</v>
      </c>
      <c r="I62" t="s">
        <v>1304</v>
      </c>
      <c r="J62" t="e">
        <f>VLOOKUP(C62,#REF!,1,FALSE)</f>
        <v>#REF!</v>
      </c>
      <c r="K62" t="s">
        <v>1246</v>
      </c>
      <c r="L62" t="s">
        <v>1345</v>
      </c>
    </row>
    <row r="63" spans="2:12" x14ac:dyDescent="0.25">
      <c r="B63">
        <v>2</v>
      </c>
      <c r="C63" t="s">
        <v>765</v>
      </c>
      <c r="D63">
        <v>1</v>
      </c>
      <c r="E63">
        <v>1</v>
      </c>
      <c r="F63">
        <v>1</v>
      </c>
      <c r="G63" t="s">
        <v>447</v>
      </c>
      <c r="H63">
        <v>1</v>
      </c>
      <c r="I63" t="s">
        <v>1305</v>
      </c>
      <c r="J63" t="e">
        <f>VLOOKUP(C63,#REF!,1,FALSE)</f>
        <v>#REF!</v>
      </c>
      <c r="K63" t="s">
        <v>1246</v>
      </c>
      <c r="L63" t="s">
        <v>1345</v>
      </c>
    </row>
    <row r="64" spans="2:12" x14ac:dyDescent="0.25">
      <c r="B64">
        <v>2</v>
      </c>
      <c r="C64" t="s">
        <v>767</v>
      </c>
      <c r="D64">
        <v>16</v>
      </c>
      <c r="E64">
        <v>1</v>
      </c>
      <c r="F64">
        <v>1</v>
      </c>
      <c r="G64" t="s">
        <v>447</v>
      </c>
      <c r="H64">
        <v>1</v>
      </c>
      <c r="I64" t="s">
        <v>1306</v>
      </c>
      <c r="J64" t="e">
        <f>VLOOKUP(C64,#REF!,1,FALSE)</f>
        <v>#REF!</v>
      </c>
      <c r="K64" t="s">
        <v>1246</v>
      </c>
      <c r="L64" t="s">
        <v>1345</v>
      </c>
    </row>
    <row r="65" spans="2:12" x14ac:dyDescent="0.25">
      <c r="B65">
        <v>2</v>
      </c>
      <c r="C65" t="s">
        <v>771</v>
      </c>
      <c r="D65">
        <v>1</v>
      </c>
      <c r="E65">
        <v>1</v>
      </c>
      <c r="F65">
        <v>1</v>
      </c>
      <c r="G65" t="s">
        <v>447</v>
      </c>
      <c r="H65">
        <v>1</v>
      </c>
      <c r="I65" t="s">
        <v>1307</v>
      </c>
      <c r="J65" t="e">
        <f>VLOOKUP(C65,#REF!,1,FALSE)</f>
        <v>#REF!</v>
      </c>
      <c r="K65" t="s">
        <v>1246</v>
      </c>
      <c r="L65" t="s">
        <v>1345</v>
      </c>
    </row>
    <row r="66" spans="2:12" x14ac:dyDescent="0.25">
      <c r="B66">
        <v>2</v>
      </c>
      <c r="C66" t="s">
        <v>773</v>
      </c>
      <c r="D66">
        <v>1</v>
      </c>
      <c r="E66">
        <v>1</v>
      </c>
      <c r="F66">
        <v>1</v>
      </c>
      <c r="G66" t="s">
        <v>447</v>
      </c>
      <c r="H66">
        <v>1</v>
      </c>
      <c r="I66" t="s">
        <v>1308</v>
      </c>
      <c r="J66" t="e">
        <f>VLOOKUP(C66,#REF!,1,FALSE)</f>
        <v>#REF!</v>
      </c>
      <c r="K66" t="s">
        <v>1246</v>
      </c>
      <c r="L66" t="s">
        <v>1345</v>
      </c>
    </row>
    <row r="67" spans="2:12" x14ac:dyDescent="0.25">
      <c r="B67">
        <v>2</v>
      </c>
      <c r="C67" t="s">
        <v>775</v>
      </c>
      <c r="D67">
        <v>1</v>
      </c>
      <c r="E67">
        <v>1</v>
      </c>
      <c r="F67">
        <v>1</v>
      </c>
      <c r="G67" t="s">
        <v>447</v>
      </c>
      <c r="H67">
        <v>1</v>
      </c>
      <c r="I67" t="s">
        <v>1309</v>
      </c>
      <c r="J67" t="e">
        <f>VLOOKUP(C67,#REF!,1,FALSE)</f>
        <v>#REF!</v>
      </c>
      <c r="K67" t="s">
        <v>1246</v>
      </c>
      <c r="L67" t="s">
        <v>1345</v>
      </c>
    </row>
    <row r="68" spans="2:12" x14ac:dyDescent="0.25">
      <c r="B68">
        <v>2</v>
      </c>
      <c r="C68" t="s">
        <v>777</v>
      </c>
      <c r="D68">
        <v>1</v>
      </c>
      <c r="E68">
        <v>1</v>
      </c>
      <c r="F68">
        <v>1</v>
      </c>
      <c r="G68" t="s">
        <v>447</v>
      </c>
      <c r="H68">
        <v>1</v>
      </c>
      <c r="I68" t="s">
        <v>1310</v>
      </c>
      <c r="J68" t="e">
        <f>VLOOKUP(C68,#REF!,1,FALSE)</f>
        <v>#REF!</v>
      </c>
      <c r="K68" t="s">
        <v>1246</v>
      </c>
      <c r="L68" t="s">
        <v>1345</v>
      </c>
    </row>
    <row r="69" spans="2:12" x14ac:dyDescent="0.25">
      <c r="B69">
        <v>2</v>
      </c>
      <c r="C69" t="s">
        <v>779</v>
      </c>
      <c r="D69">
        <v>1</v>
      </c>
      <c r="E69">
        <v>1</v>
      </c>
      <c r="F69">
        <v>1</v>
      </c>
      <c r="G69" t="s">
        <v>447</v>
      </c>
      <c r="H69">
        <v>1</v>
      </c>
      <c r="I69" t="s">
        <v>1311</v>
      </c>
      <c r="J69" t="e">
        <f>VLOOKUP(C69,#REF!,1,FALSE)</f>
        <v>#REF!</v>
      </c>
      <c r="K69" t="s">
        <v>1246</v>
      </c>
      <c r="L69" t="s">
        <v>1345</v>
      </c>
    </row>
    <row r="70" spans="2:12" x14ac:dyDescent="0.25">
      <c r="B70">
        <v>2</v>
      </c>
      <c r="C70" t="s">
        <v>787</v>
      </c>
      <c r="D70">
        <v>1</v>
      </c>
      <c r="E70">
        <v>1</v>
      </c>
      <c r="F70">
        <v>1</v>
      </c>
      <c r="G70" t="s">
        <v>447</v>
      </c>
      <c r="H70">
        <v>1</v>
      </c>
      <c r="I70" t="s">
        <v>1312</v>
      </c>
      <c r="J70" t="e">
        <f>VLOOKUP(C70,#REF!,1,FALSE)</f>
        <v>#REF!</v>
      </c>
      <c r="K70" t="s">
        <v>1246</v>
      </c>
      <c r="L70" t="s">
        <v>1345</v>
      </c>
    </row>
    <row r="71" spans="2:12" x14ac:dyDescent="0.25">
      <c r="B71">
        <v>2</v>
      </c>
      <c r="C71" t="s">
        <v>892</v>
      </c>
      <c r="D71">
        <v>2</v>
      </c>
      <c r="E71">
        <v>1</v>
      </c>
      <c r="F71">
        <v>1</v>
      </c>
      <c r="G71" t="s">
        <v>447</v>
      </c>
      <c r="H71">
        <v>4</v>
      </c>
      <c r="I71" t="s">
        <v>893</v>
      </c>
      <c r="J71" t="e">
        <f>VLOOKUP(C71,#REF!,1,FALSE)</f>
        <v>#REF!</v>
      </c>
      <c r="K71" t="s">
        <v>1246</v>
      </c>
      <c r="L71" t="s">
        <v>1345</v>
      </c>
    </row>
    <row r="72" spans="2:12" x14ac:dyDescent="0.25">
      <c r="B72">
        <v>2</v>
      </c>
      <c r="C72" t="s">
        <v>894</v>
      </c>
      <c r="D72">
        <v>2</v>
      </c>
      <c r="E72">
        <v>1</v>
      </c>
      <c r="F72">
        <v>1</v>
      </c>
      <c r="G72" t="s">
        <v>447</v>
      </c>
      <c r="H72">
        <v>4</v>
      </c>
      <c r="I72" t="s">
        <v>895</v>
      </c>
      <c r="J72" t="e">
        <f>VLOOKUP(C72,#REF!,1,FALSE)</f>
        <v>#REF!</v>
      </c>
      <c r="K72" t="s">
        <v>1246</v>
      </c>
      <c r="L72" t="s">
        <v>1345</v>
      </c>
    </row>
    <row r="73" spans="2:12" x14ac:dyDescent="0.25">
      <c r="B73">
        <v>2</v>
      </c>
      <c r="C73" t="s">
        <v>948</v>
      </c>
      <c r="D73">
        <v>1</v>
      </c>
      <c r="E73">
        <v>1</v>
      </c>
      <c r="F73">
        <v>1</v>
      </c>
      <c r="G73" t="s">
        <v>544</v>
      </c>
      <c r="H73">
        <v>4</v>
      </c>
      <c r="I73" t="s">
        <v>949</v>
      </c>
      <c r="J73" t="e">
        <f>VLOOKUP(C73,#REF!,1,FALSE)</f>
        <v>#REF!</v>
      </c>
      <c r="K73" t="s">
        <v>1246</v>
      </c>
      <c r="L73" t="s">
        <v>1345</v>
      </c>
    </row>
    <row r="74" spans="2:12" x14ac:dyDescent="0.25">
      <c r="B74">
        <v>2</v>
      </c>
      <c r="C74" t="s">
        <v>950</v>
      </c>
      <c r="D74">
        <v>2</v>
      </c>
      <c r="E74">
        <v>16</v>
      </c>
      <c r="F74">
        <v>1</v>
      </c>
      <c r="G74" t="s">
        <v>544</v>
      </c>
      <c r="H74">
        <v>1</v>
      </c>
      <c r="I74" t="s">
        <v>1313</v>
      </c>
      <c r="J74" t="e">
        <f>VLOOKUP(C74,#REF!,1,FALSE)</f>
        <v>#REF!</v>
      </c>
      <c r="K74" t="s">
        <v>1246</v>
      </c>
      <c r="L74" t="s">
        <v>1345</v>
      </c>
    </row>
    <row r="75" spans="2:12" x14ac:dyDescent="0.25">
      <c r="B75">
        <v>2</v>
      </c>
      <c r="C75" t="s">
        <v>956</v>
      </c>
      <c r="D75">
        <v>1</v>
      </c>
      <c r="E75">
        <v>1</v>
      </c>
      <c r="F75">
        <v>1</v>
      </c>
      <c r="G75" t="s">
        <v>544</v>
      </c>
      <c r="H75">
        <v>1</v>
      </c>
      <c r="I75" t="s">
        <v>1314</v>
      </c>
      <c r="J75" t="e">
        <f>VLOOKUP(C75,#REF!,1,FALSE)</f>
        <v>#REF!</v>
      </c>
      <c r="K75" t="s">
        <v>1246</v>
      </c>
      <c r="L75" t="s">
        <v>1345</v>
      </c>
    </row>
    <row r="76" spans="2:12" x14ac:dyDescent="0.25">
      <c r="B76">
        <v>2</v>
      </c>
      <c r="C76" t="s">
        <v>964</v>
      </c>
      <c r="D76">
        <v>1</v>
      </c>
      <c r="E76">
        <v>1</v>
      </c>
      <c r="F76">
        <v>1</v>
      </c>
      <c r="G76" t="s">
        <v>544</v>
      </c>
      <c r="H76">
        <v>4</v>
      </c>
      <c r="I76" t="s">
        <v>965</v>
      </c>
      <c r="J76" t="e">
        <f>VLOOKUP(C76,#REF!,1,FALSE)</f>
        <v>#REF!</v>
      </c>
      <c r="K76" t="s">
        <v>1246</v>
      </c>
      <c r="L76" t="s">
        <v>1345</v>
      </c>
    </row>
    <row r="77" spans="2:12" x14ac:dyDescent="0.25">
      <c r="B77">
        <v>2</v>
      </c>
      <c r="C77" t="s">
        <v>966</v>
      </c>
      <c r="D77">
        <v>1</v>
      </c>
      <c r="E77">
        <v>1</v>
      </c>
      <c r="F77">
        <v>1</v>
      </c>
      <c r="G77" t="s">
        <v>544</v>
      </c>
      <c r="H77">
        <v>4</v>
      </c>
      <c r="I77" t="s">
        <v>967</v>
      </c>
      <c r="J77" t="e">
        <f>VLOOKUP(C77,#REF!,1,FALSE)</f>
        <v>#REF!</v>
      </c>
      <c r="K77" t="s">
        <v>1246</v>
      </c>
      <c r="L77" t="s">
        <v>1345</v>
      </c>
    </row>
    <row r="78" spans="2:12" x14ac:dyDescent="0.25">
      <c r="B78">
        <v>2</v>
      </c>
      <c r="C78" t="s">
        <v>974</v>
      </c>
      <c r="D78">
        <v>4</v>
      </c>
      <c r="E78">
        <v>2</v>
      </c>
      <c r="F78">
        <v>1</v>
      </c>
      <c r="G78" t="s">
        <v>589</v>
      </c>
      <c r="H78">
        <v>1</v>
      </c>
      <c r="I78" t="s">
        <v>1315</v>
      </c>
      <c r="J78" t="e">
        <f>VLOOKUP(C78,#REF!,1,FALSE)</f>
        <v>#REF!</v>
      </c>
      <c r="K78" t="s">
        <v>1246</v>
      </c>
      <c r="L78" t="s">
        <v>1345</v>
      </c>
    </row>
    <row r="79" spans="2:12" x14ac:dyDescent="0.25">
      <c r="B79">
        <v>2</v>
      </c>
      <c r="C79" t="s">
        <v>978</v>
      </c>
      <c r="D79">
        <v>1</v>
      </c>
      <c r="E79">
        <v>1</v>
      </c>
      <c r="F79">
        <v>1</v>
      </c>
      <c r="G79" t="s">
        <v>589</v>
      </c>
      <c r="H79">
        <v>1</v>
      </c>
      <c r="I79" t="s">
        <v>1316</v>
      </c>
      <c r="J79" t="e">
        <f>VLOOKUP(C79,#REF!,1,FALSE)</f>
        <v>#REF!</v>
      </c>
      <c r="K79" t="s">
        <v>1246</v>
      </c>
      <c r="L79" t="s">
        <v>1345</v>
      </c>
    </row>
    <row r="80" spans="2:12" x14ac:dyDescent="0.25">
      <c r="B80">
        <v>2</v>
      </c>
      <c r="C80" t="s">
        <v>888</v>
      </c>
      <c r="D80">
        <v>1</v>
      </c>
      <c r="E80">
        <v>1</v>
      </c>
      <c r="F80">
        <v>1</v>
      </c>
      <c r="G80" t="s">
        <v>447</v>
      </c>
      <c r="H80">
        <v>5</v>
      </c>
      <c r="I80" t="s">
        <v>889</v>
      </c>
      <c r="J80" t="e">
        <f>VLOOKUP(C80,#REF!,1,FALSE)</f>
        <v>#REF!</v>
      </c>
      <c r="K80" t="s">
        <v>1246</v>
      </c>
      <c r="L80" t="s">
        <v>1345</v>
      </c>
    </row>
    <row r="81" spans="2:12" x14ac:dyDescent="0.25">
      <c r="B81">
        <v>2</v>
      </c>
      <c r="C81" t="s">
        <v>890</v>
      </c>
      <c r="D81">
        <v>1</v>
      </c>
      <c r="E81">
        <v>1</v>
      </c>
      <c r="F81">
        <v>1</v>
      </c>
      <c r="G81" t="s">
        <v>447</v>
      </c>
      <c r="H81">
        <v>5</v>
      </c>
      <c r="I81" t="s">
        <v>891</v>
      </c>
      <c r="J81" t="e">
        <f>VLOOKUP(C81,#REF!,1,FALSE)</f>
        <v>#REF!</v>
      </c>
      <c r="K81" t="s">
        <v>1246</v>
      </c>
      <c r="L81" t="s">
        <v>1345</v>
      </c>
    </row>
    <row r="82" spans="2:12" x14ac:dyDescent="0.25">
      <c r="B82">
        <v>3</v>
      </c>
      <c r="C82" t="s">
        <v>990</v>
      </c>
      <c r="D82">
        <v>1</v>
      </c>
      <c r="E82">
        <v>1</v>
      </c>
      <c r="F82">
        <v>1</v>
      </c>
      <c r="G82" t="s">
        <v>447</v>
      </c>
      <c r="H82">
        <v>1</v>
      </c>
      <c r="I82" t="s">
        <v>1317</v>
      </c>
      <c r="J82" t="e">
        <f>VLOOKUP(C82,#REF!,1,FALSE)</f>
        <v>#REF!</v>
      </c>
      <c r="K82" t="s">
        <v>1246</v>
      </c>
      <c r="L82" t="s">
        <v>1345</v>
      </c>
    </row>
    <row r="83" spans="2:12" x14ac:dyDescent="0.25">
      <c r="B83">
        <v>3</v>
      </c>
      <c r="C83" t="s">
        <v>992</v>
      </c>
      <c r="D83">
        <v>1</v>
      </c>
      <c r="E83">
        <v>1</v>
      </c>
      <c r="F83">
        <v>1</v>
      </c>
      <c r="G83" t="s">
        <v>447</v>
      </c>
      <c r="H83">
        <v>1</v>
      </c>
      <c r="I83" t="s">
        <v>1318</v>
      </c>
      <c r="J83" t="e">
        <f>VLOOKUP(C83,#REF!,1,FALSE)</f>
        <v>#REF!</v>
      </c>
      <c r="K83" t="s">
        <v>1246</v>
      </c>
      <c r="L83" t="s">
        <v>1345</v>
      </c>
    </row>
    <row r="84" spans="2:12" x14ac:dyDescent="0.25">
      <c r="B84">
        <v>3</v>
      </c>
      <c r="C84" t="s">
        <v>994</v>
      </c>
      <c r="D84">
        <v>1</v>
      </c>
      <c r="E84">
        <v>1</v>
      </c>
      <c r="F84">
        <v>1</v>
      </c>
      <c r="G84" t="s">
        <v>447</v>
      </c>
      <c r="H84">
        <v>1</v>
      </c>
      <c r="I84" t="s">
        <v>1319</v>
      </c>
      <c r="J84" t="e">
        <f>VLOOKUP(C84,#REF!,1,FALSE)</f>
        <v>#REF!</v>
      </c>
      <c r="K84" t="s">
        <v>1246</v>
      </c>
      <c r="L84" t="s">
        <v>1345</v>
      </c>
    </row>
    <row r="85" spans="2:12" x14ac:dyDescent="0.25">
      <c r="B85">
        <v>3</v>
      </c>
      <c r="C85" t="s">
        <v>1014</v>
      </c>
      <c r="D85">
        <v>1</v>
      </c>
      <c r="E85">
        <v>1</v>
      </c>
      <c r="F85">
        <v>1</v>
      </c>
      <c r="G85" t="s">
        <v>447</v>
      </c>
      <c r="H85">
        <v>1</v>
      </c>
      <c r="I85" t="s">
        <v>1320</v>
      </c>
      <c r="J85" t="e">
        <f>VLOOKUP(C85,#REF!,1,FALSE)</f>
        <v>#REF!</v>
      </c>
      <c r="K85" t="s">
        <v>1246</v>
      </c>
      <c r="L85" t="s">
        <v>1345</v>
      </c>
    </row>
    <row r="86" spans="2:12" x14ac:dyDescent="0.25">
      <c r="B86">
        <v>3</v>
      </c>
      <c r="C86" t="s">
        <v>1016</v>
      </c>
      <c r="D86">
        <v>1</v>
      </c>
      <c r="E86">
        <v>1</v>
      </c>
      <c r="F86">
        <v>1</v>
      </c>
      <c r="G86" t="s">
        <v>447</v>
      </c>
      <c r="H86">
        <v>1</v>
      </c>
      <c r="I86" t="s">
        <v>1321</v>
      </c>
      <c r="J86" t="e">
        <f>VLOOKUP(C86,#REF!,1,FALSE)</f>
        <v>#REF!</v>
      </c>
      <c r="K86" t="s">
        <v>1246</v>
      </c>
      <c r="L86" t="s">
        <v>1345</v>
      </c>
    </row>
    <row r="87" spans="2:12" x14ac:dyDescent="0.25">
      <c r="B87">
        <v>3</v>
      </c>
      <c r="C87" t="s">
        <v>1018</v>
      </c>
      <c r="D87">
        <v>1</v>
      </c>
      <c r="E87">
        <v>1</v>
      </c>
      <c r="F87">
        <v>1</v>
      </c>
      <c r="G87" t="s">
        <v>447</v>
      </c>
      <c r="H87">
        <v>1</v>
      </c>
      <c r="I87" t="s">
        <v>1322</v>
      </c>
      <c r="J87" t="e">
        <f>VLOOKUP(C87,#REF!,1,FALSE)</f>
        <v>#REF!</v>
      </c>
      <c r="K87" t="s">
        <v>1246</v>
      </c>
      <c r="L87" t="s">
        <v>1345</v>
      </c>
    </row>
    <row r="88" spans="2:12" x14ac:dyDescent="0.25">
      <c r="B88">
        <v>3</v>
      </c>
      <c r="C88" t="s">
        <v>1028</v>
      </c>
      <c r="D88">
        <v>6</v>
      </c>
      <c r="E88">
        <v>1</v>
      </c>
      <c r="F88">
        <v>1</v>
      </c>
      <c r="G88" t="s">
        <v>544</v>
      </c>
      <c r="H88">
        <v>1</v>
      </c>
      <c r="I88" t="s">
        <v>1323</v>
      </c>
      <c r="J88" t="e">
        <f>VLOOKUP(C88,#REF!,1,FALSE)</f>
        <v>#REF!</v>
      </c>
      <c r="K88" t="s">
        <v>1246</v>
      </c>
      <c r="L88" t="s">
        <v>1345</v>
      </c>
    </row>
    <row r="89" spans="2:12" x14ac:dyDescent="0.25">
      <c r="B89">
        <v>3</v>
      </c>
      <c r="C89" t="s">
        <v>1034</v>
      </c>
      <c r="D89">
        <v>6</v>
      </c>
      <c r="E89">
        <v>1</v>
      </c>
      <c r="F89">
        <v>1</v>
      </c>
      <c r="G89" t="s">
        <v>544</v>
      </c>
      <c r="H89">
        <v>1</v>
      </c>
      <c r="I89" t="s">
        <v>1324</v>
      </c>
      <c r="J89" t="e">
        <f>VLOOKUP(C89,#REF!,1,FALSE)</f>
        <v>#REF!</v>
      </c>
      <c r="K89" t="s">
        <v>1246</v>
      </c>
      <c r="L89" t="s">
        <v>1345</v>
      </c>
    </row>
    <row r="90" spans="2:12" x14ac:dyDescent="0.25">
      <c r="B90">
        <v>3</v>
      </c>
      <c r="C90" t="s">
        <v>1050</v>
      </c>
      <c r="D90">
        <v>1</v>
      </c>
      <c r="E90">
        <v>1</v>
      </c>
      <c r="F90">
        <v>1</v>
      </c>
      <c r="G90" t="s">
        <v>589</v>
      </c>
      <c r="H90">
        <v>1</v>
      </c>
      <c r="I90" t="s">
        <v>1325</v>
      </c>
      <c r="J90" t="e">
        <f>VLOOKUP(C90,#REF!,1,FALSE)</f>
        <v>#REF!</v>
      </c>
      <c r="K90" t="s">
        <v>1246</v>
      </c>
      <c r="L90" t="s">
        <v>1345</v>
      </c>
    </row>
    <row r="91" spans="2:12" x14ac:dyDescent="0.25">
      <c r="B91">
        <v>3</v>
      </c>
      <c r="C91" t="s">
        <v>1052</v>
      </c>
      <c r="D91">
        <v>8</v>
      </c>
      <c r="E91">
        <v>1</v>
      </c>
      <c r="F91">
        <v>1</v>
      </c>
      <c r="G91" t="s">
        <v>589</v>
      </c>
      <c r="H91">
        <v>1</v>
      </c>
      <c r="I91" t="s">
        <v>1326</v>
      </c>
      <c r="J91" t="e">
        <f>VLOOKUP(C91,#REF!,1,FALSE)</f>
        <v>#REF!</v>
      </c>
      <c r="K91" t="s">
        <v>1246</v>
      </c>
      <c r="L91" t="s">
        <v>1345</v>
      </c>
    </row>
    <row r="92" spans="2:12" x14ac:dyDescent="0.25">
      <c r="B92">
        <v>3</v>
      </c>
      <c r="C92" t="s">
        <v>1054</v>
      </c>
      <c r="D92">
        <v>8</v>
      </c>
      <c r="E92">
        <v>1</v>
      </c>
      <c r="F92">
        <v>1</v>
      </c>
      <c r="G92" t="s">
        <v>589</v>
      </c>
      <c r="H92">
        <v>1</v>
      </c>
      <c r="I92" t="s">
        <v>1327</v>
      </c>
      <c r="J92" t="e">
        <f>VLOOKUP(C92,#REF!,1,FALSE)</f>
        <v>#REF!</v>
      </c>
      <c r="K92" t="s">
        <v>1246</v>
      </c>
      <c r="L92" t="s">
        <v>1345</v>
      </c>
    </row>
    <row r="93" spans="2:12" x14ac:dyDescent="0.25">
      <c r="B93">
        <v>3</v>
      </c>
      <c r="C93" t="s">
        <v>1056</v>
      </c>
      <c r="D93">
        <v>1</v>
      </c>
      <c r="E93">
        <v>1</v>
      </c>
      <c r="F93">
        <v>1</v>
      </c>
      <c r="G93" t="s">
        <v>589</v>
      </c>
      <c r="H93">
        <v>1</v>
      </c>
      <c r="I93" t="s">
        <v>1328</v>
      </c>
      <c r="J93" t="e">
        <f>VLOOKUP(C93,#REF!,1,FALSE)</f>
        <v>#REF!</v>
      </c>
      <c r="K93" t="s">
        <v>1246</v>
      </c>
      <c r="L93" t="s">
        <v>1345</v>
      </c>
    </row>
    <row r="94" spans="2:12" x14ac:dyDescent="0.25">
      <c r="B94">
        <v>3</v>
      </c>
      <c r="C94" t="s">
        <v>1058</v>
      </c>
      <c r="D94">
        <v>1</v>
      </c>
      <c r="E94">
        <v>1</v>
      </c>
      <c r="F94">
        <v>1</v>
      </c>
      <c r="G94" t="s">
        <v>589</v>
      </c>
      <c r="H94">
        <v>1</v>
      </c>
      <c r="I94" t="s">
        <v>1329</v>
      </c>
      <c r="J94" t="e">
        <f>VLOOKUP(C94,#REF!,1,FALSE)</f>
        <v>#REF!</v>
      </c>
      <c r="K94" t="s">
        <v>1246</v>
      </c>
      <c r="L94" t="s">
        <v>1345</v>
      </c>
    </row>
    <row r="95" spans="2:12" x14ac:dyDescent="0.25">
      <c r="B95">
        <v>1</v>
      </c>
      <c r="C95" t="s">
        <v>690</v>
      </c>
      <c r="D95">
        <v>4</v>
      </c>
      <c r="E95">
        <v>2</v>
      </c>
      <c r="F95">
        <v>1</v>
      </c>
      <c r="G95" t="s">
        <v>589</v>
      </c>
      <c r="H95">
        <v>3</v>
      </c>
      <c r="I95" t="s">
        <v>691</v>
      </c>
      <c r="J95" t="e">
        <f>VLOOKUP(C95,#REF!,1,FALSE)</f>
        <v>#REF!</v>
      </c>
      <c r="K95" t="s">
        <v>1246</v>
      </c>
      <c r="L95" t="s">
        <v>439</v>
      </c>
    </row>
    <row r="96" spans="2:12" x14ac:dyDescent="0.25">
      <c r="B96">
        <v>1</v>
      </c>
      <c r="C96" t="s">
        <v>692</v>
      </c>
      <c r="D96">
        <v>2</v>
      </c>
      <c r="E96">
        <v>1</v>
      </c>
      <c r="F96">
        <v>1</v>
      </c>
      <c r="G96" t="s">
        <v>589</v>
      </c>
      <c r="H96">
        <v>3</v>
      </c>
      <c r="I96" t="s">
        <v>693</v>
      </c>
      <c r="J96" t="e">
        <f>VLOOKUP(C96,#REF!,1,FALSE)</f>
        <v>#REF!</v>
      </c>
      <c r="K96" t="s">
        <v>1246</v>
      </c>
      <c r="L96" t="s">
        <v>439</v>
      </c>
    </row>
    <row r="97" spans="2:12" x14ac:dyDescent="0.25">
      <c r="B97">
        <v>1</v>
      </c>
      <c r="C97" t="s">
        <v>523</v>
      </c>
      <c r="D97">
        <v>2</v>
      </c>
      <c r="E97">
        <v>1</v>
      </c>
      <c r="F97">
        <v>1</v>
      </c>
      <c r="G97" t="s">
        <v>447</v>
      </c>
      <c r="H97">
        <v>3</v>
      </c>
      <c r="I97" t="s">
        <v>524</v>
      </c>
      <c r="J97" t="e">
        <f>VLOOKUP(C97,#REF!,1,FALSE)</f>
        <v>#REF!</v>
      </c>
      <c r="K97" t="s">
        <v>1246</v>
      </c>
      <c r="L97" t="s">
        <v>439</v>
      </c>
    </row>
    <row r="98" spans="2:12" x14ac:dyDescent="0.25">
      <c r="B98">
        <v>2</v>
      </c>
      <c r="C98" t="s">
        <v>781</v>
      </c>
      <c r="D98">
        <v>6</v>
      </c>
      <c r="E98">
        <v>1</v>
      </c>
      <c r="F98">
        <v>1</v>
      </c>
      <c r="G98" t="s">
        <v>447</v>
      </c>
      <c r="H98">
        <v>1</v>
      </c>
      <c r="I98" t="s">
        <v>1330</v>
      </c>
      <c r="J98" t="e">
        <f>VLOOKUP(C98,#REF!,1,FALSE)</f>
        <v>#REF!</v>
      </c>
      <c r="K98" t="s">
        <v>1246</v>
      </c>
      <c r="L98" t="s">
        <v>439</v>
      </c>
    </row>
    <row r="99" spans="2:12" x14ac:dyDescent="0.25">
      <c r="B99">
        <v>2</v>
      </c>
      <c r="C99" t="s">
        <v>747</v>
      </c>
      <c r="D99">
        <v>1</v>
      </c>
      <c r="E99">
        <v>1</v>
      </c>
      <c r="F99">
        <v>1</v>
      </c>
      <c r="G99" t="s">
        <v>447</v>
      </c>
      <c r="H99">
        <v>1</v>
      </c>
      <c r="I99" t="s">
        <v>748</v>
      </c>
      <c r="J99" t="e">
        <f>VLOOKUP(C99,#REF!,1,FALSE)</f>
        <v>#REF!</v>
      </c>
      <c r="K99" t="s">
        <v>1246</v>
      </c>
      <c r="L99" t="s">
        <v>439</v>
      </c>
    </row>
    <row r="100" spans="2:12" x14ac:dyDescent="0.25">
      <c r="B100">
        <v>2</v>
      </c>
      <c r="C100" t="s">
        <v>769</v>
      </c>
      <c r="D100">
        <v>1</v>
      </c>
      <c r="E100">
        <v>1</v>
      </c>
      <c r="F100">
        <v>1</v>
      </c>
      <c r="G100" t="s">
        <v>447</v>
      </c>
      <c r="H100">
        <v>1</v>
      </c>
      <c r="I100" t="s">
        <v>1331</v>
      </c>
      <c r="J100" t="e">
        <f>VLOOKUP(C100,#REF!,1,FALSE)</f>
        <v>#REF!</v>
      </c>
      <c r="K100" t="s">
        <v>1246</v>
      </c>
      <c r="L100" t="s">
        <v>439</v>
      </c>
    </row>
    <row r="101" spans="2:12" x14ac:dyDescent="0.25">
      <c r="B101">
        <v>2</v>
      </c>
      <c r="C101" t="s">
        <v>942</v>
      </c>
      <c r="D101">
        <v>1</v>
      </c>
      <c r="E101">
        <v>1</v>
      </c>
      <c r="F101">
        <v>1</v>
      </c>
      <c r="G101" t="s">
        <v>544</v>
      </c>
      <c r="H101">
        <v>1</v>
      </c>
      <c r="I101" t="s">
        <v>943</v>
      </c>
      <c r="J101" t="e">
        <f>VLOOKUP(C101,#REF!,1,FALSE)</f>
        <v>#REF!</v>
      </c>
      <c r="K101" t="s">
        <v>1246</v>
      </c>
      <c r="L101" t="s">
        <v>439</v>
      </c>
    </row>
    <row r="102" spans="2:12" x14ac:dyDescent="0.25">
      <c r="B102">
        <v>2</v>
      </c>
      <c r="C102" t="s">
        <v>1332</v>
      </c>
      <c r="D102">
        <v>16</v>
      </c>
      <c r="E102">
        <v>2</v>
      </c>
      <c r="F102">
        <v>1</v>
      </c>
      <c r="G102" t="s">
        <v>447</v>
      </c>
      <c r="H102">
        <v>1</v>
      </c>
      <c r="I102" t="s">
        <v>1333</v>
      </c>
      <c r="J102" t="e">
        <f>VLOOKUP(C102,#REF!,1,FALSE)</f>
        <v>#REF!</v>
      </c>
      <c r="K102" t="s">
        <v>1246</v>
      </c>
      <c r="L102" t="s">
        <v>439</v>
      </c>
    </row>
    <row r="103" spans="2:12" x14ac:dyDescent="0.25">
      <c r="B103">
        <v>3</v>
      </c>
      <c r="C103" t="s">
        <v>1012</v>
      </c>
      <c r="D103">
        <v>2</v>
      </c>
      <c r="E103">
        <v>1</v>
      </c>
      <c r="F103">
        <v>1</v>
      </c>
      <c r="G103" t="s">
        <v>447</v>
      </c>
      <c r="H103">
        <v>1</v>
      </c>
      <c r="I103" t="s">
        <v>1334</v>
      </c>
      <c r="J103" t="e">
        <f>VLOOKUP(C103,#REF!,1,FALSE)</f>
        <v>#REF!</v>
      </c>
      <c r="K103" t="s">
        <v>1246</v>
      </c>
      <c r="L103" t="s">
        <v>439</v>
      </c>
    </row>
    <row r="104" spans="2:12" x14ac:dyDescent="0.25">
      <c r="B104">
        <v>3</v>
      </c>
      <c r="C104" t="s">
        <v>1038</v>
      </c>
      <c r="D104">
        <v>2</v>
      </c>
      <c r="E104">
        <v>16</v>
      </c>
      <c r="F104">
        <v>1</v>
      </c>
      <c r="G104" t="s">
        <v>544</v>
      </c>
      <c r="H104">
        <v>1</v>
      </c>
      <c r="I104" t="s">
        <v>1335</v>
      </c>
      <c r="J104" t="e">
        <f>VLOOKUP(C104,#REF!,1,FALSE)</f>
        <v>#REF!</v>
      </c>
      <c r="K104" t="s">
        <v>1246</v>
      </c>
      <c r="L104" t="s">
        <v>439</v>
      </c>
    </row>
    <row r="105" spans="2:12" x14ac:dyDescent="0.25">
      <c r="B105">
        <v>3</v>
      </c>
      <c r="C105" t="s">
        <v>1042</v>
      </c>
      <c r="D105">
        <v>1</v>
      </c>
      <c r="E105">
        <v>1</v>
      </c>
      <c r="F105">
        <v>1</v>
      </c>
      <c r="G105" t="s">
        <v>544</v>
      </c>
      <c r="H105">
        <v>1</v>
      </c>
      <c r="I105" t="s">
        <v>1336</v>
      </c>
      <c r="J105" t="e">
        <f>VLOOKUP(C105,#REF!,1,FALSE)</f>
        <v>#REF!</v>
      </c>
      <c r="K105" t="s">
        <v>1246</v>
      </c>
      <c r="L105" t="s">
        <v>439</v>
      </c>
    </row>
    <row r="106" spans="2:12" x14ac:dyDescent="0.25">
      <c r="B106">
        <v>3</v>
      </c>
      <c r="C106" t="s">
        <v>1044</v>
      </c>
      <c r="D106">
        <v>1</v>
      </c>
      <c r="E106">
        <v>1</v>
      </c>
      <c r="F106">
        <v>1</v>
      </c>
      <c r="G106" t="s">
        <v>544</v>
      </c>
      <c r="H106">
        <v>1</v>
      </c>
      <c r="I106" t="s">
        <v>1337</v>
      </c>
      <c r="J106" t="e">
        <f>VLOOKUP(C106,#REF!,1,FALSE)</f>
        <v>#REF!</v>
      </c>
      <c r="K106" t="s">
        <v>1246</v>
      </c>
      <c r="L106" t="s">
        <v>439</v>
      </c>
    </row>
    <row r="107" spans="2:12" x14ac:dyDescent="0.25">
      <c r="B107">
        <v>3</v>
      </c>
      <c r="C107" t="s">
        <v>1046</v>
      </c>
      <c r="D107">
        <v>6</v>
      </c>
      <c r="E107">
        <v>1</v>
      </c>
      <c r="F107">
        <v>1</v>
      </c>
      <c r="G107" t="s">
        <v>544</v>
      </c>
      <c r="H107">
        <v>1</v>
      </c>
      <c r="I107" t="s">
        <v>1338</v>
      </c>
      <c r="J107" t="e">
        <f>VLOOKUP(C107,#REF!,1,FALSE)</f>
        <v>#REF!</v>
      </c>
      <c r="K107" t="s">
        <v>1246</v>
      </c>
      <c r="L107" t="s">
        <v>439</v>
      </c>
    </row>
    <row r="108" spans="2:12" x14ac:dyDescent="0.25">
      <c r="B108">
        <v>3</v>
      </c>
      <c r="C108" t="s">
        <v>1048</v>
      </c>
      <c r="D108">
        <v>16</v>
      </c>
      <c r="E108">
        <v>1</v>
      </c>
      <c r="F108">
        <v>1</v>
      </c>
      <c r="G108" t="s">
        <v>589</v>
      </c>
      <c r="H108">
        <v>1</v>
      </c>
      <c r="I108" t="s">
        <v>1339</v>
      </c>
      <c r="J108" t="e">
        <f>VLOOKUP(C108,#REF!,1,FALSE)</f>
        <v>#REF!</v>
      </c>
      <c r="K108" t="s">
        <v>1246</v>
      </c>
      <c r="L108" t="s">
        <v>439</v>
      </c>
    </row>
  </sheetData>
  <phoneticPr fontId="4" type="noConversion"/>
  <pageMargins left="0.75" right="0.75" top="1" bottom="1" header="0.5" footer="0.5"/>
  <pageSetup orientation="portrait" horizont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96"/>
  <sheetViews>
    <sheetView topLeftCell="A4" workbookViewId="0">
      <selection activeCell="C96" sqref="C96"/>
    </sheetView>
  </sheetViews>
  <sheetFormatPr defaultRowHeight="15" x14ac:dyDescent="0.25"/>
  <cols>
    <col min="2" max="2" width="25.7109375" customWidth="1"/>
    <col min="3" max="3" width="51" customWidth="1"/>
  </cols>
  <sheetData>
    <row r="1" spans="2:4" x14ac:dyDescent="0.25">
      <c r="B1" t="s">
        <v>1353</v>
      </c>
      <c r="C1" t="s">
        <v>1354</v>
      </c>
      <c r="D1" t="s">
        <v>1355</v>
      </c>
    </row>
    <row r="4" spans="2:4" x14ac:dyDescent="0.25">
      <c r="B4" t="s">
        <v>1356</v>
      </c>
      <c r="C4" t="s">
        <v>1357</v>
      </c>
      <c r="D4" t="s">
        <v>1358</v>
      </c>
    </row>
    <row r="8" spans="2:4" x14ac:dyDescent="0.25">
      <c r="B8" t="s">
        <v>548</v>
      </c>
      <c r="C8" t="s">
        <v>1359</v>
      </c>
      <c r="D8" t="s">
        <v>1360</v>
      </c>
    </row>
    <row r="9" spans="2:4" x14ac:dyDescent="0.25">
      <c r="B9" t="s">
        <v>550</v>
      </c>
      <c r="C9" t="s">
        <v>1361</v>
      </c>
      <c r="D9" t="s">
        <v>1360</v>
      </c>
    </row>
    <row r="10" spans="2:4" x14ac:dyDescent="0.25">
      <c r="B10" t="s">
        <v>552</v>
      </c>
      <c r="C10" t="s">
        <v>1362</v>
      </c>
      <c r="D10" t="s">
        <v>1360</v>
      </c>
    </row>
    <row r="11" spans="2:4" x14ac:dyDescent="0.25">
      <c r="B11" t="s">
        <v>1363</v>
      </c>
      <c r="C11" t="s">
        <v>1364</v>
      </c>
    </row>
    <row r="12" spans="2:4" x14ac:dyDescent="0.25">
      <c r="B12" t="s">
        <v>556</v>
      </c>
      <c r="C12" t="s">
        <v>1365</v>
      </c>
      <c r="D12" t="s">
        <v>1360</v>
      </c>
    </row>
    <row r="13" spans="2:4" x14ac:dyDescent="0.25">
      <c r="B13" t="s">
        <v>554</v>
      </c>
      <c r="C13" t="s">
        <v>555</v>
      </c>
      <c r="D13" t="s">
        <v>1360</v>
      </c>
    </row>
    <row r="14" spans="2:4" x14ac:dyDescent="0.25">
      <c r="B14" t="s">
        <v>607</v>
      </c>
      <c r="C14" t="s">
        <v>1366</v>
      </c>
    </row>
    <row r="15" spans="2:4" x14ac:dyDescent="0.25">
      <c r="B15" t="s">
        <v>690</v>
      </c>
      <c r="C15" t="s">
        <v>1367</v>
      </c>
      <c r="D15" t="s">
        <v>1368</v>
      </c>
    </row>
    <row r="16" spans="2:4" x14ac:dyDescent="0.25">
      <c r="B16" t="s">
        <v>609</v>
      </c>
      <c r="C16" t="s">
        <v>1369</v>
      </c>
    </row>
    <row r="17" spans="2:4" x14ac:dyDescent="0.25">
      <c r="B17" t="s">
        <v>692</v>
      </c>
      <c r="C17" t="s">
        <v>1370</v>
      </c>
    </row>
    <row r="18" spans="2:4" x14ac:dyDescent="0.25">
      <c r="B18" t="s">
        <v>777</v>
      </c>
      <c r="C18" t="s">
        <v>778</v>
      </c>
    </row>
    <row r="19" spans="2:4" x14ac:dyDescent="0.25">
      <c r="B19" t="s">
        <v>1371</v>
      </c>
      <c r="C19" t="s">
        <v>1372</v>
      </c>
    </row>
    <row r="20" spans="2:4" x14ac:dyDescent="0.25">
      <c r="B20" t="s">
        <v>1373</v>
      </c>
      <c r="C20" t="s">
        <v>1374</v>
      </c>
    </row>
    <row r="21" spans="2:4" x14ac:dyDescent="0.25">
      <c r="B21" t="s">
        <v>1375</v>
      </c>
      <c r="C21" t="s">
        <v>1374</v>
      </c>
    </row>
    <row r="22" spans="2:4" x14ac:dyDescent="0.25">
      <c r="B22" t="s">
        <v>765</v>
      </c>
      <c r="C22" t="s">
        <v>1374</v>
      </c>
    </row>
    <row r="23" spans="2:4" x14ac:dyDescent="0.25">
      <c r="B23" t="s">
        <v>767</v>
      </c>
      <c r="C23" t="s">
        <v>1376</v>
      </c>
      <c r="D23" t="s">
        <v>1377</v>
      </c>
    </row>
    <row r="24" spans="2:4" x14ac:dyDescent="0.25">
      <c r="B24" t="s">
        <v>741</v>
      </c>
      <c r="C24" t="s">
        <v>1378</v>
      </c>
      <c r="D24" t="s">
        <v>1379</v>
      </c>
    </row>
    <row r="25" spans="2:4" x14ac:dyDescent="0.25">
      <c r="B25" t="s">
        <v>759</v>
      </c>
      <c r="C25" t="s">
        <v>1380</v>
      </c>
    </row>
    <row r="26" spans="2:4" x14ac:dyDescent="0.25">
      <c r="B26" t="s">
        <v>771</v>
      </c>
      <c r="C26" t="s">
        <v>1381</v>
      </c>
    </row>
    <row r="27" spans="2:4" x14ac:dyDescent="0.25">
      <c r="B27" t="s">
        <v>751</v>
      </c>
      <c r="C27" t="s">
        <v>1382</v>
      </c>
    </row>
    <row r="28" spans="2:4" x14ac:dyDescent="0.25">
      <c r="B28" t="s">
        <v>737</v>
      </c>
      <c r="C28" t="s">
        <v>1383</v>
      </c>
    </row>
    <row r="29" spans="2:4" x14ac:dyDescent="0.25">
      <c r="B29" t="s">
        <v>757</v>
      </c>
      <c r="C29" t="s">
        <v>1384</v>
      </c>
    </row>
    <row r="30" spans="2:4" x14ac:dyDescent="0.25">
      <c r="B30" t="s">
        <v>743</v>
      </c>
      <c r="C30" t="s">
        <v>1385</v>
      </c>
    </row>
    <row r="31" spans="2:4" x14ac:dyDescent="0.25">
      <c r="B31" t="s">
        <v>745</v>
      </c>
      <c r="C31" t="s">
        <v>1386</v>
      </c>
    </row>
    <row r="32" spans="2:4" x14ac:dyDescent="0.25">
      <c r="B32" t="s">
        <v>761</v>
      </c>
      <c r="C32" t="s">
        <v>1387</v>
      </c>
    </row>
    <row r="33" spans="2:4" x14ac:dyDescent="0.25">
      <c r="B33" t="s">
        <v>763</v>
      </c>
      <c r="C33" t="s">
        <v>1388</v>
      </c>
    </row>
    <row r="34" spans="2:4" x14ac:dyDescent="0.25">
      <c r="B34" t="s">
        <v>739</v>
      </c>
      <c r="C34" t="s">
        <v>1389</v>
      </c>
    </row>
    <row r="35" spans="2:4" x14ac:dyDescent="0.25">
      <c r="B35" t="s">
        <v>787</v>
      </c>
      <c r="C35" t="s">
        <v>1390</v>
      </c>
    </row>
    <row r="36" spans="2:4" x14ac:dyDescent="0.25">
      <c r="B36" t="s">
        <v>775</v>
      </c>
      <c r="C36" t="s">
        <v>1391</v>
      </c>
    </row>
    <row r="37" spans="2:4" x14ac:dyDescent="0.25">
      <c r="B37" t="s">
        <v>779</v>
      </c>
      <c r="C37" t="s">
        <v>1392</v>
      </c>
    </row>
    <row r="38" spans="2:4" x14ac:dyDescent="0.25">
      <c r="B38" t="s">
        <v>749</v>
      </c>
      <c r="C38" t="s">
        <v>1393</v>
      </c>
    </row>
    <row r="39" spans="2:4" x14ac:dyDescent="0.25">
      <c r="B39" t="s">
        <v>783</v>
      </c>
      <c r="C39" t="s">
        <v>1394</v>
      </c>
      <c r="D39" t="s">
        <v>1395</v>
      </c>
    </row>
    <row r="40" spans="2:4" x14ac:dyDescent="0.25">
      <c r="B40" t="s">
        <v>785</v>
      </c>
      <c r="C40" t="s">
        <v>1396</v>
      </c>
      <c r="D40" t="s">
        <v>1395</v>
      </c>
    </row>
    <row r="41" spans="2:4" x14ac:dyDescent="0.25">
      <c r="B41" t="s">
        <v>773</v>
      </c>
      <c r="C41" t="s">
        <v>1397</v>
      </c>
    </row>
    <row r="42" spans="2:4" x14ac:dyDescent="0.25">
      <c r="B42" t="s">
        <v>878</v>
      </c>
      <c r="C42" t="s">
        <v>1398</v>
      </c>
    </row>
    <row r="43" spans="2:4" x14ac:dyDescent="0.25">
      <c r="B43" t="s">
        <v>880</v>
      </c>
      <c r="C43" t="s">
        <v>1399</v>
      </c>
    </row>
    <row r="44" spans="2:4" x14ac:dyDescent="0.25">
      <c r="B44" t="s">
        <v>882</v>
      </c>
      <c r="C44" t="s">
        <v>1400</v>
      </c>
    </row>
    <row r="45" spans="2:4" x14ac:dyDescent="0.25">
      <c r="B45" t="s">
        <v>884</v>
      </c>
      <c r="C45" t="s">
        <v>1401</v>
      </c>
    </row>
    <row r="46" spans="2:4" x14ac:dyDescent="0.25">
      <c r="B46" t="s">
        <v>892</v>
      </c>
      <c r="C46" t="s">
        <v>1402</v>
      </c>
    </row>
    <row r="47" spans="2:4" x14ac:dyDescent="0.25">
      <c r="B47" t="s">
        <v>1403</v>
      </c>
      <c r="C47" t="s">
        <v>1404</v>
      </c>
    </row>
    <row r="48" spans="2:4" x14ac:dyDescent="0.25">
      <c r="B48" t="s">
        <v>894</v>
      </c>
      <c r="C48" t="s">
        <v>1404</v>
      </c>
    </row>
    <row r="49" spans="2:3" x14ac:dyDescent="0.25">
      <c r="B49" t="s">
        <v>1405</v>
      </c>
      <c r="C49" t="s">
        <v>1406</v>
      </c>
    </row>
    <row r="50" spans="2:3" x14ac:dyDescent="0.25">
      <c r="B50" t="s">
        <v>791</v>
      </c>
      <c r="C50" t="s">
        <v>1407</v>
      </c>
    </row>
    <row r="51" spans="2:3" x14ac:dyDescent="0.25">
      <c r="B51" t="s">
        <v>789</v>
      </c>
      <c r="C51" t="s">
        <v>1408</v>
      </c>
    </row>
    <row r="52" spans="2:3" x14ac:dyDescent="0.25">
      <c r="B52" t="s">
        <v>803</v>
      </c>
      <c r="C52" t="s">
        <v>1409</v>
      </c>
    </row>
    <row r="53" spans="2:3" x14ac:dyDescent="0.25">
      <c r="B53" t="s">
        <v>805</v>
      </c>
      <c r="C53" t="s">
        <v>1410</v>
      </c>
    </row>
    <row r="54" spans="2:3" x14ac:dyDescent="0.25">
      <c r="B54" t="s">
        <v>958</v>
      </c>
      <c r="C54" t="s">
        <v>1411</v>
      </c>
    </row>
    <row r="55" spans="2:3" x14ac:dyDescent="0.25">
      <c r="B55" t="s">
        <v>942</v>
      </c>
      <c r="C55" t="s">
        <v>1412</v>
      </c>
    </row>
    <row r="56" spans="2:3" x14ac:dyDescent="0.25">
      <c r="B56" t="s">
        <v>950</v>
      </c>
      <c r="C56" t="s">
        <v>951</v>
      </c>
    </row>
    <row r="57" spans="2:3" x14ac:dyDescent="0.25">
      <c r="B57" t="s">
        <v>948</v>
      </c>
      <c r="C57" t="s">
        <v>1413</v>
      </c>
    </row>
    <row r="58" spans="2:3" x14ac:dyDescent="0.25">
      <c r="B58" t="s">
        <v>956</v>
      </c>
      <c r="C58" t="s">
        <v>1414</v>
      </c>
    </row>
    <row r="59" spans="2:3" x14ac:dyDescent="0.25">
      <c r="B59" t="s">
        <v>1415</v>
      </c>
      <c r="C59" t="s">
        <v>1416</v>
      </c>
    </row>
    <row r="60" spans="2:3" x14ac:dyDescent="0.25">
      <c r="B60" t="s">
        <v>1417</v>
      </c>
      <c r="C60" t="s">
        <v>1418</v>
      </c>
    </row>
    <row r="61" spans="2:3" x14ac:dyDescent="0.25">
      <c r="B61" t="s">
        <v>964</v>
      </c>
      <c r="C61" t="s">
        <v>1419</v>
      </c>
    </row>
    <row r="62" spans="2:3" x14ac:dyDescent="0.25">
      <c r="B62" t="s">
        <v>946</v>
      </c>
      <c r="C62" t="s">
        <v>1420</v>
      </c>
    </row>
    <row r="63" spans="2:3" x14ac:dyDescent="0.25">
      <c r="B63" t="s">
        <v>966</v>
      </c>
      <c r="C63" t="s">
        <v>1421</v>
      </c>
    </row>
    <row r="64" spans="2:3" x14ac:dyDescent="0.25">
      <c r="B64" t="s">
        <v>1234</v>
      </c>
      <c r="C64" t="s">
        <v>1422</v>
      </c>
    </row>
    <row r="65" spans="2:4" x14ac:dyDescent="0.25">
      <c r="B65" t="s">
        <v>974</v>
      </c>
      <c r="C65" t="s">
        <v>1423</v>
      </c>
    </row>
    <row r="66" spans="2:4" x14ac:dyDescent="0.25">
      <c r="B66" t="s">
        <v>984</v>
      </c>
      <c r="C66" t="s">
        <v>985</v>
      </c>
    </row>
    <row r="67" spans="2:4" x14ac:dyDescent="0.25">
      <c r="B67" t="s">
        <v>978</v>
      </c>
      <c r="C67" t="s">
        <v>1424</v>
      </c>
    </row>
    <row r="68" spans="2:4" x14ac:dyDescent="0.25">
      <c r="B68" t="s">
        <v>1425</v>
      </c>
      <c r="C68" t="s">
        <v>1426</v>
      </c>
      <c r="D68" t="s">
        <v>1427</v>
      </c>
    </row>
    <row r="69" spans="2:4" x14ac:dyDescent="0.25">
      <c r="B69" t="s">
        <v>777</v>
      </c>
      <c r="C69" t="s">
        <v>778</v>
      </c>
    </row>
    <row r="70" spans="2:4" x14ac:dyDescent="0.25">
      <c r="B70" t="s">
        <v>996</v>
      </c>
      <c r="C70" t="s">
        <v>997</v>
      </c>
    </row>
    <row r="71" spans="2:4" x14ac:dyDescent="0.25">
      <c r="B71" t="s">
        <v>765</v>
      </c>
      <c r="C71" t="s">
        <v>1428</v>
      </c>
      <c r="D71" t="s">
        <v>1429</v>
      </c>
    </row>
    <row r="72" spans="2:4" x14ac:dyDescent="0.25">
      <c r="B72" t="s">
        <v>1430</v>
      </c>
      <c r="C72" t="s">
        <v>1431</v>
      </c>
    </row>
    <row r="73" spans="2:4" x14ac:dyDescent="0.25">
      <c r="B73" t="s">
        <v>1016</v>
      </c>
      <c r="C73" t="s">
        <v>1432</v>
      </c>
    </row>
    <row r="74" spans="2:4" x14ac:dyDescent="0.25">
      <c r="B74" t="s">
        <v>781</v>
      </c>
      <c r="C74" t="s">
        <v>1433</v>
      </c>
    </row>
    <row r="75" spans="2:4" x14ac:dyDescent="0.25">
      <c r="B75" t="s">
        <v>1002</v>
      </c>
      <c r="C75" t="s">
        <v>1434</v>
      </c>
    </row>
    <row r="76" spans="2:4" x14ac:dyDescent="0.25">
      <c r="B76" t="s">
        <v>1014</v>
      </c>
      <c r="C76" t="s">
        <v>1435</v>
      </c>
    </row>
    <row r="77" spans="2:4" x14ac:dyDescent="0.25">
      <c r="B77" t="s">
        <v>1010</v>
      </c>
      <c r="C77" t="s">
        <v>1436</v>
      </c>
    </row>
    <row r="78" spans="2:4" x14ac:dyDescent="0.25">
      <c r="B78" t="s">
        <v>747</v>
      </c>
      <c r="C78" t="s">
        <v>1437</v>
      </c>
    </row>
    <row r="79" spans="2:4" x14ac:dyDescent="0.25">
      <c r="B79" t="s">
        <v>1000</v>
      </c>
      <c r="C79" t="s">
        <v>1438</v>
      </c>
    </row>
    <row r="80" spans="2:4" x14ac:dyDescent="0.25">
      <c r="B80" t="s">
        <v>998</v>
      </c>
      <c r="C80" t="s">
        <v>1439</v>
      </c>
    </row>
    <row r="81" spans="2:4" x14ac:dyDescent="0.25">
      <c r="B81" t="s">
        <v>1440</v>
      </c>
      <c r="C81" t="s">
        <v>1441</v>
      </c>
      <c r="D81" t="s">
        <v>1442</v>
      </c>
    </row>
    <row r="82" spans="2:4" x14ac:dyDescent="0.25">
      <c r="B82" t="s">
        <v>1443</v>
      </c>
      <c r="C82" t="s">
        <v>1444</v>
      </c>
      <c r="D82" t="s">
        <v>1442</v>
      </c>
    </row>
    <row r="83" spans="2:4" x14ac:dyDescent="0.25">
      <c r="B83" t="s">
        <v>1445</v>
      </c>
      <c r="C83" t="s">
        <v>1446</v>
      </c>
      <c r="D83" t="s">
        <v>1442</v>
      </c>
    </row>
    <row r="84" spans="2:4" x14ac:dyDescent="0.25">
      <c r="B84" t="s">
        <v>1447</v>
      </c>
      <c r="C84" t="s">
        <v>1448</v>
      </c>
    </row>
    <row r="85" spans="2:4" x14ac:dyDescent="0.25">
      <c r="B85" t="s">
        <v>1449</v>
      </c>
      <c r="C85" t="s">
        <v>1450</v>
      </c>
    </row>
    <row r="86" spans="2:4" x14ac:dyDescent="0.25">
      <c r="B86" t="s">
        <v>958</v>
      </c>
      <c r="C86" t="s">
        <v>959</v>
      </c>
    </row>
    <row r="87" spans="2:4" x14ac:dyDescent="0.25">
      <c r="B87" t="s">
        <v>1241</v>
      </c>
      <c r="C87" t="s">
        <v>1451</v>
      </c>
    </row>
    <row r="88" spans="2:4" x14ac:dyDescent="0.25">
      <c r="B88" t="s">
        <v>1046</v>
      </c>
      <c r="C88" t="s">
        <v>1452</v>
      </c>
    </row>
    <row r="89" spans="2:4" x14ac:dyDescent="0.25">
      <c r="B89" t="s">
        <v>1032</v>
      </c>
      <c r="C89" t="s">
        <v>1453</v>
      </c>
    </row>
    <row r="90" spans="2:4" x14ac:dyDescent="0.25">
      <c r="B90" t="s">
        <v>974</v>
      </c>
      <c r="C90" t="s">
        <v>1423</v>
      </c>
    </row>
    <row r="91" spans="2:4" x14ac:dyDescent="0.25">
      <c r="B91" t="s">
        <v>984</v>
      </c>
      <c r="C91" t="s">
        <v>985</v>
      </c>
    </row>
    <row r="92" spans="2:4" x14ac:dyDescent="0.25">
      <c r="B92" t="s">
        <v>1058</v>
      </c>
      <c r="C92" t="s">
        <v>1454</v>
      </c>
    </row>
    <row r="93" spans="2:4" x14ac:dyDescent="0.25">
      <c r="B93" t="s">
        <v>1062</v>
      </c>
      <c r="C93" t="s">
        <v>1455</v>
      </c>
      <c r="D93" t="s">
        <v>0</v>
      </c>
    </row>
    <row r="96" spans="2:4" x14ac:dyDescent="0.25">
      <c r="B96" t="s">
        <v>1</v>
      </c>
      <c r="C96" t="s">
        <v>2</v>
      </c>
      <c r="D96" t="s">
        <v>3</v>
      </c>
    </row>
  </sheetData>
  <phoneticPr fontId="4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1"/>
  <sheetViews>
    <sheetView workbookViewId="0">
      <selection activeCell="E12" sqref="E12"/>
    </sheetView>
  </sheetViews>
  <sheetFormatPr defaultRowHeight="15" x14ac:dyDescent="0.25"/>
  <cols>
    <col min="1" max="1" width="23.140625" style="25" customWidth="1"/>
    <col min="2" max="2" width="10.5703125" customWidth="1"/>
    <col min="3" max="3" width="19.85546875" customWidth="1"/>
    <col min="4" max="4" width="23" customWidth="1"/>
    <col min="5" max="5" width="38.5703125" customWidth="1"/>
    <col min="8" max="8" width="13.7109375" customWidth="1"/>
    <col min="9" max="9" width="25.85546875" customWidth="1"/>
    <col min="10" max="10" width="37.140625" customWidth="1"/>
    <col min="11" max="11" width="14.5703125" customWidth="1"/>
    <col min="12" max="12" width="18.5703125" customWidth="1"/>
  </cols>
  <sheetData>
    <row r="1" spans="1:12" x14ac:dyDescent="0.25">
      <c r="A1" s="25" t="s">
        <v>445</v>
      </c>
      <c r="B1" t="s">
        <v>1071</v>
      </c>
      <c r="C1" t="s">
        <v>1515</v>
      </c>
      <c r="D1" t="s">
        <v>2212</v>
      </c>
      <c r="E1" t="s">
        <v>2213</v>
      </c>
      <c r="H1" t="s">
        <v>2214</v>
      </c>
      <c r="I1" t="s">
        <v>2215</v>
      </c>
      <c r="J1" t="s">
        <v>2216</v>
      </c>
      <c r="K1" t="s">
        <v>1465</v>
      </c>
      <c r="L1" t="s">
        <v>115</v>
      </c>
    </row>
    <row r="2" spans="1:12" x14ac:dyDescent="0.25">
      <c r="A2" s="25" t="s">
        <v>964</v>
      </c>
      <c r="B2" t="str">
        <f>VLOOKUP($A2,Lcode_mapping!$D:$T,1,FALSE)</f>
        <v># AMBIG</v>
      </c>
      <c r="C2" t="str">
        <f>VLOOKUP($A2,Lcode_mapping!$D:$T,15,FALSE)</f>
        <v>NumGroupAmbig</v>
      </c>
      <c r="D2" t="str">
        <f>VLOOKUP($A2,Lcode_mapping!$D:$T,7,FALSE)</f>
        <v>No. of ambiguities</v>
      </c>
      <c r="E2" t="str">
        <f>VLOOKUP($A2,Lcode_mapping!$D:$T,17,FALSE)</f>
        <v>Number of group delay ambiguities</v>
      </c>
      <c r="H2" t="str">
        <f>A2</f>
        <v># AMBIG</v>
      </c>
      <c r="I2" t="str">
        <f>IF(C2="-",B2,C2)</f>
        <v>NumGroupAmbig</v>
      </c>
      <c r="J2" t="str">
        <f>IF(E2="-",C2,E2)</f>
        <v>Number of group delay ambiguities</v>
      </c>
      <c r="K2" t="str">
        <f>VLOOKUP($A2,Lcode_mapping!$D:$T,12,FALSE)</f>
        <v>ObsEdit</v>
      </c>
      <c r="L2" t="str">
        <f>VLOOKUP($A2,Lcode_mapping!$D:$T,13,FALSE)</f>
        <v>NumGroupAmbig_bX</v>
      </c>
    </row>
    <row r="3" spans="1:12" x14ac:dyDescent="0.25">
      <c r="A3" s="25" t="s">
        <v>566</v>
      </c>
      <c r="B3" t="str">
        <f>VLOOKUP(A3,Lcode_mapping!D:T,1,FALSE)</f>
        <v># CLK_RF</v>
      </c>
      <c r="C3" t="str">
        <f>VLOOKUP($A3,Lcode_mapping!$D:$T,15,FALSE)</f>
        <v>NumClockRefStations</v>
      </c>
      <c r="D3" t="str">
        <f>VLOOKUP($A3,Lcode_mapping!$D:$T,7,FALSE)</f>
        <v># of clock reference stations</v>
      </c>
      <c r="E3" t="str">
        <f>VLOOKUP($A3,Lcode_mapping!$D:$T,17,FALSE)</f>
        <v>-</v>
      </c>
      <c r="H3" t="str">
        <f t="shared" ref="H3:H23" si="0">A3</f>
        <v># CLK_RF</v>
      </c>
      <c r="I3" t="str">
        <f t="shared" ref="I3:I23" si="1">IF(C3="-",B3,C3)</f>
        <v>NumClockRefStations</v>
      </c>
      <c r="J3" t="str">
        <f>IF(E3="-",D3,E3)</f>
        <v># of clock reference stations</v>
      </c>
      <c r="K3" t="str">
        <f>VLOOKUP($A3,Lcode_mapping!$D:$T,12,FALSE)</f>
        <v>Solve</v>
      </c>
      <c r="L3" t="str">
        <f>VLOOKUP($A3,Lcode_mapping!$D:$T,13,FALSE)</f>
        <v>ClockSetup</v>
      </c>
    </row>
    <row r="4" spans="1:12" x14ac:dyDescent="0.25">
      <c r="A4" s="25" t="s">
        <v>1415</v>
      </c>
      <c r="B4" t="str">
        <f>VLOOKUP(A4,Lcode_mapping!D:T,1,FALSE)</f>
        <v># DELAYS</v>
      </c>
      <c r="C4" t="str">
        <f>VLOOKUP($A4,Lcode_mapping!$D:$T,15,FALSE)</f>
        <v>-</v>
      </c>
      <c r="D4" t="str">
        <f>VLOOKUP($A4,Lcode_mapping!$D:$T,7,FALSE)</f>
        <v>NO. of delays in this obs .</v>
      </c>
      <c r="E4" t="str">
        <f>VLOOKUP($A4,Lcode_mapping!$D:$T,17,FALSE)</f>
        <v>-</v>
      </c>
      <c r="H4" t="str">
        <f t="shared" si="0"/>
        <v># DELAYS</v>
      </c>
      <c r="I4" t="str">
        <f t="shared" si="1"/>
        <v># DELAYS</v>
      </c>
      <c r="J4" t="str">
        <f>IF(E4="-",D4,E4)</f>
        <v>NO. of delays in this obs .</v>
      </c>
      <c r="K4" t="str">
        <f>VLOOKUP($A4,Lcode_mapping!$D:$T,12,FALSE)</f>
        <v>OBSOLETE</v>
      </c>
      <c r="L4" t="str">
        <f>VLOOKUP($A4,Lcode_mapping!$D:$T,13,FALSE)</f>
        <v>-</v>
      </c>
    </row>
    <row r="5" spans="1:12" x14ac:dyDescent="0.25">
      <c r="A5" s="25" t="s">
        <v>1417</v>
      </c>
      <c r="B5" t="str">
        <f>VLOOKUP(A5,Lcode_mapping!D:T,1,FALSE)</f>
        <v># RATES</v>
      </c>
      <c r="C5" t="str">
        <f>VLOOKUP($A5,Lcode_mapping!$D:$T,15,FALSE)</f>
        <v>-</v>
      </c>
      <c r="D5" t="str">
        <f>VLOOKUP($A5,Lcode_mapping!$D:$T,7,FALSE)</f>
        <v>NO. of rates  in this obs .</v>
      </c>
      <c r="E5" t="str">
        <f>VLOOKUP($A5,Lcode_mapping!$D:$T,17,FALSE)</f>
        <v>-</v>
      </c>
      <c r="H5" t="str">
        <f t="shared" si="0"/>
        <v># RATES</v>
      </c>
      <c r="I5" t="str">
        <f t="shared" si="1"/>
        <v># RATES</v>
      </c>
      <c r="J5" t="str">
        <f>IF(E5="-",D5,E5)</f>
        <v>NO. of rates  in this obs .</v>
      </c>
      <c r="K5" t="str">
        <f>VLOOKUP($A5,Lcode_mapping!$D:$T,12,FALSE)</f>
        <v>OBSOLETE</v>
      </c>
      <c r="L5" t="str">
        <f>VLOOKUP($A5,Lcode_mapping!$D:$T,13,FALSE)</f>
        <v>-</v>
      </c>
    </row>
    <row r="6" spans="1:12" x14ac:dyDescent="0.25">
      <c r="A6" s="25" t="s">
        <v>548</v>
      </c>
      <c r="B6" t="str">
        <f>VLOOKUP(A6,Lcode_mapping!D:T,1,FALSE)</f>
        <v># SITES</v>
      </c>
      <c r="C6" t="str">
        <f>VLOOKUP($A6,Lcode_mapping!$D:$T,15,FALSE)</f>
        <v>NumStation</v>
      </c>
      <c r="D6" t="str">
        <f>VLOOKUP($A6,Lcode_mapping!$D:$T,7,FALSE)</f>
        <v>Number of sites.</v>
      </c>
      <c r="E6" t="str">
        <f>VLOOKUP($A6,Lcode_mapping!$D:$T,17,FALSE)</f>
        <v>-</v>
      </c>
      <c r="H6" t="str">
        <f t="shared" si="0"/>
        <v># SITES</v>
      </c>
      <c r="I6" t="str">
        <f t="shared" si="1"/>
        <v>NumStation</v>
      </c>
      <c r="J6" t="str">
        <f t="shared" ref="J6:J23" si="2">IF(E6="-",D6,E6)</f>
        <v>Number of sites.</v>
      </c>
      <c r="K6" t="str">
        <f>VLOOKUP($A6,Lcode_mapping!$D:$T,12,FALSE)</f>
        <v>-</v>
      </c>
      <c r="L6" t="str">
        <f>VLOOKUP($A6,Lcode_mapping!$D:$T,13,FALSE)</f>
        <v>Head</v>
      </c>
    </row>
    <row r="7" spans="1:12" x14ac:dyDescent="0.25">
      <c r="A7" s="25" t="s">
        <v>550</v>
      </c>
      <c r="B7" t="str">
        <f>VLOOKUP(A7,Lcode_mapping!D:T,1,FALSE)</f>
        <v># STARS</v>
      </c>
      <c r="C7" t="str">
        <f>VLOOKUP($A7,Lcode_mapping!$D:$T,15,FALSE)</f>
        <v>NumSource</v>
      </c>
      <c r="D7" t="str">
        <f>VLOOKUP($A7,Lcode_mapping!$D:$T,7,FALSE)</f>
        <v>Number of radio sources.</v>
      </c>
      <c r="E7" t="str">
        <f>VLOOKUP($A7,Lcode_mapping!$D:$T,17,FALSE)</f>
        <v>-</v>
      </c>
      <c r="H7" t="str">
        <f t="shared" si="0"/>
        <v># STARS</v>
      </c>
      <c r="I7" t="str">
        <f t="shared" si="1"/>
        <v>NumSource</v>
      </c>
      <c r="J7" t="str">
        <f t="shared" si="2"/>
        <v>Number of radio sources.</v>
      </c>
      <c r="K7" t="str">
        <f>VLOOKUP($A7,Lcode_mapping!$D:$T,12,FALSE)</f>
        <v>-</v>
      </c>
      <c r="L7" t="str">
        <f>VLOOKUP($A7,Lcode_mapping!$D:$T,13,FALSE)</f>
        <v>Head</v>
      </c>
    </row>
    <row r="8" spans="1:12" x14ac:dyDescent="0.25">
      <c r="A8" s="25" t="s">
        <v>942</v>
      </c>
      <c r="B8" t="str">
        <f>VLOOKUP(A8,Lcode_mapping!D:T,1,FALSE)</f>
        <v>#CHANELS</v>
      </c>
      <c r="C8" t="str">
        <f>VLOOKUP($A8,Lcode_mapping!$D:$T,15,FALSE)</f>
        <v>NumChannels</v>
      </c>
      <c r="D8" t="str">
        <f>VLOOKUP($A8,Lcode_mapping!$D:$T,7,FALSE)</f>
        <v>No. of U-L pairs in integration.</v>
      </c>
      <c r="E8" t="str">
        <f>VLOOKUP($A8,Lcode_mapping!$D:$T,17,FALSE)</f>
        <v>-</v>
      </c>
      <c r="H8" t="str">
        <f t="shared" si="0"/>
        <v>#CHANELS</v>
      </c>
      <c r="I8" t="str">
        <f t="shared" si="1"/>
        <v>NumChannels</v>
      </c>
      <c r="J8" t="str">
        <f t="shared" si="2"/>
        <v>No. of U-L pairs in integration.</v>
      </c>
      <c r="K8" t="str">
        <f>VLOOKUP($A8,Lcode_mapping!$D:$T,12,FALSE)</f>
        <v>Observables</v>
      </c>
      <c r="L8" t="str">
        <f>VLOOKUP($A8,Lcode_mapping!$D:$T,13,FALSE)</f>
        <v>CorrInfo_bX</v>
      </c>
    </row>
    <row r="9" spans="1:12" x14ac:dyDescent="0.25">
      <c r="A9" s="25" t="s">
        <v>970</v>
      </c>
      <c r="B9" t="str">
        <f>VLOOKUP(A9,Lcode_mapping!D:T,1,FALSE)</f>
        <v>#GAMBG_S</v>
      </c>
      <c r="C9" t="str">
        <f>VLOOKUP($A9,Lcode_mapping!$D:$T,15,FALSE)</f>
        <v>NumGroupAmbig</v>
      </c>
      <c r="D9" t="str">
        <f>VLOOKUP($A9,Lcode_mapping!$D:$T,7,FALSE)</f>
        <v>No. of ambiguities for S-band</v>
      </c>
      <c r="E9" t="str">
        <f>VLOOKUP($A9,Lcode_mapping!$D:$T,17,FALSE)</f>
        <v>Number of group delay ambiguities</v>
      </c>
      <c r="H9" t="str">
        <f t="shared" si="0"/>
        <v>#GAMBG_S</v>
      </c>
      <c r="I9" t="str">
        <f t="shared" si="1"/>
        <v>NumGroupAmbig</v>
      </c>
      <c r="J9" t="str">
        <f t="shared" si="2"/>
        <v>Number of group delay ambiguities</v>
      </c>
      <c r="K9" t="str">
        <f>VLOOKUP($A9,Lcode_mapping!$D:$T,12,FALSE)</f>
        <v>ObsEdit</v>
      </c>
      <c r="L9" t="str">
        <f>VLOOKUP($A9,Lcode_mapping!$D:$T,13,FALSE)</f>
        <v>NumGroupAmbig_bS</v>
      </c>
    </row>
    <row r="10" spans="1:12" x14ac:dyDescent="0.25">
      <c r="A10" s="25" t="s">
        <v>988</v>
      </c>
      <c r="B10" t="str">
        <f>VLOOKUP(A10,Lcode_mapping!D:T,1,FALSE)</f>
        <v>#PAMBG_S</v>
      </c>
      <c r="C10" t="str">
        <f>VLOOKUP($A10,Lcode_mapping!$D:$T,15,FALSE)</f>
        <v>NumPhaseAmbig</v>
      </c>
      <c r="D10" t="str">
        <f>VLOOKUP($A10,Lcode_mapping!$D:$T,7,FALSE)</f>
        <v># phase ambiguities for S-band</v>
      </c>
      <c r="E10" t="str">
        <f>VLOOKUP($A10,Lcode_mapping!$D:$T,17,FALSE)</f>
        <v>Number of phase ambiguities</v>
      </c>
      <c r="H10" t="str">
        <f t="shared" si="0"/>
        <v>#PAMBG_S</v>
      </c>
      <c r="I10" t="str">
        <f t="shared" si="1"/>
        <v>NumPhaseAmbig</v>
      </c>
      <c r="J10" t="str">
        <f t="shared" si="2"/>
        <v>Number of phase ambiguities</v>
      </c>
      <c r="K10" t="str">
        <f>VLOOKUP($A10,Lcode_mapping!$D:$T,12,FALSE)</f>
        <v>ObsEdit</v>
      </c>
      <c r="L10" t="str">
        <f>VLOOKUP($A10,Lcode_mapping!$D:$T,13,FALSE)</f>
        <v>NumPhaseAmbig_bS</v>
      </c>
    </row>
    <row r="11" spans="1:12" x14ac:dyDescent="0.25">
      <c r="A11" s="25" t="s">
        <v>1211</v>
      </c>
      <c r="B11" t="str">
        <f>VLOOKUP(A11,Lcode_mapping!D:T,1,FALSE)</f>
        <v>#PAMBIG</v>
      </c>
      <c r="C11" t="str">
        <f>VLOOKUP($A11,Lcode_mapping!$D:$T,15,FALSE)</f>
        <v>NumPhaseAmbig</v>
      </c>
      <c r="D11" t="str">
        <f>VLOOKUP($A11,Lcode_mapping!$D:$T,7,FALSE)</f>
        <v># phase ambiguities for X-band</v>
      </c>
      <c r="E11" t="str">
        <f>VLOOKUP($A11,Lcode_mapping!$D:$T,17,FALSE)</f>
        <v>Number of phase ambiguities</v>
      </c>
      <c r="H11" t="str">
        <f t="shared" si="0"/>
        <v>#PAMBIG</v>
      </c>
      <c r="I11" t="str">
        <f t="shared" si="1"/>
        <v>NumPhaseAmbig</v>
      </c>
      <c r="J11" t="str">
        <f t="shared" si="2"/>
        <v>Number of phase ambiguities</v>
      </c>
      <c r="K11" t="str">
        <f>VLOOKUP($A11,Lcode_mapping!$D:$T,12,FALSE)</f>
        <v>ObsEdit</v>
      </c>
      <c r="L11" t="str">
        <f>VLOOKUP($A11,Lcode_mapping!$D:$T,13,FALSE)</f>
        <v>NumPhaseAmbig_bX</v>
      </c>
    </row>
    <row r="12" spans="1:12" x14ac:dyDescent="0.25">
      <c r="A12" s="25" t="s">
        <v>735</v>
      </c>
      <c r="B12" t="str">
        <f>VLOOKUP(A12,Lcode_mapping!D:T,1,FALSE)</f>
        <v>#SAMPLES</v>
      </c>
      <c r="C12" t="str">
        <f>VLOOKUP($A12,Lcode_mapping!$D:$T,15,FALSE)</f>
        <v>NumSamples</v>
      </c>
      <c r="D12" t="str">
        <f>VLOOKUP($A12,Lcode_mapping!$D:$T,7,FALSE)</f>
        <v># of samples by sideband and cha</v>
      </c>
      <c r="E12" t="str">
        <f>VLOOKUP($A12,Lcode_mapping!$D:$T,17,FALSE)</f>
        <v>-</v>
      </c>
      <c r="H12" t="str">
        <f t="shared" si="0"/>
        <v>#SAMPLES</v>
      </c>
      <c r="I12" t="str">
        <f t="shared" si="1"/>
        <v>NumSamples</v>
      </c>
      <c r="J12" t="str">
        <f t="shared" si="2"/>
        <v># of samples by sideband and cha</v>
      </c>
      <c r="K12" t="str">
        <f>VLOOKUP($A12,Lcode_mapping!$D:$T,12,FALSE)</f>
        <v>Observables</v>
      </c>
      <c r="L12" t="str">
        <f>VLOOKUP($A12,Lcode_mapping!$D:$T,13,FALSE)</f>
        <v>CorrInfo_bX</v>
      </c>
    </row>
    <row r="13" spans="1:12" x14ac:dyDescent="0.25">
      <c r="A13" s="25" t="s">
        <v>1773</v>
      </c>
      <c r="B13" t="str">
        <f>VLOOKUP(A13,Lcode_mapping!D:T,1,FALSE)</f>
        <v>#VFREQS</v>
      </c>
      <c r="C13" t="str">
        <f>VLOOKUP($A13,Lcode_mapping!$D:$T,15,FALSE)</f>
        <v>NumBBCFreqs</v>
      </c>
      <c r="D13" t="str">
        <f>VLOOKUP($A13,Lcode_mapping!$D:$T,7,FALSE)</f>
        <v>No. of BBC frequencies in Band</v>
      </c>
      <c r="E13" t="str">
        <f>VLOOKUP($A13,Lcode_mapping!$D:$T,17,FALSE)</f>
        <v>-</v>
      </c>
      <c r="H13" t="str">
        <f t="shared" si="0"/>
        <v>#VFREQS</v>
      </c>
      <c r="I13" t="str">
        <f t="shared" si="1"/>
        <v>NumBBCFreqs</v>
      </c>
      <c r="J13" t="str">
        <f t="shared" si="2"/>
        <v>No. of BBC frequencies in Band</v>
      </c>
      <c r="K13" t="str">
        <f>VLOOKUP($A13,Lcode_mapping!$D:$T,12,FALSE)</f>
        <v>Observables</v>
      </c>
      <c r="L13" t="str">
        <f>VLOOKUP($A13,Lcode_mapping!$D:$T,13,FALSE)</f>
        <v>CorrInfo_bX</v>
      </c>
    </row>
    <row r="14" spans="1:12" x14ac:dyDescent="0.25">
      <c r="A14" s="25" t="s">
        <v>507</v>
      </c>
      <c r="B14" t="str">
        <f>VLOOKUP(A14,Lcode_mapping!D:T,1,FALSE)</f>
        <v>A1 - TAI</v>
      </c>
      <c r="C14" t="str">
        <f>VLOOKUP($A14,Lcode_mapping!$D:$T,15,FALSE)</f>
        <v>A1minusTAI</v>
      </c>
      <c r="D14" t="str">
        <f>VLOOKUP($A14,Lcode_mapping!$D:$T,7,FALSE)</f>
        <v>TAI USNO- TAI BIH = 0.03439 sec.</v>
      </c>
      <c r="E14" t="str">
        <f>VLOOKUP($A14,Lcode_mapping!$D:$T,17,FALSE)</f>
        <v>-</v>
      </c>
      <c r="H14" t="str">
        <f t="shared" si="0"/>
        <v>A1 - TAI</v>
      </c>
      <c r="I14" t="str">
        <f t="shared" si="1"/>
        <v>A1minusTAI</v>
      </c>
      <c r="J14" t="str">
        <f t="shared" si="2"/>
        <v>TAI USNO- TAI BIH = 0.03439 sec.</v>
      </c>
      <c r="K14" t="str">
        <f>VLOOKUP($A14,Lcode_mapping!$D:$T,12,FALSE)</f>
        <v>OBSOLETE</v>
      </c>
      <c r="L14" t="str">
        <f>VLOOKUP($A14,Lcode_mapping!$D:$T,13,FALSE)</f>
        <v>Obsolete</v>
      </c>
    </row>
    <row r="15" spans="1:12" x14ac:dyDescent="0.25">
      <c r="A15" s="25" t="s">
        <v>503</v>
      </c>
      <c r="B15" t="str">
        <f>VLOOKUP(A15,Lcode_mapping!D:T,1,FALSE)</f>
        <v>A1 - UTC</v>
      </c>
      <c r="C15" t="str">
        <f>VLOOKUP($A15,Lcode_mapping!$D:$T,15,FALSE)</f>
        <v>A1minusUTC</v>
      </c>
      <c r="D15" t="str">
        <f>VLOOKUP($A15,Lcode_mapping!$D:$T,7,FALSE)</f>
        <v>FJD  A1-UTC (sec) rate off.(sec)</v>
      </c>
      <c r="E15" t="str">
        <f>VLOOKUP($A15,Lcode_mapping!$D:$T,17,FALSE)</f>
        <v>-</v>
      </c>
      <c r="H15" t="str">
        <f t="shared" si="0"/>
        <v>A1 - UTC</v>
      </c>
      <c r="I15" t="str">
        <f t="shared" si="1"/>
        <v>A1minusUTC</v>
      </c>
      <c r="J15" t="str">
        <f t="shared" si="2"/>
        <v>FJD  A1-UTC (sec) rate off.(sec)</v>
      </c>
      <c r="K15" t="str">
        <f>VLOOKUP($A15,Lcode_mapping!$D:$T,12,FALSE)</f>
        <v>OBSOLETE</v>
      </c>
      <c r="L15" t="str">
        <f>VLOOKUP($A15,Lcode_mapping!$D:$T,13,FALSE)</f>
        <v>Obsolete</v>
      </c>
    </row>
    <row r="16" spans="1:12" x14ac:dyDescent="0.25">
      <c r="A16" s="25" t="s">
        <v>990</v>
      </c>
      <c r="B16" t="str">
        <f>VLOOKUP(A16,Lcode_mapping!D:T,1,FALSE)</f>
        <v>ABASACCE</v>
      </c>
      <c r="C16" t="str">
        <f>VLOOKUP($A16,Lcode_mapping!$D:$T,15,FALSE)</f>
        <v>-</v>
      </c>
      <c r="D16" t="str">
        <f>VLOOKUP($A16,Lcode_mapping!$D:$T,7,FALSE)</f>
        <v>Corel bas/apr accel (1/sec**2).</v>
      </c>
      <c r="E16" t="str">
        <f>VLOOKUP($A16,Lcode_mapping!$D:$T,17,FALSE)</f>
        <v>-</v>
      </c>
      <c r="H16" t="str">
        <f t="shared" si="0"/>
        <v>ABASACCE</v>
      </c>
      <c r="I16" t="str">
        <f t="shared" si="1"/>
        <v>ABASACCE</v>
      </c>
      <c r="J16" t="str">
        <f t="shared" si="2"/>
        <v>Corel bas/apr accel (1/sec**2).</v>
      </c>
      <c r="K16" t="str">
        <f>VLOOKUP($A16,Lcode_mapping!$D:$T,12,FALSE)</f>
        <v>Observables</v>
      </c>
      <c r="L16" t="str">
        <f>VLOOKUP($A16,Lcode_mapping!$D:$T,13,FALSE)</f>
        <v>CorrInfo_bX</v>
      </c>
    </row>
    <row r="17" spans="1:12" x14ac:dyDescent="0.25">
      <c r="A17" s="25" t="s">
        <v>992</v>
      </c>
      <c r="B17" t="str">
        <f>VLOOKUP(A17,Lcode_mapping!D:T,1,FALSE)</f>
        <v>ABASDEL</v>
      </c>
      <c r="C17" t="str">
        <f>VLOOKUP($A17,Lcode_mapping!$D:$T,15,FALSE)</f>
        <v>-</v>
      </c>
      <c r="D17" t="str">
        <f>VLOOKUP($A17,Lcode_mapping!$D:$T,7,FALSE)</f>
        <v>Corel bas/apr delay (sec).</v>
      </c>
      <c r="E17" t="str">
        <f>VLOOKUP($A17,Lcode_mapping!$D:$T,17,FALSE)</f>
        <v>-</v>
      </c>
      <c r="H17" t="str">
        <f t="shared" si="0"/>
        <v>ABASDEL</v>
      </c>
      <c r="I17" t="str">
        <f t="shared" si="1"/>
        <v>ABASDEL</v>
      </c>
      <c r="J17" t="str">
        <f t="shared" si="2"/>
        <v>Corel bas/apr delay (sec).</v>
      </c>
      <c r="K17" t="str">
        <f>VLOOKUP($A17,Lcode_mapping!$D:$T,12,FALSE)</f>
        <v>Observables</v>
      </c>
      <c r="L17" t="str">
        <f>VLOOKUP($A17,Lcode_mapping!$D:$T,13,FALSE)</f>
        <v>CorrInfo_bX</v>
      </c>
    </row>
    <row r="18" spans="1:12" x14ac:dyDescent="0.25">
      <c r="A18" s="25" t="s">
        <v>994</v>
      </c>
      <c r="B18" t="str">
        <f>VLOOKUP(A18,Lcode_mapping!D:T,1,FALSE)</f>
        <v>ABASRATE</v>
      </c>
      <c r="C18" t="str">
        <f>VLOOKUP($A18,Lcode_mapping!$D:$T,15,FALSE)</f>
        <v>-</v>
      </c>
      <c r="D18" t="str">
        <f>VLOOKUP($A18,Lcode_mapping!$D:$T,7,FALSE)</f>
        <v>Corel bas/apr delay rate (s/s).</v>
      </c>
      <c r="E18" t="str">
        <f>VLOOKUP($A18,Lcode_mapping!$D:$T,17,FALSE)</f>
        <v>-</v>
      </c>
      <c r="H18" t="str">
        <f t="shared" si="0"/>
        <v>ABASRATE</v>
      </c>
      <c r="I18" t="str">
        <f t="shared" si="1"/>
        <v>ABASRATE</v>
      </c>
      <c r="J18" t="str">
        <f t="shared" si="2"/>
        <v>Corel bas/apr delay rate (s/s).</v>
      </c>
      <c r="K18" t="str">
        <f>VLOOKUP($A18,Lcode_mapping!$D:$T,12,FALSE)</f>
        <v>Observables</v>
      </c>
      <c r="L18" t="str">
        <f>VLOOKUP($A18,Lcode_mapping!$D:$T,13,FALSE)</f>
        <v>CorrInfo_bX</v>
      </c>
    </row>
    <row r="19" spans="1:12" x14ac:dyDescent="0.25">
      <c r="A19" s="25" t="s">
        <v>163</v>
      </c>
      <c r="B19" t="str">
        <f>VLOOKUP(A19,Lcode_mapping!D:T,1,FALSE)</f>
        <v>AC_SITES</v>
      </c>
      <c r="C19" t="str">
        <f>VLOOKUP($A19,Lcode_mapping!$D:$T,15,FALSE)</f>
        <v>AtmRateStationList</v>
      </c>
      <c r="D19" t="str">
        <f>VLOOKUP($A19,Lcode_mapping!$D:$T,7,FALSE)</f>
        <v>Site list for clocks constraints</v>
      </c>
      <c r="E19" t="str">
        <f>VLOOKUP($A19,Lcode_mapping!$D:$T,17,FALSE)</f>
        <v>-</v>
      </c>
      <c r="H19" t="str">
        <f t="shared" si="0"/>
        <v>AC_SITES</v>
      </c>
      <c r="I19" t="str">
        <f t="shared" si="1"/>
        <v>AtmRateStationList</v>
      </c>
      <c r="J19" t="str">
        <f t="shared" si="2"/>
        <v>Site list for clocks constraints</v>
      </c>
      <c r="K19" t="str">
        <f>VLOOKUP($A19,Lcode_mapping!$D:$T,12,FALSE)</f>
        <v>Solve</v>
      </c>
      <c r="L19" t="str">
        <f>VLOOKUP($A19,Lcode_mapping!$D:$T,13,FALSE)</f>
        <v>AtmSetup</v>
      </c>
    </row>
    <row r="20" spans="1:12" x14ac:dyDescent="0.25">
      <c r="A20" s="25" t="s">
        <v>465</v>
      </c>
      <c r="B20" t="str">
        <f>VLOOKUP(A20,Lcode_mapping!D:T,1,FALSE)</f>
        <v>ACCELGRV</v>
      </c>
      <c r="C20" t="str">
        <f>VLOOKUP($A20,Lcode_mapping!$D:$T,15,FALSE)</f>
        <v>-</v>
      </c>
      <c r="D20" t="str">
        <f>VLOOKUP($A20,Lcode_mapping!$D:$T,7,FALSE)</f>
        <v>Accel grav at erth surface m/s^2</v>
      </c>
      <c r="E20" t="str">
        <f>VLOOKUP($A20,Lcode_mapping!$D:$T,17,FALSE)</f>
        <v>-</v>
      </c>
      <c r="H20" t="str">
        <f t="shared" si="0"/>
        <v>ACCELGRV</v>
      </c>
      <c r="I20" t="str">
        <f t="shared" si="1"/>
        <v>ACCELGRV</v>
      </c>
      <c r="J20" t="str">
        <f t="shared" si="2"/>
        <v>Accel grav at erth surface m/s^2</v>
      </c>
      <c r="K20" t="str">
        <f>VLOOKUP($A20,Lcode_mapping!$D:$T,12,FALSE)</f>
        <v>OBSOLETE</v>
      </c>
      <c r="L20" t="str">
        <f>VLOOKUP($A20,Lcode_mapping!$D:$T,13,FALSE)</f>
        <v>-</v>
      </c>
    </row>
    <row r="21" spans="1:12" x14ac:dyDescent="0.25">
      <c r="A21" s="25" t="s">
        <v>737</v>
      </c>
      <c r="B21" t="str">
        <f>VLOOKUP(A21,Lcode_mapping!D:T,1,FALSE)</f>
        <v>AMPBYFRQ</v>
      </c>
      <c r="C21" t="str">
        <f>VLOOKUP($A21,Lcode_mapping!$D:$T,15,FALSE)</f>
        <v>ChanAmpPhase</v>
      </c>
      <c r="D21" t="str">
        <f>VLOOKUP($A21,Lcode_mapping!$D:$T,7,FALSE)</f>
        <v>Amp(0-1)  phs by chan(-180to180)</v>
      </c>
      <c r="E21" t="str">
        <f>VLOOKUP($A21,Lcode_mapping!$D:$T,17,FALSE)</f>
        <v>-</v>
      </c>
      <c r="H21" t="str">
        <f t="shared" si="0"/>
        <v>AMPBYFRQ</v>
      </c>
      <c r="I21" t="str">
        <f t="shared" si="1"/>
        <v>ChanAmpPhase</v>
      </c>
      <c r="J21" t="str">
        <f t="shared" si="2"/>
        <v>Amp(0-1)  phs by chan(-180to180)</v>
      </c>
      <c r="K21" t="str">
        <f>VLOOKUP($A21,Lcode_mapping!$D:$T,12,FALSE)</f>
        <v>Observables</v>
      </c>
      <c r="L21" t="str">
        <f>VLOOKUP($A21,Lcode_mapping!$D:$T,13,FALSE)</f>
        <v>CorrInfo_bX</v>
      </c>
    </row>
    <row r="22" spans="1:12" x14ac:dyDescent="0.25">
      <c r="A22" s="25" t="s">
        <v>1405</v>
      </c>
      <c r="B22" t="str">
        <f>VLOOKUP(A22,Lcode_mapping!D:T,1,FALSE)</f>
        <v>APCLOFST</v>
      </c>
      <c r="C22" t="str">
        <f>VLOOKUP($A22,Lcode_mapping!$D:$T,15,FALSE)</f>
        <v>-</v>
      </c>
      <c r="D22" t="str">
        <f>VLOOKUP($A22,Lcode_mapping!$D:$T,7,FALSE)</f>
        <v xml:space="preserve">Apriori clock offset microsec. </v>
      </c>
      <c r="E22" t="str">
        <f>VLOOKUP($A22,Lcode_mapping!$D:$T,17,FALSE)</f>
        <v>-</v>
      </c>
      <c r="H22" t="str">
        <f t="shared" si="0"/>
        <v>APCLOFST</v>
      </c>
      <c r="I22" t="str">
        <f t="shared" si="1"/>
        <v>APCLOFST</v>
      </c>
      <c r="J22" t="str">
        <f t="shared" si="2"/>
        <v xml:space="preserve">Apriori clock offset microsec. </v>
      </c>
      <c r="K22" t="str">
        <f>VLOOKUP($A22,Lcode_mapping!$D:$T,12,FALSE)</f>
        <v>Observables</v>
      </c>
      <c r="L22" t="str">
        <f>VLOOKUP($A22,Lcode_mapping!$D:$T,13,FALSE)</f>
        <v>CorrInfo_bX</v>
      </c>
    </row>
    <row r="23" spans="1:12" x14ac:dyDescent="0.25">
      <c r="A23" s="25" t="s">
        <v>446</v>
      </c>
      <c r="B23" t="str">
        <f>VLOOKUP(A23,Lcode_mapping!D:T,1,FALSE)</f>
        <v>APLENGTH</v>
      </c>
      <c r="C23" t="str">
        <f>VLOOKUP($A23,Lcode_mapping!$D:$T,15,FALSE)</f>
        <v>Aplength</v>
      </c>
      <c r="D23" t="str">
        <f>VLOOKUP($A23,Lcode_mapping!$D:$T,7,FALSE)</f>
        <v>Length of accumul. period in sec</v>
      </c>
      <c r="E23" t="str">
        <f>VLOOKUP($A23,Lcode_mapping!$D:$T,17,FALSE)</f>
        <v>-</v>
      </c>
      <c r="H23" t="str">
        <f t="shared" si="0"/>
        <v>APLENGTH</v>
      </c>
      <c r="I23" t="str">
        <f t="shared" si="1"/>
        <v>Aplength</v>
      </c>
      <c r="J23" t="str">
        <f t="shared" si="2"/>
        <v>Length of accumul. period in sec</v>
      </c>
      <c r="K23" t="str">
        <f>VLOOKUP($A23,Lcode_mapping!$D:$T,12,FALSE)</f>
        <v>Solve</v>
      </c>
      <c r="L23" t="str">
        <f>VLOOKUP($A23,Lcode_mapping!$D:$T,13,FALSE)</f>
        <v>Misc</v>
      </c>
    </row>
    <row r="24" spans="1:12" x14ac:dyDescent="0.25">
      <c r="A24" s="25" t="s">
        <v>394</v>
      </c>
      <c r="B24" t="str">
        <f>VLOOKUP(A24,Lcode_mapping!D:T,1,FALSE)</f>
        <v>ARCHIVE</v>
      </c>
      <c r="C24" t="str">
        <f>VLOOKUP($A24,Lcode_mapping!$D:$T,15,FALSE)</f>
        <v>-</v>
      </c>
      <c r="D24" t="str">
        <f>VLOOKUP($A24,Lcode_mapping!$D:$T,7,FALSE)</f>
        <v>Microfiche, B tape number.</v>
      </c>
      <c r="E24" t="str">
        <f>VLOOKUP($A24,Lcode_mapping!$D:$T,17,FALSE)</f>
        <v>-</v>
      </c>
      <c r="H24" t="str">
        <f t="shared" ref="H24:H87" si="3">A24</f>
        <v>ARCHIVE</v>
      </c>
      <c r="I24" t="str">
        <f t="shared" ref="I24:I87" si="4">IF(C24="-",B24,C24)</f>
        <v>ARCHIVE</v>
      </c>
      <c r="J24" t="str">
        <f t="shared" ref="J24:J87" si="5">IF(E24="-",D24,E24)</f>
        <v>Microfiche, B tape number.</v>
      </c>
      <c r="K24" t="str">
        <f>VLOOKUP($A24,Lcode_mapping!$D:$T,12,FALSE)</f>
        <v>OBSOLETE</v>
      </c>
      <c r="L24" t="str">
        <f>VLOOKUP($A24,Lcode_mapping!$D:$T,13,FALSE)</f>
        <v>-</v>
      </c>
    </row>
    <row r="25" spans="1:12" x14ac:dyDescent="0.25">
      <c r="A25" s="25" t="s">
        <v>673</v>
      </c>
      <c r="B25" t="str">
        <f>VLOOKUP(A25,Lcode_mapping!D:T,1,FALSE)</f>
        <v>ATI CFLG</v>
      </c>
      <c r="C25" t="str">
        <f>VLOOKUP($A25,Lcode_mapping!$D:$T,15,FALSE)</f>
        <v>ATIControl</v>
      </c>
      <c r="D25" t="str">
        <f>VLOOKUP($A25,Lcode_mapping!$D:$T,7,FALSE)</f>
        <v>ATIME Flow Control Message Def.</v>
      </c>
      <c r="E25" t="str">
        <f>VLOOKUP($A25,Lcode_mapping!$D:$T,17,FALSE)</f>
        <v>-</v>
      </c>
      <c r="H25" t="str">
        <f t="shared" si="3"/>
        <v>ATI CFLG</v>
      </c>
      <c r="I25" t="str">
        <f t="shared" si="4"/>
        <v>ATIControl</v>
      </c>
      <c r="J25" t="str">
        <f t="shared" si="5"/>
        <v>ATIME Flow Control Message Def.</v>
      </c>
      <c r="K25" t="str">
        <f>VLOOKUP($A25,Lcode_mapping!$D:$T,12,FALSE)</f>
        <v>Solve</v>
      </c>
      <c r="L25" t="str">
        <f>VLOOKUP($A25,Lcode_mapping!$D:$T,13,FALSE)</f>
        <v>CalcInfo</v>
      </c>
    </row>
    <row r="26" spans="1:12" x14ac:dyDescent="0.25">
      <c r="A26" s="25" t="s">
        <v>671</v>
      </c>
      <c r="B26" t="str">
        <f>VLOOKUP(A26,Lcode_mapping!D:T,1,FALSE)</f>
        <v>ATI MESS</v>
      </c>
      <c r="C26" t="str">
        <f>VLOOKUP($A26,Lcode_mapping!$D:$T,15,FALSE)</f>
        <v>ATIMessage</v>
      </c>
      <c r="D26" t="str">
        <f>VLOOKUP($A26,Lcode_mapping!$D:$T,7,FALSE)</f>
        <v>ATIME Message Definition</v>
      </c>
      <c r="E26" t="str">
        <f>VLOOKUP($A26,Lcode_mapping!$D:$T,17,FALSE)</f>
        <v>-</v>
      </c>
      <c r="H26" t="str">
        <f t="shared" si="3"/>
        <v>ATI MESS</v>
      </c>
      <c r="I26" t="str">
        <f t="shared" si="4"/>
        <v>ATIMessage</v>
      </c>
      <c r="J26" t="str">
        <f t="shared" si="5"/>
        <v>ATIME Message Definition</v>
      </c>
      <c r="K26" t="str">
        <f>VLOOKUP($A26,Lcode_mapping!$D:$T,12,FALSE)</f>
        <v>Solve</v>
      </c>
      <c r="L26" t="str">
        <f>VLOOKUP($A26,Lcode_mapping!$D:$T,13,FALSE)</f>
        <v>CalcInfo</v>
      </c>
    </row>
    <row r="27" spans="1:12" x14ac:dyDescent="0.25">
      <c r="A27" s="25" t="s">
        <v>613</v>
      </c>
      <c r="B27" t="str">
        <f>VLOOKUP(A27,Lcode_mapping!D:T,1,FALSE)</f>
        <v>ATM CFLG</v>
      </c>
      <c r="C27" t="str">
        <f>VLOOKUP($A27,Lcode_mapping!$D:$T,15,FALSE)</f>
        <v>ATMControl</v>
      </c>
      <c r="D27" t="str">
        <f>VLOOKUP($A27,Lcode_mapping!$D:$T,7,FALSE)</f>
        <v>Atmosphere control flag mess def</v>
      </c>
      <c r="E27" t="str">
        <f>VLOOKUP($A27,Lcode_mapping!$D:$T,17,FALSE)</f>
        <v>-</v>
      </c>
      <c r="H27" t="str">
        <f t="shared" si="3"/>
        <v>ATM CFLG</v>
      </c>
      <c r="I27" t="str">
        <f t="shared" si="4"/>
        <v>ATMControl</v>
      </c>
      <c r="J27" t="str">
        <f t="shared" si="5"/>
        <v>Atmosphere control flag mess def</v>
      </c>
      <c r="K27" t="str">
        <f>VLOOKUP($A27,Lcode_mapping!$D:$T,12,FALSE)</f>
        <v>Solve</v>
      </c>
      <c r="L27" t="str">
        <f>VLOOKUP($A27,Lcode_mapping!$D:$T,13,FALSE)</f>
        <v>CalcInfo</v>
      </c>
    </row>
    <row r="28" spans="1:12" x14ac:dyDescent="0.25">
      <c r="A28" s="25" t="s">
        <v>151</v>
      </c>
      <c r="B28" t="str">
        <f>VLOOKUP(A28,Lcode_mapping!D:T,1,FALSE)</f>
        <v>ATM FL 1</v>
      </c>
      <c r="C28" t="str">
        <f>VLOOKUP($A28,Lcode_mapping!$D:$T,15,FALSE)</f>
        <v>-</v>
      </c>
      <c r="D28" t="str">
        <f>VLOOKUP($A28,Lcode_mapping!$D:$T,7,FALSE)</f>
        <v>List of atmosphere flags</v>
      </c>
      <c r="E28" t="str">
        <f>VLOOKUP($A28,Lcode_mapping!$D:$T,17,FALSE)</f>
        <v>-</v>
      </c>
      <c r="H28" t="str">
        <f t="shared" si="3"/>
        <v>ATM FL 1</v>
      </c>
      <c r="I28" t="str">
        <f t="shared" si="4"/>
        <v>ATM FL 1</v>
      </c>
      <c r="J28" t="str">
        <f t="shared" si="5"/>
        <v>List of atmosphere flags</v>
      </c>
      <c r="K28" t="str">
        <f>VLOOKUP($A28,Lcode_mapping!$D:$T,12,FALSE)</f>
        <v>OBSOLETE</v>
      </c>
      <c r="L28" t="str">
        <f>VLOOKUP($A28,Lcode_mapping!$D:$T,13,FALSE)</f>
        <v>-</v>
      </c>
    </row>
    <row r="29" spans="1:12" x14ac:dyDescent="0.25">
      <c r="A29" s="25" t="s">
        <v>153</v>
      </c>
      <c r="B29" t="str">
        <f>VLOOKUP(A29,Lcode_mapping!D:T,1,FALSE)</f>
        <v>ATM FL 2</v>
      </c>
      <c r="C29" t="str">
        <f>VLOOKUP($A29,Lcode_mapping!$D:$T,15,FALSE)</f>
        <v>-</v>
      </c>
      <c r="D29" t="str">
        <f>VLOOKUP($A29,Lcode_mapping!$D:$T,7,FALSE)</f>
        <v>List of atmosphere flags</v>
      </c>
      <c r="E29" t="str">
        <f>VLOOKUP($A29,Lcode_mapping!$D:$T,17,FALSE)</f>
        <v>-</v>
      </c>
      <c r="H29" t="str">
        <f t="shared" si="3"/>
        <v>ATM FL 2</v>
      </c>
      <c r="I29" t="str">
        <f t="shared" si="4"/>
        <v>ATM FL 2</v>
      </c>
      <c r="J29" t="str">
        <f t="shared" si="5"/>
        <v>List of atmosphere flags</v>
      </c>
      <c r="K29" t="str">
        <f>VLOOKUP($A29,Lcode_mapping!$D:$T,12,FALSE)</f>
        <v>OBSOLETE</v>
      </c>
      <c r="L29" t="str">
        <f>VLOOKUP($A29,Lcode_mapping!$D:$T,13,FALSE)</f>
        <v>-</v>
      </c>
    </row>
    <row r="30" spans="1:12" x14ac:dyDescent="0.25">
      <c r="A30" s="25" t="s">
        <v>217</v>
      </c>
      <c r="B30" t="str">
        <f>VLOOKUP(A30,Lcode_mapping!D:T,1,FALSE)</f>
        <v>ATM FL 3</v>
      </c>
      <c r="C30" t="str">
        <f>VLOOKUP($A30,Lcode_mapping!$D:$T,15,FALSE)</f>
        <v>-</v>
      </c>
      <c r="D30" t="str">
        <f>VLOOKUP($A30,Lcode_mapping!$D:$T,7,FALSE)</f>
        <v>List of atmosphere flags</v>
      </c>
      <c r="E30" t="str">
        <f>VLOOKUP($A30,Lcode_mapping!$D:$T,17,FALSE)</f>
        <v>-</v>
      </c>
      <c r="H30" t="str">
        <f t="shared" si="3"/>
        <v>ATM FL 3</v>
      </c>
      <c r="I30" t="str">
        <f t="shared" si="4"/>
        <v>ATM FL 3</v>
      </c>
      <c r="J30" t="str">
        <f t="shared" si="5"/>
        <v>List of atmosphere flags</v>
      </c>
      <c r="K30" t="str">
        <f>VLOOKUP($A30,Lcode_mapping!$D:$T,12,FALSE)</f>
        <v>OBSOLETE</v>
      </c>
      <c r="L30" t="str">
        <f>VLOOKUP($A30,Lcode_mapping!$D:$T,13,FALSE)</f>
        <v>-</v>
      </c>
    </row>
    <row r="31" spans="1:12" x14ac:dyDescent="0.25">
      <c r="A31" s="25" t="s">
        <v>226</v>
      </c>
      <c r="B31" t="str">
        <f>VLOOKUP(A31,Lcode_mapping!D:T,1,FALSE)</f>
        <v>ATM FL 4</v>
      </c>
      <c r="C31" t="str">
        <f>VLOOKUP($A31,Lcode_mapping!$D:$T,15,FALSE)</f>
        <v>-</v>
      </c>
      <c r="D31" t="str">
        <f>VLOOKUP($A31,Lcode_mapping!$D:$T,7,FALSE)</f>
        <v>List of atmosphere flags</v>
      </c>
      <c r="E31" t="str">
        <f>VLOOKUP($A31,Lcode_mapping!$D:$T,17,FALSE)</f>
        <v>-</v>
      </c>
      <c r="H31" t="str">
        <f t="shared" si="3"/>
        <v>ATM FL 4</v>
      </c>
      <c r="I31" t="str">
        <f t="shared" si="4"/>
        <v>ATM FL 4</v>
      </c>
      <c r="J31" t="str">
        <f t="shared" si="5"/>
        <v>List of atmosphere flags</v>
      </c>
      <c r="K31" t="str">
        <f>VLOOKUP($A31,Lcode_mapping!$D:$T,12,FALSE)</f>
        <v>OBSOLETE</v>
      </c>
      <c r="L31" t="str">
        <f>VLOOKUP($A31,Lcode_mapping!$D:$T,13,FALSE)</f>
        <v>-</v>
      </c>
    </row>
    <row r="32" spans="1:12" x14ac:dyDescent="0.25">
      <c r="A32" s="25" t="s">
        <v>227</v>
      </c>
      <c r="B32" t="str">
        <f>VLOOKUP(A32,Lcode_mapping!D:T,1,FALSE)</f>
        <v>ATM FL 5</v>
      </c>
      <c r="C32" t="str">
        <f>VLOOKUP($A32,Lcode_mapping!$D:$T,15,FALSE)</f>
        <v>-</v>
      </c>
      <c r="D32" t="str">
        <f>VLOOKUP($A32,Lcode_mapping!$D:$T,7,FALSE)</f>
        <v>List of atmosphere flags</v>
      </c>
      <c r="E32" t="str">
        <f>VLOOKUP($A32,Lcode_mapping!$D:$T,17,FALSE)</f>
        <v>-</v>
      </c>
      <c r="H32" t="str">
        <f t="shared" si="3"/>
        <v>ATM FL 5</v>
      </c>
      <c r="I32" t="str">
        <f t="shared" si="4"/>
        <v>ATM FL 5</v>
      </c>
      <c r="J32" t="str">
        <f t="shared" si="5"/>
        <v>List of atmosphere flags</v>
      </c>
      <c r="K32" t="str">
        <f>VLOOKUP($A32,Lcode_mapping!$D:$T,12,FALSE)</f>
        <v>OBSOLETE</v>
      </c>
      <c r="L32" t="str">
        <f>VLOOKUP($A32,Lcode_mapping!$D:$T,13,FALSE)</f>
        <v>-</v>
      </c>
    </row>
    <row r="33" spans="1:12" x14ac:dyDescent="0.25">
      <c r="A33" s="25" t="s">
        <v>241</v>
      </c>
      <c r="B33" t="str">
        <f>VLOOKUP(A33,Lcode_mapping!D:T,1,FALSE)</f>
        <v>ATM FL 6</v>
      </c>
      <c r="C33" t="str">
        <f>VLOOKUP($A33,Lcode_mapping!$D:$T,15,FALSE)</f>
        <v>-</v>
      </c>
      <c r="D33" t="str">
        <f>VLOOKUP($A33,Lcode_mapping!$D:$T,7,FALSE)</f>
        <v>List of atmosphere flags</v>
      </c>
      <c r="E33" t="str">
        <f>VLOOKUP($A33,Lcode_mapping!$D:$T,17,FALSE)</f>
        <v>-</v>
      </c>
      <c r="H33" t="str">
        <f t="shared" si="3"/>
        <v>ATM FL 6</v>
      </c>
      <c r="I33" t="str">
        <f t="shared" si="4"/>
        <v>ATM FL 6</v>
      </c>
      <c r="J33" t="str">
        <f t="shared" si="5"/>
        <v>List of atmosphere flags</v>
      </c>
      <c r="K33" t="str">
        <f>VLOOKUP($A33,Lcode_mapping!$D:$T,12,FALSE)</f>
        <v>OBSOLETE</v>
      </c>
      <c r="L33" t="str">
        <f>VLOOKUP($A33,Lcode_mapping!$D:$T,13,FALSE)</f>
        <v>-</v>
      </c>
    </row>
    <row r="34" spans="1:12" x14ac:dyDescent="0.25">
      <c r="A34" s="25" t="s">
        <v>257</v>
      </c>
      <c r="B34" t="str">
        <f>VLOOKUP(A34,Lcode_mapping!D:T,1,FALSE)</f>
        <v>ATM FL 7</v>
      </c>
      <c r="C34" t="str">
        <f>VLOOKUP($A34,Lcode_mapping!$D:$T,15,FALSE)</f>
        <v>-</v>
      </c>
      <c r="D34" t="str">
        <f>VLOOKUP($A34,Lcode_mapping!$D:$T,7,FALSE)</f>
        <v>List of atmosphere flags</v>
      </c>
      <c r="E34" t="str">
        <f>VLOOKUP($A34,Lcode_mapping!$D:$T,17,FALSE)</f>
        <v>-</v>
      </c>
      <c r="H34" t="str">
        <f t="shared" si="3"/>
        <v>ATM FL 7</v>
      </c>
      <c r="I34" t="str">
        <f t="shared" si="4"/>
        <v>ATM FL 7</v>
      </c>
      <c r="J34" t="str">
        <f t="shared" si="5"/>
        <v>List of atmosphere flags</v>
      </c>
      <c r="K34" t="str">
        <f>VLOOKUP($A34,Lcode_mapping!$D:$T,12,FALSE)</f>
        <v>OBSOLETE</v>
      </c>
      <c r="L34" t="str">
        <f>VLOOKUP($A34,Lcode_mapping!$D:$T,13,FALSE)</f>
        <v>-</v>
      </c>
    </row>
    <row r="35" spans="1:12" x14ac:dyDescent="0.25">
      <c r="A35" s="25" t="s">
        <v>277</v>
      </c>
      <c r="B35" t="str">
        <f>VLOOKUP(A35,Lcode_mapping!D:T,1,FALSE)</f>
        <v>ATM FL 8</v>
      </c>
      <c r="C35" t="str">
        <f>VLOOKUP($A35,Lcode_mapping!$D:$T,15,FALSE)</f>
        <v>-</v>
      </c>
      <c r="D35" t="str">
        <f>VLOOKUP($A35,Lcode_mapping!$D:$T,7,FALSE)</f>
        <v>List of atmosphere flags</v>
      </c>
      <c r="E35" t="str">
        <f>VLOOKUP($A35,Lcode_mapping!$D:$T,17,FALSE)</f>
        <v>-</v>
      </c>
      <c r="H35" t="str">
        <f t="shared" si="3"/>
        <v>ATM FL 8</v>
      </c>
      <c r="I35" t="str">
        <f t="shared" si="4"/>
        <v>ATM FL 8</v>
      </c>
      <c r="J35" t="str">
        <f t="shared" si="5"/>
        <v>List of atmosphere flags</v>
      </c>
      <c r="K35" t="str">
        <f>VLOOKUP($A35,Lcode_mapping!$D:$T,12,FALSE)</f>
        <v>OBSOLETE</v>
      </c>
      <c r="L35" t="str">
        <f>VLOOKUP($A35,Lcode_mapping!$D:$T,13,FALSE)</f>
        <v>-</v>
      </c>
    </row>
    <row r="36" spans="1:12" x14ac:dyDescent="0.25">
      <c r="A36" s="25" t="s">
        <v>611</v>
      </c>
      <c r="B36" t="str">
        <f>VLOOKUP(A36,Lcode_mapping!D:T,1,FALSE)</f>
        <v>ATM MESS</v>
      </c>
      <c r="C36" t="str">
        <f>VLOOKUP($A36,Lcode_mapping!$D:$T,15,FALSE)</f>
        <v>ATMMessage</v>
      </c>
      <c r="D36" t="str">
        <f>VLOOKUP($A36,Lcode_mapping!$D:$T,7,FALSE)</f>
        <v>Atmosphere message definition</v>
      </c>
      <c r="E36" t="str">
        <f>VLOOKUP($A36,Lcode_mapping!$D:$T,17,FALSE)</f>
        <v>-</v>
      </c>
      <c r="H36" t="str">
        <f t="shared" si="3"/>
        <v>ATM MESS</v>
      </c>
      <c r="I36" t="str">
        <f t="shared" si="4"/>
        <v>ATMMessage</v>
      </c>
      <c r="J36" t="str">
        <f t="shared" si="5"/>
        <v>Atmosphere message definition</v>
      </c>
      <c r="K36" t="str">
        <f>VLOOKUP($A36,Lcode_mapping!$D:$T,12,FALSE)</f>
        <v>Solve</v>
      </c>
      <c r="L36" t="str">
        <f>VLOOKUP($A36,Lcode_mapping!$D:$T,13,FALSE)</f>
        <v>CalcInfo</v>
      </c>
    </row>
    <row r="37" spans="1:12" x14ac:dyDescent="0.25">
      <c r="A37" s="25" t="s">
        <v>880</v>
      </c>
      <c r="B37" t="str">
        <f>VLOOKUP(A37,Lcode_mapping!D:T,1,FALSE)</f>
        <v>ATM PRES</v>
      </c>
      <c r="C37" t="str">
        <f>VLOOKUP($A37,Lcode_mapping!$D:$T,15,FALSE)</f>
        <v>AtmPres</v>
      </c>
      <c r="D37" t="str">
        <f>VLOOKUP($A37,Lcode_mapping!$D:$T,7,FALSE)</f>
        <v>Pressure in mb at site</v>
      </c>
      <c r="E37" t="str">
        <f>VLOOKUP($A37,Lcode_mapping!$D:$T,17,FALSE)</f>
        <v>Pressure in hPa at site</v>
      </c>
      <c r="H37" t="str">
        <f t="shared" si="3"/>
        <v>ATM PRES</v>
      </c>
      <c r="I37" t="str">
        <f t="shared" si="4"/>
        <v>AtmPres</v>
      </c>
      <c r="J37" t="str">
        <f t="shared" si="5"/>
        <v>Pressure in hPa at site</v>
      </c>
      <c r="K37" t="str">
        <f>VLOOKUP($A37,Lcode_mapping!$D:$T,12,FALSE)</f>
        <v>-</v>
      </c>
      <c r="L37" t="str">
        <f>VLOOKUP($A37,Lcode_mapping!$D:$T,13,FALSE)</f>
        <v>Met</v>
      </c>
    </row>
    <row r="38" spans="1:12" x14ac:dyDescent="0.25">
      <c r="A38" s="25" t="s">
        <v>702</v>
      </c>
      <c r="B38" t="e">
        <f>VLOOKUP(A38,Lcode_mapping!D:T,1,FALSE)</f>
        <v>#N/A</v>
      </c>
      <c r="C38" t="e">
        <f>VLOOKUP($A38,Lcode_mapping!$D:$T,15,FALSE)</f>
        <v>#N/A</v>
      </c>
      <c r="D38" t="e">
        <f>VLOOKUP($A38,Lcode_mapping!$D:$T,7,FALSE)</f>
        <v>#N/A</v>
      </c>
      <c r="E38" t="e">
        <f>VLOOKUP($A38,Lcode_mapping!$D:$T,17,FALSE)</f>
        <v>#N/A</v>
      </c>
      <c r="H38" t="str">
        <f t="shared" si="3"/>
        <v>ATM_CFLG</v>
      </c>
      <c r="I38" t="e">
        <f t="shared" si="4"/>
        <v>#N/A</v>
      </c>
      <c r="J38" t="e">
        <f t="shared" si="5"/>
        <v>#N/A</v>
      </c>
      <c r="K38" t="e">
        <f>VLOOKUP($A38,Lcode_mapping!$D:$T,12,FALSE)</f>
        <v>#N/A</v>
      </c>
      <c r="L38" t="e">
        <f>VLOOKUP($A38,Lcode_mapping!$D:$T,13,FALSE)</f>
        <v>#N/A</v>
      </c>
    </row>
    <row r="39" spans="1:12" x14ac:dyDescent="0.25">
      <c r="A39" s="25" t="s">
        <v>527</v>
      </c>
      <c r="B39" t="str">
        <f>VLOOKUP(A39,Lcode_mapping!D:T,1,FALSE)</f>
        <v>ATM_CNST</v>
      </c>
      <c r="C39" t="str">
        <f>VLOOKUP($A39,Lcode_mapping!$D:$T,15,FALSE)</f>
        <v>AtmRateConstraint</v>
      </c>
      <c r="D39" t="str">
        <f>VLOOKUP($A39,Lcode_mapping!$D:$T,7,FALSE)</f>
        <v>Atmosphere constraint. ps/hr</v>
      </c>
      <c r="E39" t="str">
        <f>VLOOKUP($A39,Lcode_mapping!$D:$T,17,FALSE)</f>
        <v>-</v>
      </c>
      <c r="H39" t="str">
        <f t="shared" si="3"/>
        <v>ATM_CNST</v>
      </c>
      <c r="I39" t="str">
        <f t="shared" si="4"/>
        <v>AtmRateConstraint</v>
      </c>
      <c r="J39" t="str">
        <f t="shared" si="5"/>
        <v>Atmosphere constraint. ps/hr</v>
      </c>
      <c r="K39" t="str">
        <f>VLOOKUP($A39,Lcode_mapping!$D:$T,12,FALSE)</f>
        <v>Solve</v>
      </c>
      <c r="L39" t="str">
        <f>VLOOKUP($A39,Lcode_mapping!$D:$T,13,FALSE)</f>
        <v>AtmSetup</v>
      </c>
    </row>
    <row r="40" spans="1:12" x14ac:dyDescent="0.25">
      <c r="A40" s="25" t="s">
        <v>535</v>
      </c>
      <c r="B40" t="str">
        <f>VLOOKUP(A40,Lcode_mapping!D:T,1,FALSE)</f>
        <v>ATM_INTV</v>
      </c>
      <c r="C40" t="str">
        <f>VLOOKUP($A40,Lcode_mapping!$D:$T,15,FALSE)</f>
        <v>AtmInterval</v>
      </c>
      <c r="D40" t="str">
        <f>VLOOKUP($A40,Lcode_mapping!$D:$T,7,FALSE)</f>
        <v>Batchmode atmos interval - hours</v>
      </c>
      <c r="E40" t="str">
        <f>VLOOKUP($A40,Lcode_mapping!$D:$T,17,FALSE)</f>
        <v>-</v>
      </c>
      <c r="H40" t="str">
        <f t="shared" si="3"/>
        <v>ATM_INTV</v>
      </c>
      <c r="I40" t="str">
        <f t="shared" si="4"/>
        <v>AtmInterval</v>
      </c>
      <c r="J40" t="str">
        <f t="shared" si="5"/>
        <v>Batchmode atmos interval - hours</v>
      </c>
      <c r="K40" t="str">
        <f>VLOOKUP($A40,Lcode_mapping!$D:$T,12,FALSE)</f>
        <v>Solve</v>
      </c>
      <c r="L40" t="str">
        <f>VLOOKUP($A40,Lcode_mapping!$D:$T,13,FALSE)</f>
        <v>AtmSetup</v>
      </c>
    </row>
    <row r="41" spans="1:12" x14ac:dyDescent="0.25">
      <c r="A41" s="25" t="s">
        <v>144</v>
      </c>
      <c r="B41" t="str">
        <f>VLOOKUP(A41,Lcode_mapping!D:T,1,FALSE)</f>
        <v>ATMEPO 1</v>
      </c>
      <c r="C41" t="str">
        <f>VLOOKUP($A41,Lcode_mapping!$D:$T,15,FALSE)</f>
        <v>-</v>
      </c>
      <c r="D41" t="str">
        <f>VLOOKUP($A41,Lcode_mapping!$D:$T,7,FALSE)</f>
        <v>Atmosphere epochs -  J.D.s</v>
      </c>
      <c r="E41" t="str">
        <f>VLOOKUP($A41,Lcode_mapping!$D:$T,17,FALSE)</f>
        <v>-</v>
      </c>
      <c r="H41" t="str">
        <f t="shared" si="3"/>
        <v>ATMEPO 1</v>
      </c>
      <c r="I41" t="str">
        <f t="shared" si="4"/>
        <v>ATMEPO 1</v>
      </c>
      <c r="J41" t="str">
        <f t="shared" si="5"/>
        <v>Atmosphere epochs -  J.D.s</v>
      </c>
      <c r="K41" t="str">
        <f>VLOOKUP($A41,Lcode_mapping!$D:$T,12,FALSE)</f>
        <v>OBSOLETE</v>
      </c>
      <c r="L41" t="str">
        <f>VLOOKUP($A41,Lcode_mapping!$D:$T,13,FALSE)</f>
        <v>-</v>
      </c>
    </row>
    <row r="42" spans="1:12" x14ac:dyDescent="0.25">
      <c r="A42" s="25" t="s">
        <v>146</v>
      </c>
      <c r="B42" t="str">
        <f>VLOOKUP(A42,Lcode_mapping!D:T,1,FALSE)</f>
        <v>ATMEPO 2</v>
      </c>
      <c r="C42" t="str">
        <f>VLOOKUP($A42,Lcode_mapping!$D:$T,15,FALSE)</f>
        <v>-</v>
      </c>
      <c r="D42" t="str">
        <f>VLOOKUP($A42,Lcode_mapping!$D:$T,7,FALSE)</f>
        <v>Atmosphere epochs -  J.D.s</v>
      </c>
      <c r="E42" t="str">
        <f>VLOOKUP($A42,Lcode_mapping!$D:$T,17,FALSE)</f>
        <v>-</v>
      </c>
      <c r="H42" t="str">
        <f t="shared" si="3"/>
        <v>ATMEPO 2</v>
      </c>
      <c r="I42" t="str">
        <f t="shared" si="4"/>
        <v>ATMEPO 2</v>
      </c>
      <c r="J42" t="str">
        <f t="shared" si="5"/>
        <v>Atmosphere epochs -  J.D.s</v>
      </c>
      <c r="K42" t="str">
        <f>VLOOKUP($A42,Lcode_mapping!$D:$T,12,FALSE)</f>
        <v>OBSOLETE</v>
      </c>
      <c r="L42" t="str">
        <f>VLOOKUP($A42,Lcode_mapping!$D:$T,13,FALSE)</f>
        <v>-</v>
      </c>
    </row>
    <row r="43" spans="1:12" x14ac:dyDescent="0.25">
      <c r="A43" s="25" t="s">
        <v>215</v>
      </c>
      <c r="B43" t="str">
        <f>VLOOKUP(A43,Lcode_mapping!D:T,1,FALSE)</f>
        <v>ATMEPO 3</v>
      </c>
      <c r="C43" t="str">
        <f>VLOOKUP($A43,Lcode_mapping!$D:$T,15,FALSE)</f>
        <v>-</v>
      </c>
      <c r="D43" t="str">
        <f>VLOOKUP($A43,Lcode_mapping!$D:$T,7,FALSE)</f>
        <v>Atmosphere epochs -  J.D.s</v>
      </c>
      <c r="E43" t="str">
        <f>VLOOKUP($A43,Lcode_mapping!$D:$T,17,FALSE)</f>
        <v>-</v>
      </c>
      <c r="H43" t="str">
        <f t="shared" si="3"/>
        <v>ATMEPO 3</v>
      </c>
      <c r="I43" t="str">
        <f t="shared" si="4"/>
        <v>ATMEPO 3</v>
      </c>
      <c r="J43" t="str">
        <f t="shared" si="5"/>
        <v>Atmosphere epochs -  J.D.s</v>
      </c>
      <c r="K43" t="str">
        <f>VLOOKUP($A43,Lcode_mapping!$D:$T,12,FALSE)</f>
        <v>OBSOLETE</v>
      </c>
      <c r="L43" t="str">
        <f>VLOOKUP($A43,Lcode_mapping!$D:$T,13,FALSE)</f>
        <v>-</v>
      </c>
    </row>
    <row r="44" spans="1:12" x14ac:dyDescent="0.25">
      <c r="A44" s="25" t="s">
        <v>224</v>
      </c>
      <c r="B44" t="str">
        <f>VLOOKUP(A44,Lcode_mapping!D:T,1,FALSE)</f>
        <v>ATMEPO 4</v>
      </c>
      <c r="C44" t="str">
        <f>VLOOKUP($A44,Lcode_mapping!$D:$T,15,FALSE)</f>
        <v>-</v>
      </c>
      <c r="D44" t="str">
        <f>VLOOKUP($A44,Lcode_mapping!$D:$T,7,FALSE)</f>
        <v>Atmosphere epochs -  J.D.s</v>
      </c>
      <c r="E44" t="str">
        <f>VLOOKUP($A44,Lcode_mapping!$D:$T,17,FALSE)</f>
        <v>-</v>
      </c>
      <c r="H44" t="str">
        <f t="shared" si="3"/>
        <v>ATMEPO 4</v>
      </c>
      <c r="I44" t="str">
        <f t="shared" si="4"/>
        <v>ATMEPO 4</v>
      </c>
      <c r="J44" t="str">
        <f t="shared" si="5"/>
        <v>Atmosphere epochs -  J.D.s</v>
      </c>
      <c r="K44" t="str">
        <f>VLOOKUP($A44,Lcode_mapping!$D:$T,12,FALSE)</f>
        <v>OBSOLETE</v>
      </c>
      <c r="L44" t="str">
        <f>VLOOKUP($A44,Lcode_mapping!$D:$T,13,FALSE)</f>
        <v>-</v>
      </c>
    </row>
    <row r="45" spans="1:12" x14ac:dyDescent="0.25">
      <c r="A45" s="25" t="s">
        <v>225</v>
      </c>
      <c r="B45" t="str">
        <f>VLOOKUP(A45,Lcode_mapping!D:T,1,FALSE)</f>
        <v>ATMEPO 5</v>
      </c>
      <c r="C45" t="str">
        <f>VLOOKUP($A45,Lcode_mapping!$D:$T,15,FALSE)</f>
        <v>-</v>
      </c>
      <c r="D45" t="str">
        <f>VLOOKUP($A45,Lcode_mapping!$D:$T,7,FALSE)</f>
        <v>Atmosphere epochs -  J.D.s</v>
      </c>
      <c r="E45" t="str">
        <f>VLOOKUP($A45,Lcode_mapping!$D:$T,17,FALSE)</f>
        <v>-</v>
      </c>
      <c r="H45" t="str">
        <f t="shared" si="3"/>
        <v>ATMEPO 5</v>
      </c>
      <c r="I45" t="str">
        <f t="shared" si="4"/>
        <v>ATMEPO 5</v>
      </c>
      <c r="J45" t="str">
        <f t="shared" si="5"/>
        <v>Atmosphere epochs -  J.D.s</v>
      </c>
      <c r="K45" t="str">
        <f>VLOOKUP($A45,Lcode_mapping!$D:$T,12,FALSE)</f>
        <v>OBSOLETE</v>
      </c>
      <c r="L45" t="str">
        <f>VLOOKUP($A45,Lcode_mapping!$D:$T,13,FALSE)</f>
        <v>-</v>
      </c>
    </row>
    <row r="46" spans="1:12" x14ac:dyDescent="0.25">
      <c r="A46" s="25" t="s">
        <v>239</v>
      </c>
      <c r="B46" t="str">
        <f>VLOOKUP(A46,Lcode_mapping!D:T,1,FALSE)</f>
        <v>ATMEPO 6</v>
      </c>
      <c r="C46" t="str">
        <f>VLOOKUP($A46,Lcode_mapping!$D:$T,15,FALSE)</f>
        <v>-</v>
      </c>
      <c r="D46" t="str">
        <f>VLOOKUP($A46,Lcode_mapping!$D:$T,7,FALSE)</f>
        <v>Atmosphere epochs -  J.D.s</v>
      </c>
      <c r="E46" t="str">
        <f>VLOOKUP($A46,Lcode_mapping!$D:$T,17,FALSE)</f>
        <v>-</v>
      </c>
      <c r="H46" t="str">
        <f t="shared" si="3"/>
        <v>ATMEPO 6</v>
      </c>
      <c r="I46" t="str">
        <f t="shared" si="4"/>
        <v>ATMEPO 6</v>
      </c>
      <c r="J46" t="str">
        <f t="shared" si="5"/>
        <v>Atmosphere epochs -  J.D.s</v>
      </c>
      <c r="K46" t="str">
        <f>VLOOKUP($A46,Lcode_mapping!$D:$T,12,FALSE)</f>
        <v>OBSOLETE</v>
      </c>
      <c r="L46" t="str">
        <f>VLOOKUP($A46,Lcode_mapping!$D:$T,13,FALSE)</f>
        <v>-</v>
      </c>
    </row>
    <row r="47" spans="1:12" x14ac:dyDescent="0.25">
      <c r="A47" s="25" t="s">
        <v>255</v>
      </c>
      <c r="B47" t="str">
        <f>VLOOKUP(A47,Lcode_mapping!D:T,1,FALSE)</f>
        <v>ATMEPO 7</v>
      </c>
      <c r="C47" t="str">
        <f>VLOOKUP($A47,Lcode_mapping!$D:$T,15,FALSE)</f>
        <v>-</v>
      </c>
      <c r="D47" t="str">
        <f>VLOOKUP($A47,Lcode_mapping!$D:$T,7,FALSE)</f>
        <v>Atmosphere epochs -  J.D.s</v>
      </c>
      <c r="E47" t="str">
        <f>VLOOKUP($A47,Lcode_mapping!$D:$T,17,FALSE)</f>
        <v>-</v>
      </c>
      <c r="H47" t="str">
        <f t="shared" si="3"/>
        <v>ATMEPO 7</v>
      </c>
      <c r="I47" t="str">
        <f t="shared" si="4"/>
        <v>ATMEPO 7</v>
      </c>
      <c r="J47" t="str">
        <f t="shared" si="5"/>
        <v>Atmosphere epochs -  J.D.s</v>
      </c>
      <c r="K47" t="str">
        <f>VLOOKUP($A47,Lcode_mapping!$D:$T,12,FALSE)</f>
        <v>OBSOLETE</v>
      </c>
      <c r="L47" t="str">
        <f>VLOOKUP($A47,Lcode_mapping!$D:$T,13,FALSE)</f>
        <v>-</v>
      </c>
    </row>
    <row r="48" spans="1:12" x14ac:dyDescent="0.25">
      <c r="A48" s="25" t="s">
        <v>275</v>
      </c>
      <c r="B48" t="str">
        <f>VLOOKUP(A48,Lcode_mapping!D:T,1,FALSE)</f>
        <v>ATMEPO 8</v>
      </c>
      <c r="C48" t="str">
        <f>VLOOKUP($A48,Lcode_mapping!$D:$T,15,FALSE)</f>
        <v>-</v>
      </c>
      <c r="D48" t="str">
        <f>VLOOKUP($A48,Lcode_mapping!$D:$T,7,FALSE)</f>
        <v>Atmosphere epochs -  J.D.s</v>
      </c>
      <c r="E48" t="str">
        <f>VLOOKUP($A48,Lcode_mapping!$D:$T,17,FALSE)</f>
        <v>-</v>
      </c>
      <c r="H48" t="str">
        <f t="shared" si="3"/>
        <v>ATMEPO 8</v>
      </c>
      <c r="I48" t="str">
        <f t="shared" si="4"/>
        <v>ATMEPO 8</v>
      </c>
      <c r="J48" t="str">
        <f t="shared" si="5"/>
        <v>Atmosphere epochs -  J.D.s</v>
      </c>
      <c r="K48" t="str">
        <f>VLOOKUP($A48,Lcode_mapping!$D:$T,12,FALSE)</f>
        <v>OBSOLETE</v>
      </c>
      <c r="L48" t="str">
        <f>VLOOKUP($A48,Lcode_mapping!$D:$T,13,FALSE)</f>
        <v>-</v>
      </c>
    </row>
    <row r="49" spans="1:12" x14ac:dyDescent="0.25">
      <c r="A49" s="25" t="s">
        <v>1072</v>
      </c>
      <c r="B49" t="str">
        <f>VLOOKUP(A49,Lcode_mapping!D:T,1,FALSE)</f>
        <v>AUTO_SUP</v>
      </c>
      <c r="C49" t="str">
        <f>VLOOKUP($A49,Lcode_mapping!$D:$T,15,FALSE)</f>
        <v>-</v>
      </c>
      <c r="D49" t="str">
        <f>VLOOKUP($A49,Lcode_mapping!$D:$T,7,FALSE)</f>
        <v>Automatic suppression status</v>
      </c>
      <c r="E49" t="str">
        <f>VLOOKUP($A49,Lcode_mapping!$D:$T,17,FALSE)</f>
        <v>-</v>
      </c>
      <c r="H49" t="str">
        <f t="shared" si="3"/>
        <v>AUTO_SUP</v>
      </c>
      <c r="I49" t="str">
        <f t="shared" si="4"/>
        <v>AUTO_SUP</v>
      </c>
      <c r="J49" t="str">
        <f t="shared" si="5"/>
        <v>Automatic suppression status</v>
      </c>
      <c r="K49" t="str">
        <f>VLOOKUP($A49,Lcode_mapping!$D:$T,12,FALSE)</f>
        <v>OBSOLETE</v>
      </c>
      <c r="L49" t="str">
        <f>VLOOKUP($A49,Lcode_mapping!$D:$T,13,FALSE)</f>
        <v>-</v>
      </c>
    </row>
    <row r="50" spans="1:12" x14ac:dyDescent="0.25">
      <c r="A50" s="25" t="s">
        <v>100</v>
      </c>
      <c r="B50" t="str">
        <f>VLOOKUP(A50,Lcode_mapping!D:T,1,FALSE)</f>
        <v>AUTOEDIT</v>
      </c>
      <c r="C50" t="str">
        <f>VLOOKUP($A50,Lcode_mapping!$D:$T,15,FALSE)</f>
        <v>-</v>
      </c>
      <c r="D50" t="str">
        <f>VLOOKUP($A50,Lcode_mapping!$D:$T,7,FALSE)</f>
        <v xml:space="preserve">1=Run resulted from AUTOEDIT. </v>
      </c>
      <c r="E50" t="str">
        <f>VLOOKUP($A50,Lcode_mapping!$D:$T,17,FALSE)</f>
        <v>-</v>
      </c>
      <c r="H50" t="str">
        <f t="shared" si="3"/>
        <v>AUTOEDIT</v>
      </c>
      <c r="I50" t="str">
        <f t="shared" si="4"/>
        <v>AUTOEDIT</v>
      </c>
      <c r="J50" t="str">
        <f t="shared" si="5"/>
        <v xml:space="preserve">1=Run resulted from AUTOEDIT. </v>
      </c>
      <c r="K50" t="str">
        <f>VLOOKUP($A50,Lcode_mapping!$D:$T,12,FALSE)</f>
        <v>Observables</v>
      </c>
      <c r="L50" t="str">
        <f>VLOOKUP($A50,Lcode_mapping!$D:$T,13,FALSE)</f>
        <v>CorrInfo_bX</v>
      </c>
    </row>
    <row r="51" spans="1:12" x14ac:dyDescent="0.25">
      <c r="A51" s="25" t="s">
        <v>487</v>
      </c>
      <c r="B51" t="str">
        <f>VLOOKUP(A51,Lcode_mapping!D:T,1,FALSE)</f>
        <v>AXISOFFS</v>
      </c>
      <c r="C51" t="str">
        <f>VLOOKUP($A51,Lcode_mapping!$D:$T,15,FALSE)</f>
        <v>AntennaAxisOffset</v>
      </c>
      <c r="D51" t="str">
        <f>VLOOKUP($A51,Lcode_mapping!$D:$T,7,FALSE)</f>
        <v>Axis offsets (m).</v>
      </c>
      <c r="E51" t="str">
        <f>VLOOKUP($A51,Lcode_mapping!$D:$T,17,FALSE)</f>
        <v>-</v>
      </c>
      <c r="H51" t="str">
        <f t="shared" si="3"/>
        <v>AXISOFFS</v>
      </c>
      <c r="I51" t="str">
        <f t="shared" si="4"/>
        <v>AntennaAxisOffset</v>
      </c>
      <c r="J51" t="str">
        <f t="shared" si="5"/>
        <v>Axis offsets (m).</v>
      </c>
      <c r="K51" t="str">
        <f>VLOOKUP($A51,Lcode_mapping!$D:$T,12,FALSE)</f>
        <v>Apriori</v>
      </c>
      <c r="L51" t="str">
        <f>VLOOKUP($A51,Lcode_mapping!$D:$T,13,FALSE)</f>
        <v>Antenna</v>
      </c>
    </row>
    <row r="52" spans="1:12" x14ac:dyDescent="0.25">
      <c r="A52" s="25" t="s">
        <v>733</v>
      </c>
      <c r="B52" t="str">
        <f>VLOOKUP(A52,Lcode_mapping!D:T,1,FALSE)</f>
        <v>AXISTILT</v>
      </c>
      <c r="C52" t="str">
        <f>VLOOKUP($A52,Lcode_mapping!$D:$T,15,FALSE)</f>
        <v>AntennaAxisTilt</v>
      </c>
      <c r="D52" t="str">
        <f>VLOOKUP($A52,Lcode_mapping!$D:$T,7,FALSE)</f>
        <v>Fixed axis tilts (arc-sec).</v>
      </c>
      <c r="E52" t="str">
        <f>VLOOKUP($A52,Lcode_mapping!$D:$T,17,FALSE)</f>
        <v>Fixed axis tilt</v>
      </c>
      <c r="H52" t="str">
        <f t="shared" si="3"/>
        <v>AXISTILT</v>
      </c>
      <c r="I52" t="str">
        <f t="shared" si="4"/>
        <v>AntennaAxisTilt</v>
      </c>
      <c r="J52" t="str">
        <f t="shared" si="5"/>
        <v>Fixed axis tilt</v>
      </c>
      <c r="K52" t="str">
        <f>VLOOKUP($A52,Lcode_mapping!$D:$T,12,FALSE)</f>
        <v>Apriori</v>
      </c>
      <c r="L52" t="str">
        <f>VLOOKUP($A52,Lcode_mapping!$D:$T,13,FALSE)</f>
        <v>Antenna</v>
      </c>
    </row>
    <row r="53" spans="1:12" x14ac:dyDescent="0.25">
      <c r="A53" s="25" t="s">
        <v>558</v>
      </c>
      <c r="B53" t="str">
        <f>VLOOKUP(A53,Lcode_mapping!D:T,1,FALSE)</f>
        <v>AXISTYPS</v>
      </c>
      <c r="C53" t="str">
        <f>VLOOKUP($A53,Lcode_mapping!$D:$T,15,FALSE)</f>
        <v>AntennaAxisType</v>
      </c>
      <c r="D53" t="str">
        <f>VLOOKUP($A53,Lcode_mapping!$D:$T,7,FALSE)</f>
        <v>Axis type (1-eq 2-xy 3-azel 4 5)</v>
      </c>
      <c r="E53" t="str">
        <f>VLOOKUP($A53,Lcode_mapping!$D:$T,17,FALSE)</f>
        <v>-</v>
      </c>
      <c r="H53" t="str">
        <f t="shared" si="3"/>
        <v>AXISTYPS</v>
      </c>
      <c r="I53" t="str">
        <f t="shared" si="4"/>
        <v>AntennaAxisType</v>
      </c>
      <c r="J53" t="str">
        <f t="shared" si="5"/>
        <v>Axis type (1-eq 2-xy 3-azel 4 5)</v>
      </c>
      <c r="K53" t="str">
        <f>VLOOKUP($A53,Lcode_mapping!$D:$T,12,FALSE)</f>
        <v>Apriori</v>
      </c>
      <c r="L53" t="str">
        <f>VLOOKUP($A53,Lcode_mapping!$D:$T,13,FALSE)</f>
        <v>Antenna</v>
      </c>
    </row>
    <row r="54" spans="1:12" x14ac:dyDescent="0.25">
      <c r="A54" s="25" t="s">
        <v>617</v>
      </c>
      <c r="B54" t="str">
        <f>VLOOKUP(A54,Lcode_mapping!D:T,1,FALSE)</f>
        <v>AXO CFLG</v>
      </c>
      <c r="C54" t="str">
        <f>VLOOKUP($A54,Lcode_mapping!$D:$T,15,FALSE)</f>
        <v>AxisOffsetControl</v>
      </c>
      <c r="D54" t="str">
        <f>VLOOKUP($A54,Lcode_mapping!$D:$T,7,FALSE)</f>
        <v>Axis Offset Control flag mes def</v>
      </c>
      <c r="E54" t="str">
        <f>VLOOKUP($A54,Lcode_mapping!$D:$T,17,FALSE)</f>
        <v>-</v>
      </c>
      <c r="H54" t="str">
        <f t="shared" si="3"/>
        <v>AXO CFLG</v>
      </c>
      <c r="I54" t="str">
        <f t="shared" si="4"/>
        <v>AxisOffsetControl</v>
      </c>
      <c r="J54" t="str">
        <f t="shared" si="5"/>
        <v>Axis Offset Control flag mes def</v>
      </c>
      <c r="K54" t="str">
        <f>VLOOKUP($A54,Lcode_mapping!$D:$T,12,FALSE)</f>
        <v>Solve</v>
      </c>
      <c r="L54" t="str">
        <f>VLOOKUP($A54,Lcode_mapping!$D:$T,13,FALSE)</f>
        <v>CalcInfo</v>
      </c>
    </row>
    <row r="55" spans="1:12" x14ac:dyDescent="0.25">
      <c r="A55" s="25" t="s">
        <v>809</v>
      </c>
      <c r="B55" t="str">
        <f>VLOOKUP(A55,Lcode_mapping!D:T,1,FALSE)</f>
        <v>AXO CONT</v>
      </c>
      <c r="C55" t="str">
        <f>VLOOKUP($A55,Lcode_mapping!$D:$T,15,FALSE)</f>
        <v>Cal-AxisOffset</v>
      </c>
      <c r="D55" t="str">
        <f>VLOOKUP($A55,Lcode_mapping!$D:$T,7,FALSE)</f>
        <v>New Axis Offset Contributions</v>
      </c>
      <c r="E55" t="str">
        <f>VLOOKUP($A55,Lcode_mapping!$D:$T,17,FALSE)</f>
        <v>-</v>
      </c>
      <c r="H55" t="str">
        <f t="shared" si="3"/>
        <v>AXO CONT</v>
      </c>
      <c r="I55" t="str">
        <f t="shared" si="4"/>
        <v>Cal-AxisOffset</v>
      </c>
      <c r="J55" t="str">
        <f t="shared" si="5"/>
        <v>New Axis Offset Contributions</v>
      </c>
      <c r="K55" t="str">
        <f>VLOOKUP($A55,Lcode_mapping!$D:$T,12,FALSE)</f>
        <v>-</v>
      </c>
      <c r="L55" t="str">
        <f>VLOOKUP($A55,Lcode_mapping!$D:$T,13,FALSE)</f>
        <v>Cal-AxisOffset</v>
      </c>
    </row>
    <row r="56" spans="1:12" x14ac:dyDescent="0.25">
      <c r="A56" s="25" t="s">
        <v>615</v>
      </c>
      <c r="B56" t="str">
        <f>VLOOKUP(A56,Lcode_mapping!D:T,1,FALSE)</f>
        <v>AXO MESS</v>
      </c>
      <c r="C56" t="str">
        <f>VLOOKUP($A56,Lcode_mapping!$D:$T,15,FALSE)</f>
        <v>AxisOffsetMessage</v>
      </c>
      <c r="D56" t="str">
        <f>VLOOKUP($A56,Lcode_mapping!$D:$T,7,FALSE)</f>
        <v>Axis Offset Message Definition</v>
      </c>
      <c r="E56" t="str">
        <f>VLOOKUP($A56,Lcode_mapping!$D:$T,17,FALSE)</f>
        <v>-</v>
      </c>
      <c r="H56" t="str">
        <f t="shared" si="3"/>
        <v>AXO MESS</v>
      </c>
      <c r="I56" t="str">
        <f t="shared" si="4"/>
        <v>AxisOffsetMessage</v>
      </c>
      <c r="J56" t="str">
        <f t="shared" si="5"/>
        <v>Axis Offset Message Definition</v>
      </c>
      <c r="K56" t="str">
        <f>VLOOKUP($A56,Lcode_mapping!$D:$T,12,FALSE)</f>
        <v>Solve</v>
      </c>
      <c r="L56" t="str">
        <f>VLOOKUP($A56,Lcode_mapping!$D:$T,13,FALSE)</f>
        <v>CalcInfo</v>
      </c>
    </row>
    <row r="57" spans="1:12" x14ac:dyDescent="0.25">
      <c r="A57" s="25" t="s">
        <v>807</v>
      </c>
      <c r="B57" t="str">
        <f>VLOOKUP(A57,Lcode_mapping!D:T,1,FALSE)</f>
        <v>AXO PART</v>
      </c>
      <c r="C57" t="str">
        <f>VLOOKUP($A57,Lcode_mapping!$D:$T,15,FALSE)</f>
        <v>Part-AxisOffset</v>
      </c>
      <c r="D57" t="str">
        <f>VLOOKUP($A57,Lcode_mapping!$D:$T,7,FALSE)</f>
        <v>Axis Offset partial deriv. def.</v>
      </c>
      <c r="E57" t="str">
        <f>VLOOKUP($A57,Lcode_mapping!$D:$T,17,FALSE)</f>
        <v>-</v>
      </c>
      <c r="H57" t="str">
        <f t="shared" si="3"/>
        <v>AXO PART</v>
      </c>
      <c r="I57" t="str">
        <f t="shared" si="4"/>
        <v>Part-AxisOffset</v>
      </c>
      <c r="J57" t="str">
        <f t="shared" si="5"/>
        <v>Axis Offset partial deriv. def.</v>
      </c>
      <c r="K57" t="str">
        <f>VLOOKUP($A57,Lcode_mapping!$D:$T,12,FALSE)</f>
        <v>-</v>
      </c>
      <c r="L57" t="str">
        <f>VLOOKUP($A57,Lcode_mapping!$D:$T,13,FALSE)</f>
        <v>Part-AxisOffset</v>
      </c>
    </row>
    <row r="58" spans="1:12" x14ac:dyDescent="0.25">
      <c r="A58" s="25" t="s">
        <v>805</v>
      </c>
      <c r="B58" t="str">
        <f>VLOOKUP(A58,Lcode_mapping!D:T,1,FALSE)</f>
        <v>AZ-THEO</v>
      </c>
      <c r="C58" t="str">
        <f>VLOOKUP($A58,Lcode_mapping!$D:$T,15,FALSE)</f>
        <v>AzTheo</v>
      </c>
      <c r="D58" t="str">
        <f>VLOOKUP($A58,Lcode_mapping!$D:$T,7,FALSE)</f>
        <v>Azimuth array definition</v>
      </c>
      <c r="E58" t="str">
        <f>VLOOKUP($A58,Lcode_mapping!$D:$T,17,FALSE)</f>
        <v>-</v>
      </c>
      <c r="H58" t="str">
        <f t="shared" si="3"/>
        <v>AZ-THEO</v>
      </c>
      <c r="I58" t="str">
        <f t="shared" si="4"/>
        <v>AzTheo</v>
      </c>
      <c r="J58" t="str">
        <f t="shared" si="5"/>
        <v>Azimuth array definition</v>
      </c>
      <c r="K58" t="str">
        <f>VLOOKUP($A58,Lcode_mapping!$D:$T,12,FALSE)</f>
        <v>-</v>
      </c>
      <c r="L58" t="str">
        <f>VLOOKUP($A58,Lcode_mapping!$D:$T,13,FALSE)</f>
        <v>AzEl</v>
      </c>
    </row>
    <row r="59" spans="1:12" x14ac:dyDescent="0.25">
      <c r="A59" s="25" t="s">
        <v>11</v>
      </c>
      <c r="B59" t="str">
        <f>VLOOKUP(A59,Lcode_mapping!D:T,1,FALSE)</f>
        <v>BAROCALS</v>
      </c>
      <c r="C59" t="str">
        <f>VLOOKUP($A59,Lcode_mapping!$D:$T,15,FALSE)</f>
        <v>-</v>
      </c>
      <c r="D59" t="str">
        <f>VLOOKUP($A59,Lcode_mapping!$D:$T,7,FALSE)</f>
        <v>Baro offset (mbar) and Ht. (m)</v>
      </c>
      <c r="E59" t="str">
        <f>VLOOKUP($A59,Lcode_mapping!$D:$T,17,FALSE)</f>
        <v>-</v>
      </c>
      <c r="H59" t="str">
        <f t="shared" si="3"/>
        <v>BAROCALS</v>
      </c>
      <c r="I59" t="str">
        <f t="shared" si="4"/>
        <v>BAROCALS</v>
      </c>
      <c r="J59" t="str">
        <f t="shared" si="5"/>
        <v>Baro offset (mbar) and Ht. (m)</v>
      </c>
      <c r="K59" t="str">
        <f>VLOOKUP($A59,Lcode_mapping!$D:$T,12,FALSE)</f>
        <v>OBSOLETE</v>
      </c>
      <c r="L59" t="str">
        <f>VLOOKUP($A59,Lcode_mapping!$D:$T,13,FALSE)</f>
        <v>-</v>
      </c>
    </row>
    <row r="60" spans="1:12" x14ac:dyDescent="0.25">
      <c r="A60" s="25" t="s">
        <v>13</v>
      </c>
      <c r="B60" t="str">
        <f>VLOOKUP(A60,Lcode_mapping!D:T,1,FALSE)</f>
        <v>BARONAME</v>
      </c>
      <c r="C60" t="str">
        <f>VLOOKUP($A60,Lcode_mapping!$D:$T,15,FALSE)</f>
        <v>-</v>
      </c>
      <c r="D60" t="str">
        <f>VLOOKUP($A60,Lcode_mapping!$D:$T,7,FALSE)</f>
        <v>Names for barometer calibrations</v>
      </c>
      <c r="E60" t="str">
        <f>VLOOKUP($A60,Lcode_mapping!$D:$T,17,FALSE)</f>
        <v>-</v>
      </c>
      <c r="H60" t="str">
        <f t="shared" si="3"/>
        <v>BARONAME</v>
      </c>
      <c r="I60" t="str">
        <f t="shared" si="4"/>
        <v>BARONAME</v>
      </c>
      <c r="J60" t="str">
        <f t="shared" si="5"/>
        <v>Names for barometer calibrations</v>
      </c>
      <c r="K60" t="str">
        <f>VLOOKUP($A60,Lcode_mapping!$D:$T,12,FALSE)</f>
        <v>OBSOLETE</v>
      </c>
      <c r="L60" t="str">
        <f>VLOOKUP($A60,Lcode_mapping!$D:$T,13,FALSE)</f>
        <v>-</v>
      </c>
    </row>
    <row r="61" spans="1:12" x14ac:dyDescent="0.25">
      <c r="A61" s="25" t="s">
        <v>1212</v>
      </c>
      <c r="B61" t="str">
        <f>VLOOKUP(A61,Lcode_mapping!D:T,1,FALSE)</f>
        <v>BASCLCKS</v>
      </c>
      <c r="C61" t="str">
        <f>VLOOKUP($A61,Lcode_mapping!$D:$T,15,FALSE)</f>
        <v>BaselineClockList</v>
      </c>
      <c r="D61" t="str">
        <f>VLOOKUP($A61,Lcode_mapping!$D:$T,7,FALSE)</f>
        <v>Baseline-dependent-clock flags</v>
      </c>
      <c r="E61" t="str">
        <f>VLOOKUP($A61,Lcode_mapping!$D:$T,17,FALSE)</f>
        <v>List of baseline dependent clocks</v>
      </c>
      <c r="H61" t="str">
        <f t="shared" si="3"/>
        <v>BASCLCKS</v>
      </c>
      <c r="I61" t="str">
        <f t="shared" si="4"/>
        <v>BaselineClockList</v>
      </c>
      <c r="J61" t="str">
        <f t="shared" si="5"/>
        <v>List of baseline dependent clocks</v>
      </c>
      <c r="K61" t="str">
        <f>VLOOKUP($A61,Lcode_mapping!$D:$T,12,FALSE)</f>
        <v>Solve</v>
      </c>
      <c r="L61" t="str">
        <f>VLOOKUP($A61,Lcode_mapping!$D:$T,13,FALSE)</f>
        <v>BaselineClockSetup</v>
      </c>
    </row>
    <row r="62" spans="1:12" x14ac:dyDescent="0.25">
      <c r="A62" s="25" t="s">
        <v>974</v>
      </c>
      <c r="B62" t="str">
        <f>VLOOKUP(A62,Lcode_mapping!D:T,1,FALSE)</f>
        <v>BASELINE</v>
      </c>
      <c r="C62" t="str">
        <f>VLOOKUP($A62,Lcode_mapping!$D:$T,15,FALSE)</f>
        <v>Baseline</v>
      </c>
      <c r="D62" t="str">
        <f>VLOOKUP($A62,Lcode_mapping!$D:$T,7,FALSE)</f>
        <v>Ref and rem site names.</v>
      </c>
      <c r="E62" t="str">
        <f>VLOOKUP($A62,Lcode_mapping!$D:$T,17,FALSE)</f>
        <v>-</v>
      </c>
      <c r="H62" t="str">
        <f t="shared" si="3"/>
        <v>BASELINE</v>
      </c>
      <c r="I62" t="str">
        <f t="shared" si="4"/>
        <v>Baseline</v>
      </c>
      <c r="J62" t="str">
        <f t="shared" si="5"/>
        <v>Ref and rem site names.</v>
      </c>
      <c r="K62" t="str">
        <f>VLOOKUP($A62,Lcode_mapping!$D:$T,12,FALSE)</f>
        <v>Observables</v>
      </c>
      <c r="L62" t="str">
        <f>VLOOKUP($A62,Lcode_mapping!$D:$T,13,FALSE)</f>
        <v>Baseline</v>
      </c>
    </row>
    <row r="63" spans="1:12" x14ac:dyDescent="0.25">
      <c r="A63" s="25" t="s">
        <v>572</v>
      </c>
      <c r="B63" t="str">
        <f>VLOOKUP(A63,Lcode_mapping!D:T,1,FALSE)</f>
        <v>BASLSTAT</v>
      </c>
      <c r="C63" t="str">
        <f>VLOOKUP($A63,Lcode_mapping!$D:$T,15,FALSE)</f>
        <v>BaselineSelectionFlag</v>
      </c>
      <c r="D63" t="str">
        <f>VLOOKUP($A63,Lcode_mapping!$D:$T,7,FALSE)</f>
        <v>Baselines selection status</v>
      </c>
      <c r="E63" t="str">
        <f>VLOOKUP($A63,Lcode_mapping!$D:$T,17,FALSE)</f>
        <v>Baseline selection bit maped array. 1=some obs, etc.</v>
      </c>
      <c r="H63" t="str">
        <f t="shared" si="3"/>
        <v>BASLSTAT</v>
      </c>
      <c r="I63" t="str">
        <f t="shared" si="4"/>
        <v>BaselineSelectionFlag</v>
      </c>
      <c r="J63" t="str">
        <f t="shared" si="5"/>
        <v>Baseline selection bit maped array. 1=some obs, etc.</v>
      </c>
      <c r="K63" t="str">
        <f>VLOOKUP($A63,Lcode_mapping!$D:$T,12,FALSE)</f>
        <v>Solve</v>
      </c>
      <c r="L63" t="str">
        <f>VLOOKUP($A63,Lcode_mapping!$D:$T,13,FALSE)</f>
        <v>SelectionStatus</v>
      </c>
    </row>
    <row r="64" spans="1:12" x14ac:dyDescent="0.25">
      <c r="A64" s="25" t="s">
        <v>706</v>
      </c>
      <c r="B64" t="str">
        <f>VLOOKUP(A64,Lcode_mapping!D:T,1,FALSE)</f>
        <v>BATCHCNT</v>
      </c>
      <c r="C64" t="str">
        <f>VLOOKUP($A64,Lcode_mapping!$D:$T,15,FALSE)</f>
        <v>-</v>
      </c>
      <c r="D64" t="str">
        <f>VLOOKUP($A64,Lcode_mapping!$D:$T,7,FALSE)</f>
        <v>Batchmode parms use flag.</v>
      </c>
      <c r="E64" t="str">
        <f>VLOOKUP($A64,Lcode_mapping!$D:$T,17,FALSE)</f>
        <v>List of baseline dependent clocks</v>
      </c>
      <c r="H64" t="str">
        <f t="shared" si="3"/>
        <v>BATCHCNT</v>
      </c>
      <c r="I64" t="str">
        <f t="shared" si="4"/>
        <v>BATCHCNT</v>
      </c>
      <c r="J64" t="str">
        <f t="shared" si="5"/>
        <v>List of baseline dependent clocks</v>
      </c>
      <c r="K64" t="str">
        <f>VLOOKUP($A64,Lcode_mapping!$D:$T,12,FALSE)</f>
        <v>OBSOLETE</v>
      </c>
      <c r="L64" t="str">
        <f>VLOOKUP($A64,Lcode_mapping!$D:$T,13,FALSE)</f>
        <v>-</v>
      </c>
    </row>
    <row r="65" spans="1:12" x14ac:dyDescent="0.25">
      <c r="A65" s="25" t="s">
        <v>944</v>
      </c>
      <c r="B65" t="str">
        <f>VLOOKUP(A65,Lcode_mapping!D:T,1,FALSE)</f>
        <v>BBC IND</v>
      </c>
      <c r="C65" t="str">
        <f>VLOOKUP($A65,Lcode_mapping!$D:$T,15,FALSE)</f>
        <v>BBCIndex</v>
      </c>
      <c r="D65" t="str">
        <f>VLOOKUP($A65,Lcode_mapping!$D:$T,7,FALSE)</f>
        <v>Physical BBC number by channel.</v>
      </c>
      <c r="E65" t="str">
        <f>VLOOKUP($A65,Lcode_mapping!$D:$T,17,FALSE)</f>
        <v>-</v>
      </c>
      <c r="H65" t="str">
        <f t="shared" si="3"/>
        <v>BBC IND</v>
      </c>
      <c r="I65" t="str">
        <f t="shared" si="4"/>
        <v>BBCIndex</v>
      </c>
      <c r="J65" t="str">
        <f t="shared" si="5"/>
        <v>Physical BBC number by channel.</v>
      </c>
      <c r="K65" t="str">
        <f>VLOOKUP($A65,Lcode_mapping!$D:$T,12,FALSE)</f>
        <v>Observables</v>
      </c>
      <c r="L65" t="str">
        <f>VLOOKUP($A65,Lcode_mapping!$D:$T,13,FALSE)</f>
        <v>CorrInfo_bX</v>
      </c>
    </row>
    <row r="66" spans="1:12" x14ac:dyDescent="0.25">
      <c r="A66" s="25" t="s">
        <v>872</v>
      </c>
      <c r="B66" t="str">
        <f>VLOOKUP(A66,Lcode_mapping!D:T,1,FALSE)</f>
        <v>BENDPART</v>
      </c>
      <c r="C66" t="str">
        <f>VLOOKUP($A66,Lcode_mapping!$D:$T,15,FALSE)</f>
        <v>Part-Bend</v>
      </c>
      <c r="D66" t="str">
        <f>VLOOKUP($A66,Lcode_mapping!$D:$T,7,FALSE)</f>
        <v>Grav. bend. partial w.r.t. Gamma</v>
      </c>
      <c r="E66" t="str">
        <f>VLOOKUP($A66,Lcode_mapping!$D:$T,17,FALSE)</f>
        <v>-</v>
      </c>
      <c r="H66" t="str">
        <f t="shared" si="3"/>
        <v>BENDPART</v>
      </c>
      <c r="I66" t="str">
        <f t="shared" si="4"/>
        <v>Part-Bend</v>
      </c>
      <c r="J66" t="str">
        <f t="shared" si="5"/>
        <v>Grav. bend. partial w.r.t. Gamma</v>
      </c>
      <c r="K66" t="str">
        <f>VLOOKUP($A66,Lcode_mapping!$D:$T,12,FALSE)</f>
        <v>ObsPart</v>
      </c>
      <c r="L66" t="str">
        <f>VLOOKUP($A66,Lcode_mapping!$D:$T,13,FALSE)</f>
        <v>Part-Bend</v>
      </c>
    </row>
    <row r="67" spans="1:12" x14ac:dyDescent="0.25">
      <c r="A67" s="25" t="s">
        <v>1568</v>
      </c>
      <c r="B67" t="str">
        <f>VLOOKUP(A67,Lcode_mapping!D:T,1,FALSE)</f>
        <v>BITSAMPL</v>
      </c>
      <c r="C67" t="str">
        <f>VLOOKUP($A67,Lcode_mapping!$D:$T,15,FALSE)</f>
        <v>-</v>
      </c>
      <c r="D67" t="str">
        <f>VLOOKUP($A67,Lcode_mapping!$D:$T,7,FALSE)</f>
        <v xml:space="preserve">Number of bits per sample. </v>
      </c>
      <c r="E67" t="str">
        <f>VLOOKUP($A67,Lcode_mapping!$D:$T,17,FALSE)</f>
        <v>-</v>
      </c>
      <c r="H67" t="str">
        <f t="shared" si="3"/>
        <v>BITSAMPL</v>
      </c>
      <c r="I67" t="str">
        <f t="shared" si="4"/>
        <v>BITSAMPL</v>
      </c>
      <c r="J67" t="str">
        <f t="shared" si="5"/>
        <v xml:space="preserve">Number of bits per sample. </v>
      </c>
      <c r="K67" t="str">
        <f>VLOOKUP($A67,Lcode_mapping!$D:$T,12,FALSE)</f>
        <v>Observables</v>
      </c>
      <c r="L67" t="str">
        <f>VLOOKUP($A67,Lcode_mapping!$D:$T,13,FALSE)</f>
        <v>CorrInfo_bX</v>
      </c>
    </row>
    <row r="68" spans="1:12" x14ac:dyDescent="0.25">
      <c r="A68" s="25" t="s">
        <v>698</v>
      </c>
      <c r="B68" t="str">
        <f>VLOOKUP(A68,Lcode_mapping!D:T,1,FALSE)</f>
        <v>BLDEPCKS</v>
      </c>
      <c r="C68" t="str">
        <f>VLOOKUP($A68,Lcode_mapping!$D:$T,15,FALSE)</f>
        <v>BaselineClockList</v>
      </c>
      <c r="D68" t="str">
        <f>VLOOKUP($A68,Lcode_mapping!$D:$T,7,FALSE)</f>
        <v>Bl-dependent clock list</v>
      </c>
      <c r="E68" t="str">
        <f>VLOOKUP($A68,Lcode_mapping!$D:$T,17,FALSE)</f>
        <v>-</v>
      </c>
      <c r="H68" t="str">
        <f t="shared" si="3"/>
        <v>BLDEPCKS</v>
      </c>
      <c r="I68" t="str">
        <f t="shared" si="4"/>
        <v>BaselineClockList</v>
      </c>
      <c r="J68" t="str">
        <f t="shared" si="5"/>
        <v>Bl-dependent clock list</v>
      </c>
      <c r="K68" t="str">
        <f>VLOOKUP($A68,Lcode_mapping!$D:$T,12,FALSE)</f>
        <v>Solve</v>
      </c>
      <c r="L68" t="str">
        <f>VLOOKUP($A68,Lcode_mapping!$D:$T,13,FALSE)</f>
        <v>BaselineClockSetup</v>
      </c>
    </row>
    <row r="69" spans="1:12" x14ac:dyDescent="0.25">
      <c r="A69" s="25" t="s">
        <v>533</v>
      </c>
      <c r="B69" t="str">
        <f>VLOOKUP(A69,Lcode_mapping!D:T,1,FALSE)</f>
        <v>BRK_EPOC</v>
      </c>
      <c r="C69" t="str">
        <f>VLOOKUP($A69,Lcode_mapping!$D:$T,15,FALSE)</f>
        <v>ClockBreakEpoch</v>
      </c>
      <c r="D69" t="str">
        <f>VLOOKUP($A69,Lcode_mapping!$D:$T,7,FALSE)</f>
        <v>Batchmode clock break epochs</v>
      </c>
      <c r="E69" t="str">
        <f>VLOOKUP($A69,Lcode_mapping!$D:$T,17,FALSE)</f>
        <v>-</v>
      </c>
      <c r="H69" t="str">
        <f t="shared" si="3"/>
        <v>BRK_EPOC</v>
      </c>
      <c r="I69" t="str">
        <f t="shared" si="4"/>
        <v>ClockBreakEpoch</v>
      </c>
      <c r="J69" t="str">
        <f t="shared" si="5"/>
        <v>Batchmode clock break epochs</v>
      </c>
      <c r="K69" t="str">
        <f>VLOOKUP($A69,Lcode_mapping!$D:$T,12,FALSE)</f>
        <v>Session</v>
      </c>
      <c r="L69" t="str">
        <f>VLOOKUP($A69,Lcode_mapping!$D:$T,13,FALSE)</f>
        <v>ClockBreak</v>
      </c>
    </row>
    <row r="70" spans="1:12" x14ac:dyDescent="0.25">
      <c r="A70" s="25" t="s">
        <v>570</v>
      </c>
      <c r="B70" t="str">
        <f>VLOOKUP(A70,Lcode_mapping!D:T,1,FALSE)</f>
        <v>BRK_FLAG</v>
      </c>
      <c r="C70" t="str">
        <f>VLOOKUP($A70,Lcode_mapping!$D:$T,15,FALSE)</f>
        <v>ClockBreakFlag</v>
      </c>
      <c r="D70" t="str">
        <f>VLOOKUP($A70,Lcode_mapping!$D:$T,7,FALSE)</f>
        <v>Batchmode clock break flags</v>
      </c>
      <c r="E70" t="str">
        <f>VLOOKUP($A70,Lcode_mapping!$D:$T,17,FALSE)</f>
        <v>-</v>
      </c>
      <c r="H70" t="str">
        <f t="shared" si="3"/>
        <v>BRK_FLAG</v>
      </c>
      <c r="I70" t="str">
        <f t="shared" si="4"/>
        <v>ClockBreakFlag</v>
      </c>
      <c r="J70" t="str">
        <f t="shared" si="5"/>
        <v>Batchmode clock break flags</v>
      </c>
      <c r="K70" t="str">
        <f>VLOOKUP($A70,Lcode_mapping!$D:$T,12,FALSE)</f>
        <v>Session</v>
      </c>
      <c r="L70" t="str">
        <f>VLOOKUP($A70,Lcode_mapping!$D:$T,13,FALSE)</f>
        <v>ClockBreak</v>
      </c>
    </row>
    <row r="71" spans="1:12" x14ac:dyDescent="0.25">
      <c r="A71" s="25" t="s">
        <v>568</v>
      </c>
      <c r="B71" t="str">
        <f>VLOOKUP(A71,Lcode_mapping!D:T,1,FALSE)</f>
        <v>BRK_NUMB</v>
      </c>
      <c r="C71" t="str">
        <f>VLOOKUP($A71,Lcode_mapping!$D:$T,15,FALSE)</f>
        <v>-</v>
      </c>
      <c r="D71" t="str">
        <f>VLOOKUP($A71,Lcode_mapping!$D:$T,7,FALSE)</f>
        <v>Number of batchmode clock breaks</v>
      </c>
      <c r="E71" t="str">
        <f>VLOOKUP($A71,Lcode_mapping!$D:$T,17,FALSE)</f>
        <v>-</v>
      </c>
      <c r="H71" t="str">
        <f t="shared" si="3"/>
        <v>BRK_NUMB</v>
      </c>
      <c r="I71" t="str">
        <f t="shared" si="4"/>
        <v>BRK_NUMB</v>
      </c>
      <c r="J71" t="str">
        <f t="shared" si="5"/>
        <v>Number of batchmode clock breaks</v>
      </c>
      <c r="K71" t="str">
        <f>VLOOKUP($A71,Lcode_mapping!$D:$T,12,FALSE)</f>
        <v>Session</v>
      </c>
      <c r="L71" t="str">
        <f>VLOOKUP($A71,Lcode_mapping!$D:$T,13,FALSE)</f>
        <v>ClockBreak</v>
      </c>
    </row>
    <row r="72" spans="1:12" x14ac:dyDescent="0.25">
      <c r="A72" s="25" t="s">
        <v>15</v>
      </c>
      <c r="B72" t="str">
        <f>VLOOKUP(A72,Lcode_mapping!D:T,1,FALSE)</f>
        <v>BRK_SITE</v>
      </c>
      <c r="C72" t="str">
        <f>VLOOKUP($A72,Lcode_mapping!$D:$T,15,FALSE)</f>
        <v>ClockBreakStationList</v>
      </c>
      <c r="D72" t="str">
        <f>VLOOKUP($A72,Lcode_mapping!$D:$T,7,FALSE)</f>
        <v>Sites with real clock breaks</v>
      </c>
      <c r="E72" t="str">
        <f>VLOOKUP($A72,Lcode_mapping!$D:$T,17,FALSE)</f>
        <v>-</v>
      </c>
      <c r="H72" t="str">
        <f t="shared" si="3"/>
        <v>BRK_SITE</v>
      </c>
      <c r="I72" t="str">
        <f t="shared" si="4"/>
        <v>ClockBreakStationList</v>
      </c>
      <c r="J72" t="str">
        <f t="shared" si="5"/>
        <v>Sites with real clock breaks</v>
      </c>
      <c r="K72" t="str">
        <f>VLOOKUP($A72,Lcode_mapping!$D:$T,12,FALSE)</f>
        <v>Session</v>
      </c>
      <c r="L72" t="str">
        <f>VLOOKUP($A72,Lcode_mapping!$D:$T,13,FALSE)</f>
        <v>ClockBreak</v>
      </c>
    </row>
    <row r="73" spans="1:12" x14ac:dyDescent="0.25">
      <c r="A73" s="25" t="s">
        <v>712</v>
      </c>
      <c r="B73" t="str">
        <f>VLOOKUP(A73,Lcode_mapping!D:T,1,FALSE)</f>
        <v>BRK_SNAM</v>
      </c>
      <c r="C73" t="str">
        <f>VLOOKUP($A73,Lcode_mapping!$D:$T,15,FALSE)</f>
        <v>ClockBreakStationList</v>
      </c>
      <c r="D73" t="str">
        <f>VLOOKUP($A73,Lcode_mapping!$D:$T,7,FALSE)</f>
        <v>Batchmode clock break stations</v>
      </c>
      <c r="E73" t="str">
        <f>VLOOKUP($A73,Lcode_mapping!$D:$T,17,FALSE)</f>
        <v>-</v>
      </c>
      <c r="H73" t="str">
        <f t="shared" si="3"/>
        <v>BRK_SNAM</v>
      </c>
      <c r="I73" t="str">
        <f t="shared" si="4"/>
        <v>ClockBreakStationList</v>
      </c>
      <c r="J73" t="str">
        <f t="shared" si="5"/>
        <v>Batchmode clock break stations</v>
      </c>
      <c r="K73" t="str">
        <f>VLOOKUP($A73,Lcode_mapping!$D:$T,12,FALSE)</f>
        <v>Session</v>
      </c>
      <c r="L73" t="str">
        <f>VLOOKUP($A73,Lcode_mapping!$D:$T,13,FALSE)</f>
        <v>ClockBreak</v>
      </c>
    </row>
    <row r="74" spans="1:12" x14ac:dyDescent="0.25">
      <c r="A74" s="25" t="s">
        <v>1213</v>
      </c>
      <c r="B74" t="str">
        <f>VLOOKUP(A74,Lcode_mapping!D:T,1,FALSE)</f>
        <v>BRK_STAT</v>
      </c>
      <c r="C74" t="str">
        <f>VLOOKUP($A74,Lcode_mapping!$D:$T,15,FALSE)</f>
        <v>ClockBreakStationList</v>
      </c>
      <c r="D74" t="str">
        <f>VLOOKUP($A74,Lcode_mapping!$D:$T,7,FALSE)</f>
        <v>Batchmode clock break stations</v>
      </c>
      <c r="E74" t="str">
        <f>VLOOKUP($A74,Lcode_mapping!$D:$T,17,FALSE)</f>
        <v>-</v>
      </c>
      <c r="H74" t="str">
        <f t="shared" si="3"/>
        <v>BRK_STAT</v>
      </c>
      <c r="I74" t="str">
        <f t="shared" si="4"/>
        <v>ClockBreakStationList</v>
      </c>
      <c r="J74" t="str">
        <f t="shared" si="5"/>
        <v>Batchmode clock break stations</v>
      </c>
      <c r="K74" t="str">
        <f>VLOOKUP($A74,Lcode_mapping!$D:$T,12,FALSE)</f>
        <v>Session</v>
      </c>
      <c r="L74" t="str">
        <f>VLOOKUP($A74,Lcode_mapping!$D:$T,13,FALSE)</f>
        <v>ClockBreak</v>
      </c>
    </row>
    <row r="75" spans="1:12" x14ac:dyDescent="0.25">
      <c r="A75" s="25" t="s">
        <v>46</v>
      </c>
      <c r="B75" t="str">
        <f>VLOOKUP(A75,Lcode_mapping!D:T,1,FALSE)</f>
        <v>BRT TEMP</v>
      </c>
      <c r="C75" t="str">
        <f>VLOOKUP($A75,Lcode_mapping!$D:$T,15,FALSE)</f>
        <v>WVRTemp</v>
      </c>
      <c r="D75" t="str">
        <f>VLOOKUP($A75,Lcode_mapping!$D:$T,7,FALSE)</f>
        <v>BRT TEMP (K) OF WVR ,F1,F2.</v>
      </c>
      <c r="E75" t="str">
        <f>VLOOKUP($A75,Lcode_mapping!$D:$T,17,FALSE)</f>
        <v>-</v>
      </c>
      <c r="H75" t="str">
        <f t="shared" si="3"/>
        <v>BRT TEMP</v>
      </c>
      <c r="I75" t="str">
        <f t="shared" si="4"/>
        <v>WVRTemp</v>
      </c>
      <c r="J75" t="str">
        <f t="shared" si="5"/>
        <v>BRT TEMP (K) OF WVR ,F1,F2.</v>
      </c>
      <c r="K75" t="str">
        <f>VLOOKUP($A75,Lcode_mapping!$D:$T,12,FALSE)</f>
        <v>-</v>
      </c>
      <c r="L75" t="str">
        <f>VLOOKUP($A75,Lcode_mapping!$D:$T,13,FALSE)</f>
        <v>WVR</v>
      </c>
    </row>
    <row r="76" spans="1:12" x14ac:dyDescent="0.25">
      <c r="A76" s="25" t="s">
        <v>884</v>
      </c>
      <c r="B76" t="str">
        <f>VLOOKUP(A76,Lcode_mapping!D:T,1,FALSE)</f>
        <v>CABL DEL</v>
      </c>
      <c r="C76" t="str">
        <f>VLOOKUP($A76,Lcode_mapping!$D:$T,15,FALSE)</f>
        <v>Cal-Cable</v>
      </c>
      <c r="D76" t="str">
        <f>VLOOKUP($A76,Lcode_mapping!$D:$T,7,FALSE)</f>
        <v>Cable calibration data</v>
      </c>
      <c r="E76" t="str">
        <f>VLOOKUP($A76,Lcode_mapping!$D:$T,17,FALSE)</f>
        <v>-</v>
      </c>
      <c r="H76" t="str">
        <f t="shared" si="3"/>
        <v>CABL DEL</v>
      </c>
      <c r="I76" t="str">
        <f t="shared" si="4"/>
        <v>Cal-Cable</v>
      </c>
      <c r="J76" t="str">
        <f t="shared" si="5"/>
        <v>Cable calibration data</v>
      </c>
      <c r="K76" t="str">
        <f>VLOOKUP($A76,Lcode_mapping!$D:$T,12,FALSE)</f>
        <v>-</v>
      </c>
      <c r="L76" t="str">
        <f>VLOOKUP($A76,Lcode_mapping!$D:$T,13,FALSE)</f>
        <v>Cal-Cable</v>
      </c>
    </row>
    <row r="77" spans="1:12" x14ac:dyDescent="0.25">
      <c r="A77" s="25" t="s">
        <v>578</v>
      </c>
      <c r="B77" t="str">
        <f>VLOOKUP(A77,Lcode_mapping!D:T,1,FALSE)</f>
        <v>CAL FLGS</v>
      </c>
      <c r="C77" t="str">
        <f>VLOOKUP($A77,Lcode_mapping!$D:$T,15,FALSE)</f>
        <v>StatCalFlag</v>
      </c>
      <c r="D77" t="str">
        <f>VLOOKUP($A77,Lcode_mapping!$D:$T,7,FALSE)</f>
        <v>Standard cal configuration</v>
      </c>
      <c r="E77" t="str">
        <f>VLOOKUP($A77,Lcode_mapping!$D:$T,17,FALSE)</f>
        <v>Bit set indicate that calibration is recommended.</v>
      </c>
      <c r="H77" t="str">
        <f t="shared" si="3"/>
        <v>CAL FLGS</v>
      </c>
      <c r="I77" t="str">
        <f t="shared" si="4"/>
        <v>StatCalFlag</v>
      </c>
      <c r="J77" t="str">
        <f t="shared" si="5"/>
        <v>Bit set indicate that calibration is recommended.</v>
      </c>
      <c r="K77" t="str">
        <f>VLOOKUP($A77,Lcode_mapping!$D:$T,12,FALSE)</f>
        <v>Solve</v>
      </c>
      <c r="L77" t="str">
        <f>VLOOKUP($A77,Lcode_mapping!$D:$T,13,FALSE)</f>
        <v>CalibrationSetup</v>
      </c>
    </row>
    <row r="78" spans="1:12" x14ac:dyDescent="0.25">
      <c r="A78" s="25" t="s">
        <v>718</v>
      </c>
      <c r="B78" t="str">
        <f>VLOOKUP(A78,Lcode_mapping!D:T,1,FALSE)</f>
        <v>CAL LIST</v>
      </c>
      <c r="C78" t="str">
        <f>VLOOKUP($A78,Lcode_mapping!$D:$T,15,FALSE)</f>
        <v>StatCalList</v>
      </c>
      <c r="D78" t="str">
        <f>VLOOKUP($A78,Lcode_mapping!$D:$T,7,FALSE)</f>
        <v>Key to the standard cal config</v>
      </c>
      <c r="E78" t="str">
        <f>VLOOKUP($A78,Lcode_mapping!$D:$T,17,FALSE)</f>
        <v>Station depedendent calibratipns (Cable, Phase,  etc…)</v>
      </c>
      <c r="H78" t="str">
        <f t="shared" si="3"/>
        <v>CAL LIST</v>
      </c>
      <c r="I78" t="str">
        <f t="shared" si="4"/>
        <v>StatCalList</v>
      </c>
      <c r="J78" t="str">
        <f t="shared" si="5"/>
        <v>Station depedendent calibratipns (Cable, Phase,  etc…)</v>
      </c>
      <c r="K78" t="str">
        <f>VLOOKUP($A78,Lcode_mapping!$D:$T,12,FALSE)</f>
        <v>Solve</v>
      </c>
      <c r="L78" t="str">
        <f>VLOOKUP($A78,Lcode_mapping!$D:$T,13,FALSE)</f>
        <v>CalibrationSetup</v>
      </c>
    </row>
    <row r="79" spans="1:12" x14ac:dyDescent="0.25">
      <c r="A79" s="25" t="s">
        <v>946</v>
      </c>
      <c r="B79" t="str">
        <f>VLOOKUP(A79,Lcode_mapping!D:T,1,FALSE)</f>
        <v>CALBYFRQ</v>
      </c>
      <c r="C79" t="str">
        <f>VLOOKUP($A79,Lcode_mapping!$D:$T,15,FALSE)</f>
        <v>PhaseCalAmpPhase</v>
      </c>
      <c r="D79" t="str">
        <f>VLOOKUP($A79,Lcode_mapping!$D:$T,7,FALSE)</f>
        <v>PC amp phs frq by sta channel.</v>
      </c>
      <c r="E79" t="str">
        <f>VLOOKUP($A79,Lcode_mapping!$D:$T,17,FALSE)</f>
        <v>-</v>
      </c>
      <c r="H79" t="str">
        <f t="shared" si="3"/>
        <v>CALBYFRQ</v>
      </c>
      <c r="I79" t="str">
        <f t="shared" si="4"/>
        <v>PhaseCalAmpPhase</v>
      </c>
      <c r="J79" t="str">
        <f t="shared" si="5"/>
        <v>PC amp phs frq by sta channel.</v>
      </c>
      <c r="K79" t="str">
        <f>VLOOKUP($A79,Lcode_mapping!$D:$T,12,FALSE)</f>
        <v>Observables</v>
      </c>
      <c r="L79" t="str">
        <f>VLOOKUP($A79,Lcode_mapping!$D:$T,13,FALSE)</f>
        <v>CorrInfo_bX</v>
      </c>
    </row>
    <row r="80" spans="1:12" x14ac:dyDescent="0.25">
      <c r="A80" s="25" t="s">
        <v>519</v>
      </c>
      <c r="B80" t="str">
        <f>VLOOKUP(A80,Lcode_mapping!D:T,1,FALSE)</f>
        <v>CALC VER</v>
      </c>
      <c r="C80" t="str">
        <f>VLOOKUP($A80,Lcode_mapping!$D:$T,15,FALSE)</f>
        <v>CalcVersion</v>
      </c>
      <c r="D80" t="str">
        <f>VLOOKUP($A80,Lcode_mapping!$D:$T,7,FALSE)</f>
        <v>CALC version number</v>
      </c>
      <c r="E80" t="str">
        <f>VLOOKUP($A80,Lcode_mapping!$D:$T,17,FALSE)</f>
        <v>-</v>
      </c>
      <c r="H80" t="str">
        <f t="shared" si="3"/>
        <v>CALC VER</v>
      </c>
      <c r="I80" t="str">
        <f t="shared" si="4"/>
        <v>CalcVersion</v>
      </c>
      <c r="J80" t="str">
        <f t="shared" si="5"/>
        <v>CALC version number</v>
      </c>
      <c r="K80" t="str">
        <f>VLOOKUP($A80,Lcode_mapping!$D:$T,12,FALSE)</f>
        <v>Solve</v>
      </c>
      <c r="L80" t="str">
        <f>VLOOKUP($A80,Lcode_mapping!$D:$T,13,FALSE)</f>
        <v>CalcInfo</v>
      </c>
    </row>
    <row r="81" spans="1:12" x14ac:dyDescent="0.25">
      <c r="A81" s="25" t="s">
        <v>685</v>
      </c>
      <c r="B81" t="str">
        <f>VLOOKUP(A81,Lcode_mapping!D:T,1,FALSE)</f>
        <v>CALCFLGN</v>
      </c>
      <c r="C81" t="str">
        <f>VLOOKUP($A81,Lcode_mapping!$D:$T,15,FALSE)</f>
        <v>CalcControlNames</v>
      </c>
      <c r="D81" t="str">
        <f>VLOOKUP($A81,Lcode_mapping!$D:$T,7,FALSE)</f>
        <v>CALC flow control flags name def</v>
      </c>
      <c r="E81" t="str">
        <f>VLOOKUP($A81,Lcode_mapping!$D:$T,17,FALSE)</f>
        <v>-</v>
      </c>
      <c r="H81" t="str">
        <f t="shared" si="3"/>
        <v>CALCFLGN</v>
      </c>
      <c r="I81" t="str">
        <f t="shared" si="4"/>
        <v>CalcControlNames</v>
      </c>
      <c r="J81" t="str">
        <f t="shared" si="5"/>
        <v>CALC flow control flags name def</v>
      </c>
      <c r="K81" t="str">
        <f>VLOOKUP($A81,Lcode_mapping!$D:$T,12,FALSE)</f>
        <v>Solve</v>
      </c>
      <c r="L81" t="str">
        <f>VLOOKUP($A81,Lcode_mapping!$D:$T,13,FALSE)</f>
        <v>CalcInfo</v>
      </c>
    </row>
    <row r="82" spans="1:12" x14ac:dyDescent="0.25">
      <c r="A82" s="25" t="s">
        <v>562</v>
      </c>
      <c r="B82" t="str">
        <f>VLOOKUP(A82,Lcode_mapping!D:T,1,FALSE)</f>
        <v>CALCFLGV</v>
      </c>
      <c r="C82" t="str">
        <f>VLOOKUP($A82,Lcode_mapping!$D:$T,15,FALSE)</f>
        <v>CalcControlValues</v>
      </c>
      <c r="D82" t="str">
        <f>VLOOKUP($A82,Lcode_mapping!$D:$T,7,FALSE)</f>
        <v>CALC flow control flags valu def</v>
      </c>
      <c r="E82" t="str">
        <f>VLOOKUP($A82,Lcode_mapping!$D:$T,17,FALSE)</f>
        <v>-</v>
      </c>
      <c r="H82" t="str">
        <f t="shared" si="3"/>
        <v>CALCFLGV</v>
      </c>
      <c r="I82" t="str">
        <f t="shared" si="4"/>
        <v>CalcControlValues</v>
      </c>
      <c r="J82" t="str">
        <f t="shared" si="5"/>
        <v>CALC flow control flags valu def</v>
      </c>
      <c r="K82" t="str">
        <f>VLOOKUP($A82,Lcode_mapping!$D:$T,12,FALSE)</f>
        <v>Solve</v>
      </c>
      <c r="L82" t="str">
        <f>VLOOKUP($A82,Lcode_mapping!$D:$T,13,FALSE)</f>
        <v>CalcInfo</v>
      </c>
    </row>
    <row r="83" spans="1:12" x14ac:dyDescent="0.25">
      <c r="A83" s="25" t="s">
        <v>716</v>
      </c>
      <c r="B83" t="str">
        <f>VLOOKUP(A83,Lcode_mapping!D:T,1,FALSE)</f>
        <v>CALSITES</v>
      </c>
      <c r="C83" t="str">
        <f>VLOOKUP($A83,Lcode_mapping!$D:$T,15,FALSE)</f>
        <v>StatCalStationList</v>
      </c>
      <c r="D83" t="str">
        <f>VLOOKUP($A83,Lcode_mapping!$D:$T,7,FALSE)</f>
        <v>List of sites for standard cal</v>
      </c>
      <c r="E83" t="str">
        <f>VLOOKUP($A83,Lcode_mapping!$D:$T,17,FALSE)</f>
        <v>-</v>
      </c>
      <c r="H83" t="str">
        <f t="shared" si="3"/>
        <v>CALSITES</v>
      </c>
      <c r="I83" t="str">
        <f t="shared" si="4"/>
        <v>StatCalStationList</v>
      </c>
      <c r="J83" t="str">
        <f t="shared" si="5"/>
        <v>List of sites for standard cal</v>
      </c>
      <c r="K83" t="str">
        <f>VLOOKUP($A83,Lcode_mapping!$D:$T,12,FALSE)</f>
        <v>Solve</v>
      </c>
      <c r="L83" t="str">
        <f>VLOOKUP($A83,Lcode_mapping!$D:$T,13,FALSE)</f>
        <v>CalibrationSetup</v>
      </c>
    </row>
    <row r="84" spans="1:12" x14ac:dyDescent="0.25">
      <c r="A84" s="25" t="s">
        <v>692</v>
      </c>
      <c r="B84" t="str">
        <f>VLOOKUP(A84,Lcode_mapping!D:T,1,FALSE)</f>
        <v>CBL SIGN</v>
      </c>
      <c r="C84" t="str">
        <f>VLOOKUP($A84,Lcode_mapping!$D:$T,15,FALSE)</f>
        <v>CableSign</v>
      </c>
      <c r="D84" t="str">
        <f>VLOOKUP($A84,Lcode_mapping!$D:$T,7,FALSE)</f>
        <v>Signs of cable cal application</v>
      </c>
      <c r="E84" t="str">
        <f>VLOOKUP($A84,Lcode_mapping!$D:$T,17,FALSE)</f>
        <v>-</v>
      </c>
      <c r="H84" t="str">
        <f t="shared" si="3"/>
        <v>CBL SIGN</v>
      </c>
      <c r="I84" t="str">
        <f t="shared" si="4"/>
        <v>CableSign</v>
      </c>
      <c r="J84" t="str">
        <f t="shared" si="5"/>
        <v>Signs of cable cal application</v>
      </c>
      <c r="K84" t="str">
        <f>VLOOKUP($A84,Lcode_mapping!$D:$T,12,FALSE)</f>
        <v>Solve</v>
      </c>
      <c r="L84" t="str">
        <f>VLOOKUP($A84,Lcode_mapping!$D:$T,13,FALSE)</f>
        <v>Misc</v>
      </c>
    </row>
    <row r="85" spans="1:12" x14ac:dyDescent="0.25">
      <c r="A85" s="25" t="s">
        <v>690</v>
      </c>
      <c r="B85" t="str">
        <f>VLOOKUP(A85,Lcode_mapping!D:T,1,FALSE)</f>
        <v>CBL STAT</v>
      </c>
      <c r="C85" t="str">
        <f>VLOOKUP($A85,Lcode_mapping!$D:$T,15,FALSE)</f>
        <v>CableStationList</v>
      </c>
      <c r="D85" t="str">
        <f>VLOOKUP($A85,Lcode_mapping!$D:$T,7,FALSE)</f>
        <v>Stations for cable sign</v>
      </c>
      <c r="E85" t="str">
        <f>VLOOKUP($A85,Lcode_mapping!$D:$T,17,FALSE)</f>
        <v>-</v>
      </c>
      <c r="H85" t="str">
        <f t="shared" si="3"/>
        <v>CBL STAT</v>
      </c>
      <c r="I85" t="str">
        <f t="shared" si="4"/>
        <v>CableStationList</v>
      </c>
      <c r="J85" t="str">
        <f t="shared" si="5"/>
        <v>Stations for cable sign</v>
      </c>
      <c r="K85" t="str">
        <f>VLOOKUP($A85,Lcode_mapping!$D:$T,12,FALSE)</f>
        <v>Solve</v>
      </c>
      <c r="L85" t="str">
        <f>VLOOKUP($A85,Lcode_mapping!$D:$T,13,FALSE)</f>
        <v>Misc</v>
      </c>
    </row>
    <row r="86" spans="1:12" x14ac:dyDescent="0.25">
      <c r="A86" s="25" t="s">
        <v>165</v>
      </c>
      <c r="B86" t="str">
        <f>VLOOKUP(A86,Lcode_mapping!D:T,1,FALSE)</f>
        <v>CC_SITES</v>
      </c>
      <c r="C86" t="str">
        <f>VLOOKUP($A86,Lcode_mapping!$D:$T,15,FALSE)</f>
        <v>ClockRateConstraintStationList</v>
      </c>
      <c r="D86" t="str">
        <f>VLOOKUP($A86,Lcode_mapping!$D:$T,7,FALSE)</f>
        <v>Site list for clocks constraints</v>
      </c>
      <c r="E86" t="str">
        <f>VLOOKUP($A86,Lcode_mapping!$D:$T,17,FALSE)</f>
        <v>-</v>
      </c>
      <c r="H86" t="str">
        <f t="shared" si="3"/>
        <v>CC_SITES</v>
      </c>
      <c r="I86" t="str">
        <f t="shared" si="4"/>
        <v>ClockRateConstraintStationList</v>
      </c>
      <c r="J86" t="str">
        <f t="shared" si="5"/>
        <v>Site list for clocks constraints</v>
      </c>
      <c r="K86" t="str">
        <f>VLOOKUP($A86,Lcode_mapping!$D:$T,12,FALSE)</f>
        <v>Solve</v>
      </c>
      <c r="L86" t="str">
        <f>VLOOKUP($A86,Lcode_mapping!$D:$T,13,FALSE)</f>
        <v>ClockSetup</v>
      </c>
    </row>
    <row r="87" spans="1:12" x14ac:dyDescent="0.25">
      <c r="A87" s="25" t="s">
        <v>1752</v>
      </c>
      <c r="B87" t="str">
        <f>VLOOKUP(A87,Lcode_mapping!D:T,1,FALSE)</f>
        <v>CCOR ERR</v>
      </c>
      <c r="C87" t="str">
        <f>VLOOKUP($A87,Lcode_mapping!$D:$T,15,FALSE)</f>
        <v>CorCofErr</v>
      </c>
      <c r="D87" t="str">
        <f>VLOOKUP($A87,Lcode_mapping!$D:$T,7,FALSE)</f>
        <v>Corr. Coeff. formal error</v>
      </c>
      <c r="E87" t="str">
        <f>VLOOKUP($A87,Lcode_mapping!$D:$T,17,FALSE)</f>
        <v>-</v>
      </c>
      <c r="H87" t="str">
        <f t="shared" si="3"/>
        <v>CCOR ERR</v>
      </c>
      <c r="I87" t="str">
        <f t="shared" si="4"/>
        <v>CorCofErr</v>
      </c>
      <c r="J87" t="str">
        <f t="shared" si="5"/>
        <v>Corr. Coeff. formal error</v>
      </c>
      <c r="K87" t="str">
        <f>VLOOKUP($A87,Lcode_mapping!$D:$T,12,FALSE)</f>
        <v>Observables</v>
      </c>
      <c r="L87" t="str">
        <f>VLOOKUP($A87,Lcode_mapping!$D:$T,13,FALSE)</f>
        <v>CorrInfo_bX</v>
      </c>
    </row>
    <row r="88" spans="1:12" x14ac:dyDescent="0.25">
      <c r="A88" s="25" t="s">
        <v>940</v>
      </c>
      <c r="B88" t="str">
        <f>VLOOKUP(A88,Lcode_mapping!D:T,1,FALSE)</f>
        <v>CF2J2K</v>
      </c>
      <c r="C88" t="str">
        <f>VLOOKUP($A88,Lcode_mapping!$D:$T,15,FALSE)</f>
        <v>Rot-CF2J2K</v>
      </c>
      <c r="D88" t="str">
        <f>VLOOKUP($A88,Lcode_mapping!$D:$T,7,FALSE)</f>
        <v>Crust-fixed-to-J2000 Rot. Matrix</v>
      </c>
      <c r="E88" t="str">
        <f>VLOOKUP($A88,Lcode_mapping!$D:$T,17,FALSE)</f>
        <v>Crust-fixed to J2000 Rot. Matrix and deriviatives</v>
      </c>
      <c r="H88" t="str">
        <f t="shared" ref="H88:H151" si="6">A88</f>
        <v>CF2J2K</v>
      </c>
      <c r="I88" t="str">
        <f t="shared" ref="I88:I151" si="7">IF(C88="-",B88,C88)</f>
        <v>Rot-CF2J2K</v>
      </c>
      <c r="J88" t="str">
        <f t="shared" ref="J88:J151" si="8">IF(E88="-",D88,E88)</f>
        <v>Crust-fixed to J2000 Rot. Matrix and deriviatives</v>
      </c>
      <c r="K88" t="str">
        <f>VLOOKUP($A88,Lcode_mapping!$D:$T,12,FALSE)</f>
        <v>Scan</v>
      </c>
      <c r="L88" t="str">
        <f>VLOOKUP($A88,Lcode_mapping!$D:$T,13,FALSE)</f>
        <v>Rot-CF2J2K</v>
      </c>
    </row>
    <row r="89" spans="1:12" x14ac:dyDescent="0.25">
      <c r="A89" s="25" t="s">
        <v>1048</v>
      </c>
      <c r="B89" t="str">
        <f>VLOOKUP(A89,Lcode_mapping!D:T,1,FALSE)</f>
        <v>CHAN ID</v>
      </c>
      <c r="C89" t="str">
        <f>VLOOKUP($A89,Lcode_mapping!$D:$T,15,FALSE)</f>
        <v>ChannelID</v>
      </c>
      <c r="D89" t="str">
        <f>VLOOKUP($A89,Lcode_mapping!$D:$T,7,FALSE)</f>
        <v>One-letter Fourfit channel ID.</v>
      </c>
      <c r="E89" t="str">
        <f>VLOOKUP($A89,Lcode_mapping!$D:$T,17,FALSE)</f>
        <v>-</v>
      </c>
      <c r="H89" t="str">
        <f t="shared" si="6"/>
        <v>CHAN ID</v>
      </c>
      <c r="I89" t="str">
        <f t="shared" si="7"/>
        <v>ChannelID</v>
      </c>
      <c r="J89" t="str">
        <f t="shared" si="8"/>
        <v>One-letter Fourfit channel ID.</v>
      </c>
      <c r="K89" t="str">
        <f>VLOOKUP($A89,Lcode_mapping!$D:$T,12,FALSE)</f>
        <v>Observables</v>
      </c>
      <c r="L89" t="str">
        <f>VLOOKUP($A89,Lcode_mapping!$D:$T,13,FALSE)</f>
        <v>CorrInfo_bX</v>
      </c>
    </row>
    <row r="90" spans="1:12" x14ac:dyDescent="0.25">
      <c r="A90" s="25" t="s">
        <v>214</v>
      </c>
      <c r="B90" t="str">
        <f>VLOOKUP(A90,Lcode_mapping!D:T,1,FALSE)</f>
        <v>CLCKEP 3</v>
      </c>
      <c r="C90" t="str">
        <f>VLOOKUP($A90,Lcode_mapping!$D:$T,15,FALSE)</f>
        <v>-</v>
      </c>
      <c r="D90" t="str">
        <f>VLOOKUP($A90,Lcode_mapping!$D:$T,7,FALSE)</f>
        <v>Clock epochs (JD,fraction)</v>
      </c>
      <c r="E90" t="str">
        <f>VLOOKUP($A90,Lcode_mapping!$D:$T,17,FALSE)</f>
        <v>-</v>
      </c>
      <c r="H90" t="str">
        <f t="shared" si="6"/>
        <v>CLCKEP 3</v>
      </c>
      <c r="I90" t="str">
        <f t="shared" si="7"/>
        <v>CLCKEP 3</v>
      </c>
      <c r="J90" t="str">
        <f t="shared" si="8"/>
        <v>Clock epochs (JD,fraction)</v>
      </c>
      <c r="K90" t="str">
        <f>VLOOKUP($A90,Lcode_mapping!$D:$T,12,FALSE)</f>
        <v>OBSOLETE</v>
      </c>
      <c r="L90" t="str">
        <f>VLOOKUP($A90,Lcode_mapping!$D:$T,13,FALSE)</f>
        <v>-</v>
      </c>
    </row>
    <row r="91" spans="1:12" x14ac:dyDescent="0.25">
      <c r="A91" s="25" t="s">
        <v>228</v>
      </c>
      <c r="B91" t="str">
        <f>VLOOKUP(A91,Lcode_mapping!D:T,1,FALSE)</f>
        <v>CLCKEP 4</v>
      </c>
      <c r="C91" t="str">
        <f>VLOOKUP($A91,Lcode_mapping!$D:$T,15,FALSE)</f>
        <v>-</v>
      </c>
      <c r="D91" t="str">
        <f>VLOOKUP($A91,Lcode_mapping!$D:$T,7,FALSE)</f>
        <v>Clock epochs (JD,fraction)</v>
      </c>
      <c r="E91" t="str">
        <f>VLOOKUP($A91,Lcode_mapping!$D:$T,17,FALSE)</f>
        <v>-</v>
      </c>
      <c r="H91" t="str">
        <f t="shared" si="6"/>
        <v>CLCKEP 4</v>
      </c>
      <c r="I91" t="str">
        <f t="shared" si="7"/>
        <v>CLCKEP 4</v>
      </c>
      <c r="J91" t="str">
        <f t="shared" si="8"/>
        <v>Clock epochs (JD,fraction)</v>
      </c>
      <c r="K91" t="str">
        <f>VLOOKUP($A91,Lcode_mapping!$D:$T,12,FALSE)</f>
        <v>OBSOLETE</v>
      </c>
      <c r="L91" t="str">
        <f>VLOOKUP($A91,Lcode_mapping!$D:$T,13,FALSE)</f>
        <v>-</v>
      </c>
    </row>
    <row r="92" spans="1:12" x14ac:dyDescent="0.25">
      <c r="A92" s="25" t="s">
        <v>232</v>
      </c>
      <c r="B92" t="str">
        <f>VLOOKUP(A92,Lcode_mapping!D:T,1,FALSE)</f>
        <v>CLCKEP 5</v>
      </c>
      <c r="C92" t="str">
        <f>VLOOKUP($A92,Lcode_mapping!$D:$T,15,FALSE)</f>
        <v>-</v>
      </c>
      <c r="D92" t="str">
        <f>VLOOKUP($A92,Lcode_mapping!$D:$T,7,FALSE)</f>
        <v>Clock epochs (JD,fraction)</v>
      </c>
      <c r="E92" t="str">
        <f>VLOOKUP($A92,Lcode_mapping!$D:$T,17,FALSE)</f>
        <v>-</v>
      </c>
      <c r="H92" t="str">
        <f t="shared" si="6"/>
        <v>CLCKEP 5</v>
      </c>
      <c r="I92" t="str">
        <f t="shared" si="7"/>
        <v>CLCKEP 5</v>
      </c>
      <c r="J92" t="str">
        <f t="shared" si="8"/>
        <v>Clock epochs (JD,fraction)</v>
      </c>
      <c r="K92" t="str">
        <f>VLOOKUP($A92,Lcode_mapping!$D:$T,12,FALSE)</f>
        <v>OBSOLETE</v>
      </c>
      <c r="L92" t="str">
        <f>VLOOKUP($A92,Lcode_mapping!$D:$T,13,FALSE)</f>
        <v>-</v>
      </c>
    </row>
    <row r="93" spans="1:12" x14ac:dyDescent="0.25">
      <c r="A93" s="25" t="s">
        <v>238</v>
      </c>
      <c r="B93" t="str">
        <f>VLOOKUP(A93,Lcode_mapping!D:T,1,FALSE)</f>
        <v>CLCKEP 6</v>
      </c>
      <c r="C93" t="str">
        <f>VLOOKUP($A93,Lcode_mapping!$D:$T,15,FALSE)</f>
        <v>-</v>
      </c>
      <c r="D93" t="str">
        <f>VLOOKUP($A93,Lcode_mapping!$D:$T,7,FALSE)</f>
        <v>Clock epochs (JD,fraction)</v>
      </c>
      <c r="E93" t="str">
        <f>VLOOKUP($A93,Lcode_mapping!$D:$T,17,FALSE)</f>
        <v>-</v>
      </c>
      <c r="H93" t="str">
        <f t="shared" si="6"/>
        <v>CLCKEP 6</v>
      </c>
      <c r="I93" t="str">
        <f t="shared" si="7"/>
        <v>CLCKEP 6</v>
      </c>
      <c r="J93" t="str">
        <f t="shared" si="8"/>
        <v>Clock epochs (JD,fraction)</v>
      </c>
      <c r="K93" t="str">
        <f>VLOOKUP($A93,Lcode_mapping!$D:$T,12,FALSE)</f>
        <v>OBSOLETE</v>
      </c>
      <c r="L93" t="str">
        <f>VLOOKUP($A93,Lcode_mapping!$D:$T,13,FALSE)</f>
        <v>-</v>
      </c>
    </row>
    <row r="94" spans="1:12" x14ac:dyDescent="0.25">
      <c r="A94" s="25" t="s">
        <v>254</v>
      </c>
      <c r="B94" t="str">
        <f>VLOOKUP(A94,Lcode_mapping!D:T,1,FALSE)</f>
        <v>CLCKEP 7</v>
      </c>
      <c r="C94" t="str">
        <f>VLOOKUP($A94,Lcode_mapping!$D:$T,15,FALSE)</f>
        <v>-</v>
      </c>
      <c r="D94" t="str">
        <f>VLOOKUP($A94,Lcode_mapping!$D:$T,7,FALSE)</f>
        <v>Clock epochs (JD,fraction)</v>
      </c>
      <c r="E94" t="str">
        <f>VLOOKUP($A94,Lcode_mapping!$D:$T,17,FALSE)</f>
        <v>-</v>
      </c>
      <c r="H94" t="str">
        <f t="shared" si="6"/>
        <v>CLCKEP 7</v>
      </c>
      <c r="I94" t="str">
        <f t="shared" si="7"/>
        <v>CLCKEP 7</v>
      </c>
      <c r="J94" t="str">
        <f t="shared" si="8"/>
        <v>Clock epochs (JD,fraction)</v>
      </c>
      <c r="K94" t="str">
        <f>VLOOKUP($A94,Lcode_mapping!$D:$T,12,FALSE)</f>
        <v>OBSOLETE</v>
      </c>
      <c r="L94" t="str">
        <f>VLOOKUP($A94,Lcode_mapping!$D:$T,13,FALSE)</f>
        <v>-</v>
      </c>
    </row>
    <row r="95" spans="1:12" x14ac:dyDescent="0.25">
      <c r="A95" s="25" t="s">
        <v>274</v>
      </c>
      <c r="B95" t="str">
        <f>VLOOKUP(A95,Lcode_mapping!D:T,1,FALSE)</f>
        <v>CLCKEP 8</v>
      </c>
      <c r="C95" t="str">
        <f>VLOOKUP($A95,Lcode_mapping!$D:$T,15,FALSE)</f>
        <v>-</v>
      </c>
      <c r="D95" t="str">
        <f>VLOOKUP($A95,Lcode_mapping!$D:$T,7,FALSE)</f>
        <v>Clock epochs (JD,fraction)</v>
      </c>
      <c r="E95" t="str">
        <f>VLOOKUP($A95,Lcode_mapping!$D:$T,17,FALSE)</f>
        <v>-</v>
      </c>
      <c r="H95" t="str">
        <f t="shared" si="6"/>
        <v>CLCKEP 8</v>
      </c>
      <c r="I95" t="str">
        <f t="shared" si="7"/>
        <v>CLCKEP 8</v>
      </c>
      <c r="J95" t="str">
        <f t="shared" si="8"/>
        <v>Clock epochs (JD,fraction)</v>
      </c>
      <c r="K95" t="str">
        <f>VLOOKUP($A95,Lcode_mapping!$D:$T,12,FALSE)</f>
        <v>OBSOLETE</v>
      </c>
      <c r="L95" t="str">
        <f>VLOOKUP($A95,Lcode_mapping!$D:$T,13,FALSE)</f>
        <v>-</v>
      </c>
    </row>
    <row r="96" spans="1:12" x14ac:dyDescent="0.25">
      <c r="A96" s="25" t="s">
        <v>216</v>
      </c>
      <c r="B96" t="str">
        <f>VLOOKUP(A96,Lcode_mapping!D:T,1,FALSE)</f>
        <v>CLCKFL 3</v>
      </c>
      <c r="C96" t="str">
        <f>VLOOKUP($A96,Lcode_mapping!$D:$T,15,FALSE)</f>
        <v>-</v>
      </c>
      <c r="D96" t="str">
        <f>VLOOKUP($A96,Lcode_mapping!$D:$T,7,FALSE)</f>
        <v>List of clock flags</v>
      </c>
      <c r="E96" t="str">
        <f>VLOOKUP($A96,Lcode_mapping!$D:$T,17,FALSE)</f>
        <v>-</v>
      </c>
      <c r="H96" t="str">
        <f t="shared" si="6"/>
        <v>CLCKFL 3</v>
      </c>
      <c r="I96" t="str">
        <f t="shared" si="7"/>
        <v>CLCKFL 3</v>
      </c>
      <c r="J96" t="str">
        <f t="shared" si="8"/>
        <v>List of clock flags</v>
      </c>
      <c r="K96" t="str">
        <f>VLOOKUP($A96,Lcode_mapping!$D:$T,12,FALSE)</f>
        <v>OBSOLETE</v>
      </c>
      <c r="L96" t="str">
        <f>VLOOKUP($A96,Lcode_mapping!$D:$T,13,FALSE)</f>
        <v>-</v>
      </c>
    </row>
    <row r="97" spans="1:12" x14ac:dyDescent="0.25">
      <c r="A97" s="25" t="s">
        <v>229</v>
      </c>
      <c r="B97" t="str">
        <f>VLOOKUP(A97,Lcode_mapping!D:T,1,FALSE)</f>
        <v>CLCKFL 4</v>
      </c>
      <c r="C97" t="str">
        <f>VLOOKUP($A97,Lcode_mapping!$D:$T,15,FALSE)</f>
        <v>-</v>
      </c>
      <c r="D97" t="str">
        <f>VLOOKUP($A97,Lcode_mapping!$D:$T,7,FALSE)</f>
        <v>List of clock flags</v>
      </c>
      <c r="E97" t="str">
        <f>VLOOKUP($A97,Lcode_mapping!$D:$T,17,FALSE)</f>
        <v>-</v>
      </c>
      <c r="H97" t="str">
        <f t="shared" si="6"/>
        <v>CLCKFL 4</v>
      </c>
      <c r="I97" t="str">
        <f t="shared" si="7"/>
        <v>CLCKFL 4</v>
      </c>
      <c r="J97" t="str">
        <f t="shared" si="8"/>
        <v>List of clock flags</v>
      </c>
      <c r="K97" t="str">
        <f>VLOOKUP($A97,Lcode_mapping!$D:$T,12,FALSE)</f>
        <v>OBSOLETE</v>
      </c>
      <c r="L97" t="str">
        <f>VLOOKUP($A97,Lcode_mapping!$D:$T,13,FALSE)</f>
        <v>-</v>
      </c>
    </row>
    <row r="98" spans="1:12" x14ac:dyDescent="0.25">
      <c r="A98" s="25" t="s">
        <v>233</v>
      </c>
      <c r="B98" t="str">
        <f>VLOOKUP(A98,Lcode_mapping!D:T,1,FALSE)</f>
        <v>CLCKFL 5</v>
      </c>
      <c r="C98" t="str">
        <f>VLOOKUP($A98,Lcode_mapping!$D:$T,15,FALSE)</f>
        <v>-</v>
      </c>
      <c r="D98" t="str">
        <f>VLOOKUP($A98,Lcode_mapping!$D:$T,7,FALSE)</f>
        <v>List of clock flags</v>
      </c>
      <c r="E98" t="str">
        <f>VLOOKUP($A98,Lcode_mapping!$D:$T,17,FALSE)</f>
        <v>-</v>
      </c>
      <c r="H98" t="str">
        <f t="shared" si="6"/>
        <v>CLCKFL 5</v>
      </c>
      <c r="I98" t="str">
        <f t="shared" si="7"/>
        <v>CLCKFL 5</v>
      </c>
      <c r="J98" t="str">
        <f t="shared" si="8"/>
        <v>List of clock flags</v>
      </c>
      <c r="K98" t="str">
        <f>VLOOKUP($A98,Lcode_mapping!$D:$T,12,FALSE)</f>
        <v>OBSOLETE</v>
      </c>
      <c r="L98" t="str">
        <f>VLOOKUP($A98,Lcode_mapping!$D:$T,13,FALSE)</f>
        <v>-</v>
      </c>
    </row>
    <row r="99" spans="1:12" x14ac:dyDescent="0.25">
      <c r="A99" s="25" t="s">
        <v>240</v>
      </c>
      <c r="B99" t="str">
        <f>VLOOKUP(A99,Lcode_mapping!D:T,1,FALSE)</f>
        <v>CLCKFL 6</v>
      </c>
      <c r="C99" t="str">
        <f>VLOOKUP($A99,Lcode_mapping!$D:$T,15,FALSE)</f>
        <v>-</v>
      </c>
      <c r="D99" t="str">
        <f>VLOOKUP($A99,Lcode_mapping!$D:$T,7,FALSE)</f>
        <v>List of clock flags</v>
      </c>
      <c r="E99" t="str">
        <f>VLOOKUP($A99,Lcode_mapping!$D:$T,17,FALSE)</f>
        <v>-</v>
      </c>
      <c r="H99" t="str">
        <f t="shared" si="6"/>
        <v>CLCKFL 6</v>
      </c>
      <c r="I99" t="str">
        <f t="shared" si="7"/>
        <v>CLCKFL 6</v>
      </c>
      <c r="J99" t="str">
        <f t="shared" si="8"/>
        <v>List of clock flags</v>
      </c>
      <c r="K99" t="str">
        <f>VLOOKUP($A99,Lcode_mapping!$D:$T,12,FALSE)</f>
        <v>OBSOLETE</v>
      </c>
      <c r="L99" t="str">
        <f>VLOOKUP($A99,Lcode_mapping!$D:$T,13,FALSE)</f>
        <v>-</v>
      </c>
    </row>
    <row r="100" spans="1:12" x14ac:dyDescent="0.25">
      <c r="A100" s="25" t="s">
        <v>256</v>
      </c>
      <c r="B100" t="str">
        <f>VLOOKUP(A100,Lcode_mapping!D:T,1,FALSE)</f>
        <v>CLCKFL 7</v>
      </c>
      <c r="C100" t="str">
        <f>VLOOKUP($A100,Lcode_mapping!$D:$T,15,FALSE)</f>
        <v>-</v>
      </c>
      <c r="D100" t="str">
        <f>VLOOKUP($A100,Lcode_mapping!$D:$T,7,FALSE)</f>
        <v>List of clock flags</v>
      </c>
      <c r="E100" t="str">
        <f>VLOOKUP($A100,Lcode_mapping!$D:$T,17,FALSE)</f>
        <v>-</v>
      </c>
      <c r="H100" t="str">
        <f t="shared" si="6"/>
        <v>CLCKFL 7</v>
      </c>
      <c r="I100" t="str">
        <f t="shared" si="7"/>
        <v>CLCKFL 7</v>
      </c>
      <c r="J100" t="str">
        <f t="shared" si="8"/>
        <v>List of clock flags</v>
      </c>
      <c r="K100" t="str">
        <f>VLOOKUP($A100,Lcode_mapping!$D:$T,12,FALSE)</f>
        <v>OBSOLETE</v>
      </c>
      <c r="L100" t="str">
        <f>VLOOKUP($A100,Lcode_mapping!$D:$T,13,FALSE)</f>
        <v>-</v>
      </c>
    </row>
    <row r="101" spans="1:12" x14ac:dyDescent="0.25">
      <c r="A101" s="25" t="s">
        <v>276</v>
      </c>
      <c r="B101" t="str">
        <f>VLOOKUP(A101,Lcode_mapping!D:T,1,FALSE)</f>
        <v>CLCKFL 8</v>
      </c>
      <c r="C101" t="str">
        <f>VLOOKUP($A101,Lcode_mapping!$D:$T,15,FALSE)</f>
        <v>-</v>
      </c>
      <c r="D101" t="str">
        <f>VLOOKUP($A101,Lcode_mapping!$D:$T,7,FALSE)</f>
        <v>List of clock flags</v>
      </c>
      <c r="E101" t="str">
        <f>VLOOKUP($A101,Lcode_mapping!$D:$T,17,FALSE)</f>
        <v>-</v>
      </c>
      <c r="H101" t="str">
        <f t="shared" si="6"/>
        <v>CLCKFL 8</v>
      </c>
      <c r="I101" t="str">
        <f t="shared" si="7"/>
        <v>CLCKFL 8</v>
      </c>
      <c r="J101" t="str">
        <f t="shared" si="8"/>
        <v>List of clock flags</v>
      </c>
      <c r="K101" t="str">
        <f>VLOOKUP($A101,Lcode_mapping!$D:$T,12,FALSE)</f>
        <v>OBSOLETE</v>
      </c>
      <c r="L101" t="str">
        <f>VLOOKUP($A101,Lcode_mapping!$D:$T,13,FALSE)</f>
        <v>-</v>
      </c>
    </row>
    <row r="102" spans="1:12" x14ac:dyDescent="0.25">
      <c r="A102" s="25" t="s">
        <v>704</v>
      </c>
      <c r="B102" t="str">
        <f>VLOOKUP(A102,Lcode_mapping!D:T,1,FALSE)</f>
        <v>CLK_CFLG</v>
      </c>
      <c r="C102" t="str">
        <f>VLOOKUP($A102,Lcode_mapping!$D:$T,15,FALSE)</f>
        <v>-</v>
      </c>
      <c r="D102" t="str">
        <f>VLOOKUP($A102,Lcode_mapping!$D:$T,7,FALSE)</f>
        <v>Clock constraint use flag.</v>
      </c>
      <c r="E102" t="str">
        <f>VLOOKUP($A102,Lcode_mapping!$D:$T,17,FALSE)</f>
        <v>-</v>
      </c>
      <c r="H102" t="str">
        <f t="shared" si="6"/>
        <v>CLK_CFLG</v>
      </c>
      <c r="I102" t="str">
        <f t="shared" si="7"/>
        <v>CLK_CFLG</v>
      </c>
      <c r="J102" t="str">
        <f t="shared" si="8"/>
        <v>Clock constraint use flag.</v>
      </c>
      <c r="K102" t="str">
        <f>VLOOKUP($A102,Lcode_mapping!$D:$T,12,FALSE)</f>
        <v>-</v>
      </c>
      <c r="L102" t="str">
        <f>VLOOKUP($A102,Lcode_mapping!$D:$T,13,FALSE)</f>
        <v>-</v>
      </c>
    </row>
    <row r="103" spans="1:12" x14ac:dyDescent="0.25">
      <c r="A103" s="25" t="s">
        <v>529</v>
      </c>
      <c r="B103" t="str">
        <f>VLOOKUP(A103,Lcode_mapping!D:T,1,FALSE)</f>
        <v>CLK_CNST</v>
      </c>
      <c r="C103" t="str">
        <f>VLOOKUP($A103,Lcode_mapping!$D:$T,15,FALSE)</f>
        <v>ClockRateConstraint</v>
      </c>
      <c r="D103" t="str">
        <f>VLOOKUP($A103,Lcode_mapping!$D:$T,7,FALSE)</f>
        <v>Clock constraint-Parts in 1.e14</v>
      </c>
      <c r="E103" t="str">
        <f>VLOOKUP($A103,Lcode_mapping!$D:$T,17,FALSE)</f>
        <v>-</v>
      </c>
      <c r="H103" t="str">
        <f t="shared" si="6"/>
        <v>CLK_CNST</v>
      </c>
      <c r="I103" t="str">
        <f t="shared" si="7"/>
        <v>ClockRateConstraint</v>
      </c>
      <c r="J103" t="str">
        <f t="shared" si="8"/>
        <v>Clock constraint-Parts in 1.e14</v>
      </c>
      <c r="K103" t="str">
        <f>VLOOKUP($A103,Lcode_mapping!$D:$T,12,FALSE)</f>
        <v>Solve</v>
      </c>
      <c r="L103" t="str">
        <f>VLOOKUP($A103,Lcode_mapping!$D:$T,13,FALSE)</f>
        <v>ClockSetup</v>
      </c>
    </row>
    <row r="104" spans="1:12" x14ac:dyDescent="0.25">
      <c r="A104" s="25" t="s">
        <v>531</v>
      </c>
      <c r="B104" t="str">
        <f>VLOOKUP(A104,Lcode_mapping!D:T,1,FALSE)</f>
        <v>CLK_INTV</v>
      </c>
      <c r="C104" t="str">
        <f>VLOOKUP($A104,Lcode_mapping!$D:$T,15,FALSE)</f>
        <v>ClockInterval</v>
      </c>
      <c r="D104" t="str">
        <f>VLOOKUP($A104,Lcode_mapping!$D:$T,7,FALSE)</f>
        <v>Batchmode clock interval - hours</v>
      </c>
      <c r="E104" t="str">
        <f>VLOOKUP($A104,Lcode_mapping!$D:$T,17,FALSE)</f>
        <v>-</v>
      </c>
      <c r="H104" t="str">
        <f t="shared" si="6"/>
        <v>CLK_INTV</v>
      </c>
      <c r="I104" t="str">
        <f t="shared" si="7"/>
        <v>ClockInterval</v>
      </c>
      <c r="J104" t="str">
        <f t="shared" si="8"/>
        <v>Batchmode clock interval - hours</v>
      </c>
      <c r="K104" t="str">
        <f>VLOOKUP($A104,Lcode_mapping!$D:$T,12,FALSE)</f>
        <v>Solve</v>
      </c>
      <c r="L104" t="str">
        <f>VLOOKUP($A104,Lcode_mapping!$D:$T,13,FALSE)</f>
        <v>ClockSetup</v>
      </c>
    </row>
    <row r="105" spans="1:12" x14ac:dyDescent="0.25">
      <c r="A105" s="25" t="s">
        <v>708</v>
      </c>
      <c r="B105" t="str">
        <f>VLOOKUP(A105,Lcode_mapping!D:T,1,FALSE)</f>
        <v>CLK_SITE</v>
      </c>
      <c r="C105" t="str">
        <f>VLOOKUP($A105,Lcode_mapping!$D:$T,15,FALSE)</f>
        <v>RefClockStationList</v>
      </c>
      <c r="D105" t="str">
        <f>VLOOKUP($A105,Lcode_mapping!$D:$T,7,FALSE)</f>
        <v>Batchmode clock reference site</v>
      </c>
      <c r="E105" t="str">
        <f>VLOOKUP($A105,Lcode_mapping!$D:$T,17,FALSE)</f>
        <v>-</v>
      </c>
      <c r="H105" t="str">
        <f t="shared" si="6"/>
        <v>CLK_SITE</v>
      </c>
      <c r="I105" t="str">
        <f t="shared" si="7"/>
        <v>RefClockStationList</v>
      </c>
      <c r="J105" t="str">
        <f t="shared" si="8"/>
        <v>Batchmode clock reference site</v>
      </c>
      <c r="K105" t="str">
        <f>VLOOKUP($A105,Lcode_mapping!$D:$T,12,FALSE)</f>
        <v>Solve</v>
      </c>
      <c r="L105" t="str">
        <f>VLOOKUP($A105,Lcode_mapping!$D:$T,13,FALSE)</f>
        <v>ClockSetup</v>
      </c>
    </row>
    <row r="106" spans="1:12" x14ac:dyDescent="0.25">
      <c r="A106" s="25" t="s">
        <v>710</v>
      </c>
      <c r="B106" t="str">
        <f>VLOOKUP(A106,Lcode_mapping!D:T,1,FALSE)</f>
        <v>CLK_SITS</v>
      </c>
      <c r="C106" t="str">
        <f>VLOOKUP($A106,Lcode_mapping!$D:$T,15,FALSE)</f>
        <v>RefClockStationList</v>
      </c>
      <c r="D106" t="str">
        <f>VLOOKUP($A106,Lcode_mapping!$D:$T,7,FALSE)</f>
        <v>List of clock reference stations</v>
      </c>
      <c r="E106" t="str">
        <f>VLOOKUP($A106,Lcode_mapping!$D:$T,17,FALSE)</f>
        <v>-</v>
      </c>
      <c r="H106" t="str">
        <f t="shared" si="6"/>
        <v>CLK_SITS</v>
      </c>
      <c r="I106" t="str">
        <f t="shared" si="7"/>
        <v>RefClockStationList</v>
      </c>
      <c r="J106" t="str">
        <f t="shared" si="8"/>
        <v>List of clock reference stations</v>
      </c>
      <c r="K106" t="str">
        <f>VLOOKUP($A106,Lcode_mapping!$D:$T,12,FALSE)</f>
        <v>Solve</v>
      </c>
      <c r="L106" t="str">
        <f>VLOOKUP($A106,Lcode_mapping!$D:$T,13,FALSE)</f>
        <v>ClockSetup</v>
      </c>
    </row>
    <row r="107" spans="1:12" x14ac:dyDescent="0.25">
      <c r="A107" s="25" t="s">
        <v>700</v>
      </c>
      <c r="B107" t="str">
        <f>VLOOKUP(A107,Lcode_mapping!D:T,1,FALSE)</f>
        <v>CLKBREAK</v>
      </c>
      <c r="C107" t="str">
        <f>VLOOKUP($A107,Lcode_mapping!$D:$T,15,FALSE)</f>
        <v>-</v>
      </c>
      <c r="D107" t="str">
        <f>VLOOKUP($A107,Lcode_mapping!$D:$T,7,FALSE)</f>
        <v>Status of clock break existence</v>
      </c>
      <c r="E107" t="str">
        <f>VLOOKUP($A107,Lcode_mapping!$D:$T,17,FALSE)</f>
        <v>-</v>
      </c>
      <c r="H107" t="str">
        <f t="shared" si="6"/>
        <v>CLKBREAK</v>
      </c>
      <c r="I107" t="str">
        <f t="shared" si="7"/>
        <v>CLKBREAK</v>
      </c>
      <c r="J107" t="str">
        <f t="shared" si="8"/>
        <v>Status of clock break existence</v>
      </c>
      <c r="K107" t="str">
        <f>VLOOKUP($A107,Lcode_mapping!$D:$T,12,FALSE)</f>
        <v>Session</v>
      </c>
      <c r="L107" t="str">
        <f>VLOOKUP($A107,Lcode_mapping!$D:$T,13,FALSE)</f>
        <v>ClockBreak</v>
      </c>
    </row>
    <row r="108" spans="1:12" x14ac:dyDescent="0.25">
      <c r="A108" s="25" t="s">
        <v>539</v>
      </c>
      <c r="B108" t="str">
        <f>VLOOKUP(A108,Lcode_mapping!D:T,1,FALSE)</f>
        <v>CLODRACM</v>
      </c>
      <c r="C108" t="str">
        <f>VLOOKUP($A108,Lcode_mapping!$D:$T,15,FALSE)</f>
        <v>AprioriClockRate</v>
      </c>
      <c r="D108" t="str">
        <f>VLOOKUP($A108,Lcode_mapping!$D:$T,7,FALSE)</f>
        <v>A priori clock drift (sec/sec)</v>
      </c>
      <c r="E108" t="str">
        <f>VLOOKUP($A108,Lcode_mapping!$D:$T,17,FALSE)</f>
        <v>-</v>
      </c>
      <c r="H108" t="str">
        <f t="shared" si="6"/>
        <v>CLODRACM</v>
      </c>
      <c r="I108" t="str">
        <f t="shared" si="7"/>
        <v>AprioriClockRate</v>
      </c>
      <c r="J108" t="str">
        <f t="shared" si="8"/>
        <v>A priori clock drift (sec/sec)</v>
      </c>
      <c r="K108" t="str">
        <f>VLOOKUP($A108,Lcode_mapping!$D:$T,12,FALSE)</f>
        <v>Apriori</v>
      </c>
      <c r="L108" t="str">
        <f>VLOOKUP($A108,Lcode_mapping!$D:$T,13,FALSE)</f>
        <v>Clock</v>
      </c>
    </row>
    <row r="109" spans="1:12" x14ac:dyDescent="0.25">
      <c r="A109" s="25" t="s">
        <v>537</v>
      </c>
      <c r="B109" t="str">
        <f>VLOOKUP(A109,Lcode_mapping!D:T,1,FALSE)</f>
        <v>CLOOFACM</v>
      </c>
      <c r="C109" t="str">
        <f>VLOOKUP($A109,Lcode_mapping!$D:$T,15,FALSE)</f>
        <v>AprioriClockOffset</v>
      </c>
      <c r="D109" t="str">
        <f>VLOOKUP($A109,Lcode_mapping!$D:$T,7,FALSE)</f>
        <v>A priori clock offset (sec)</v>
      </c>
      <c r="E109" t="str">
        <f>VLOOKUP($A109,Lcode_mapping!$D:$T,17,FALSE)</f>
        <v>-</v>
      </c>
      <c r="H109" t="str">
        <f t="shared" si="6"/>
        <v>CLOOFACM</v>
      </c>
      <c r="I109" t="str">
        <f t="shared" si="7"/>
        <v>AprioriClockOffset</v>
      </c>
      <c r="J109" t="str">
        <f t="shared" si="8"/>
        <v>A priori clock offset (sec)</v>
      </c>
      <c r="K109" t="str">
        <f>VLOOKUP($A109,Lcode_mapping!$D:$T,12,FALSE)</f>
        <v>Apriori</v>
      </c>
      <c r="L109" t="str">
        <f>VLOOKUP($A109,Lcode_mapping!$D:$T,13,FALSE)</f>
        <v>Clock</v>
      </c>
    </row>
    <row r="110" spans="1:12" x14ac:dyDescent="0.25">
      <c r="A110" s="25" t="s">
        <v>916</v>
      </c>
      <c r="B110" t="str">
        <f>VLOOKUP(A110,Lcode_mapping!D:T,1,FALSE)</f>
        <v>COHCOR_S</v>
      </c>
      <c r="C110" t="str">
        <f>VLOOKUP($A110,Lcode_mapping!$D:$T,15,FALSE)</f>
        <v>Correlation</v>
      </c>
      <c r="D110" t="str">
        <f>VLOOKUP($A110,Lcode_mapping!$D:$T,7,FALSE)</f>
        <v>Corr coeff (0 --&gt; 1) for S-band</v>
      </c>
      <c r="E110" t="str">
        <f>VLOOKUP($A110,Lcode_mapping!$D:$T,17,FALSE)</f>
        <v>-</v>
      </c>
      <c r="H110" t="str">
        <f t="shared" si="6"/>
        <v>COHCOR_S</v>
      </c>
      <c r="I110" t="str">
        <f t="shared" si="7"/>
        <v>Correlation</v>
      </c>
      <c r="J110" t="str">
        <f t="shared" si="8"/>
        <v>Corr coeff (0 --&gt; 1) for S-band</v>
      </c>
      <c r="K110" t="str">
        <f>VLOOKUP($A110,Lcode_mapping!$D:$T,12,FALSE)</f>
        <v>Observables</v>
      </c>
      <c r="L110" t="str">
        <f>VLOOKUP($A110,Lcode_mapping!$D:$T,13,FALSE)</f>
        <v>Correlation_bS</v>
      </c>
    </row>
    <row r="111" spans="1:12" x14ac:dyDescent="0.25">
      <c r="A111" s="25" t="s">
        <v>739</v>
      </c>
      <c r="B111" t="str">
        <f>VLOOKUP(A111,Lcode_mapping!D:T,1,FALSE)</f>
        <v>COHERCOR</v>
      </c>
      <c r="C111" t="str">
        <f>VLOOKUP($A111,Lcode_mapping!$D:$T,15,FALSE)</f>
        <v>Correlation</v>
      </c>
      <c r="D111" t="str">
        <f>VLOOKUP($A111,Lcode_mapping!$D:$T,7,FALSE)</f>
        <v>Corr coeff (0 --&gt; 1).</v>
      </c>
      <c r="E111" t="str">
        <f>VLOOKUP($A111,Lcode_mapping!$D:$T,17,FALSE)</f>
        <v>-</v>
      </c>
      <c r="H111" t="str">
        <f t="shared" si="6"/>
        <v>COHERCOR</v>
      </c>
      <c r="I111" t="str">
        <f t="shared" si="7"/>
        <v>Correlation</v>
      </c>
      <c r="J111" t="str">
        <f t="shared" si="8"/>
        <v>Corr coeff (0 --&gt; 1).</v>
      </c>
      <c r="K111" t="str">
        <f>VLOOKUP($A111,Lcode_mapping!$D:$T,12,FALSE)</f>
        <v>Observables</v>
      </c>
      <c r="L111" t="str">
        <f>VLOOKUP($A111,Lcode_mapping!$D:$T,13,FALSE)</f>
        <v>Correlation_bX</v>
      </c>
    </row>
    <row r="112" spans="1:12" x14ac:dyDescent="0.25">
      <c r="A112" s="25" t="s">
        <v>421</v>
      </c>
      <c r="B112" t="str">
        <f>VLOOKUP(A112,Lcode_mapping!D:T,1,FALSE)</f>
        <v>COMMENT2</v>
      </c>
      <c r="C112" t="str">
        <f>VLOOKUP($A112,Lcode_mapping!$D:$T,15,FALSE)</f>
        <v>-</v>
      </c>
      <c r="D112" t="str">
        <f>VLOOKUP($A112,Lcode_mapping!$D:$T,7,FALSE)</f>
        <v>FRNGE runtime comments.</v>
      </c>
      <c r="E112" t="str">
        <f>VLOOKUP($A112,Lcode_mapping!$D:$T,17,FALSE)</f>
        <v>-</v>
      </c>
      <c r="H112" t="str">
        <f t="shared" si="6"/>
        <v>COMMENT2</v>
      </c>
      <c r="I112" t="str">
        <f t="shared" si="7"/>
        <v>COMMENT2</v>
      </c>
      <c r="J112" t="str">
        <f t="shared" si="8"/>
        <v>FRNGE runtime comments.</v>
      </c>
      <c r="K112" t="str">
        <f>VLOOKUP($A112,Lcode_mapping!$D:$T,12,FALSE)</f>
        <v>OBSOLETE</v>
      </c>
      <c r="L112" t="str">
        <f>VLOOKUP($A112,Lcode_mapping!$D:$T,13,FALSE)</f>
        <v>-</v>
      </c>
    </row>
    <row r="113" spans="1:12" x14ac:dyDescent="0.25">
      <c r="A113" s="25" t="s">
        <v>867</v>
      </c>
      <c r="B113" t="str">
        <f>VLOOKUP(A113,Lcode_mapping!D:T,1,FALSE)</f>
        <v>CON CONT</v>
      </c>
      <c r="C113" t="str">
        <f>VLOOKUP($A113,Lcode_mapping!$D:$T,15,FALSE)</f>
        <v>Cal-Bend</v>
      </c>
      <c r="D113" t="str">
        <f>VLOOKUP($A113,Lcode_mapping!$D:$T,7,FALSE)</f>
        <v>Consensus bending contrib. (sec)</v>
      </c>
      <c r="E113" t="str">
        <f>VLOOKUP($A113,Lcode_mapping!$D:$T,17,FALSE)</f>
        <v>-</v>
      </c>
      <c r="H113" t="str">
        <f t="shared" si="6"/>
        <v>CON CONT</v>
      </c>
      <c r="I113" t="str">
        <f t="shared" si="7"/>
        <v>Cal-Bend</v>
      </c>
      <c r="J113" t="str">
        <f t="shared" si="8"/>
        <v>Consensus bending contrib. (sec)</v>
      </c>
      <c r="K113" t="str">
        <f>VLOOKUP($A113,Lcode_mapping!$D:$T,12,FALSE)</f>
        <v>ObsCalTheo</v>
      </c>
      <c r="L113" t="str">
        <f>VLOOKUP($A113,Lcode_mapping!$D:$T,13,FALSE)</f>
        <v>Cal-Bend</v>
      </c>
    </row>
    <row r="114" spans="1:12" x14ac:dyDescent="0.25">
      <c r="A114" s="25" t="s">
        <v>861</v>
      </c>
      <c r="B114" t="str">
        <f>VLOOKUP(A114,Lcode_mapping!D:T,1,FALSE)</f>
        <v>CONSNDEL</v>
      </c>
      <c r="C114" t="str">
        <f>VLOOKUP($A114,Lcode_mapping!$D:$T,15,FALSE)</f>
        <v>DelayTheoretical</v>
      </c>
      <c r="D114" t="str">
        <f>VLOOKUP($A114,Lcode_mapping!$D:$T,7,FALSE)</f>
        <v>Consensus theo. delay (microsec)</v>
      </c>
      <c r="E114" t="str">
        <f>VLOOKUP($A114,Lcode_mapping!$D:$T,17,FALSE)</f>
        <v>Consensus theoretical delay</v>
      </c>
      <c r="H114" t="str">
        <f t="shared" si="6"/>
        <v>CONSNDEL</v>
      </c>
      <c r="I114" t="str">
        <f t="shared" si="7"/>
        <v>DelayTheoretical</v>
      </c>
      <c r="J114" t="str">
        <f t="shared" si="8"/>
        <v>Consensus theoretical delay</v>
      </c>
      <c r="K114" t="str">
        <f>VLOOKUP($A114,Lcode_mapping!$D:$T,12,FALSE)</f>
        <v>ObsTheoretical</v>
      </c>
      <c r="L114" t="str">
        <f>VLOOKUP($A114,Lcode_mapping!$D:$T,13,FALSE)</f>
        <v>DelayTheoretical</v>
      </c>
    </row>
    <row r="115" spans="1:12" x14ac:dyDescent="0.25">
      <c r="A115" s="25" t="s">
        <v>863</v>
      </c>
      <c r="B115" t="str">
        <f>VLOOKUP(A115,Lcode_mapping!D:T,1,FALSE)</f>
        <v>CONSNRAT</v>
      </c>
      <c r="C115" t="str">
        <f>VLOOKUP($A115,Lcode_mapping!$D:$T,15,FALSE)</f>
        <v>RateTheoretical</v>
      </c>
      <c r="D115" t="str">
        <f>VLOOKUP($A115,Lcode_mapping!$D:$T,7,FALSE)</f>
        <v>Consensus theo. rate (sec/sec)</v>
      </c>
      <c r="E115" t="str">
        <f>VLOOKUP($A115,Lcode_mapping!$D:$T,17,FALSE)</f>
        <v>Consensus theoretical rate</v>
      </c>
      <c r="H115" t="str">
        <f t="shared" si="6"/>
        <v>CONSNRAT</v>
      </c>
      <c r="I115" t="str">
        <f t="shared" si="7"/>
        <v>RateTheoretical</v>
      </c>
      <c r="J115" t="str">
        <f t="shared" si="8"/>
        <v>Consensus theoretical rate</v>
      </c>
      <c r="K115" t="str">
        <f>VLOOKUP($A115,Lcode_mapping!$D:$T,12,FALSE)</f>
        <v>ObsTheoretical</v>
      </c>
      <c r="L115" t="str">
        <f>VLOOKUP($A115,Lcode_mapping!$D:$T,13,FALSE)</f>
        <v>RateTheoretical</v>
      </c>
    </row>
    <row r="116" spans="1:12" x14ac:dyDescent="0.25">
      <c r="A116" s="25" t="s">
        <v>865</v>
      </c>
      <c r="B116" t="str">
        <f>VLOOKUP(A116,Lcode_mapping!D:T,1,FALSE)</f>
        <v>CONSPART</v>
      </c>
      <c r="C116" t="str">
        <f>VLOOKUP($A116,Lcode_mapping!$D:$T,15,FALSE)</f>
        <v>Part-Gamma</v>
      </c>
      <c r="D116" t="str">
        <f>VLOOKUP($A116,Lcode_mapping!$D:$T,7,FALSE)</f>
        <v>Consensus partial w.r.t. Gamma</v>
      </c>
      <c r="E116" t="str">
        <f>VLOOKUP($A116,Lcode_mapping!$D:$T,17,FALSE)</f>
        <v>-</v>
      </c>
      <c r="H116" t="str">
        <f t="shared" si="6"/>
        <v>CONSPART</v>
      </c>
      <c r="I116" t="str">
        <f t="shared" si="7"/>
        <v>Part-Gamma</v>
      </c>
      <c r="J116" t="str">
        <f t="shared" si="8"/>
        <v>Consensus partial w.r.t. Gamma</v>
      </c>
      <c r="K116" t="str">
        <f>VLOOKUP($A116,Lcode_mapping!$D:$T,12,FALSE)</f>
        <v>ObsPart</v>
      </c>
      <c r="L116" t="str">
        <f>VLOOKUP($A116,Lcode_mapping!$D:$T,13,FALSE)</f>
        <v>Part-Gamma</v>
      </c>
    </row>
    <row r="117" spans="1:12" x14ac:dyDescent="0.25">
      <c r="A117" s="25" t="s">
        <v>167</v>
      </c>
      <c r="B117" t="str">
        <f>VLOOKUP(A117,Lcode_mapping!D:T,1,FALSE)</f>
        <v>COR DATA</v>
      </c>
      <c r="C117" t="str">
        <f>VLOOKUP($A117,Lcode_mapping!$D:$T,15,FALSE)</f>
        <v>CoronaData</v>
      </c>
      <c r="D117" t="str">
        <f>VLOOKUP($A117,Lcode_mapping!$D:$T,7,FALSE)</f>
        <v>Corona model parameters.</v>
      </c>
      <c r="E117" t="str">
        <f>VLOOKUP($A117,Lcode_mapping!$D:$T,17,FALSE)</f>
        <v>-</v>
      </c>
      <c r="H117" t="str">
        <f t="shared" si="6"/>
        <v>COR DATA</v>
      </c>
      <c r="I117" t="str">
        <f t="shared" si="7"/>
        <v>CoronaData</v>
      </c>
      <c r="J117" t="str">
        <f t="shared" si="8"/>
        <v>Corona model parameters.</v>
      </c>
      <c r="K117" t="str">
        <f>VLOOKUP($A117,Lcode_mapping!$D:$T,12,FALSE)</f>
        <v>Solve</v>
      </c>
      <c r="L117" t="str">
        <f>VLOOKUP($A117,Lcode_mapping!$D:$T,13,FALSE)</f>
        <v>CalcInfo</v>
      </c>
    </row>
    <row r="118" spans="1:12" x14ac:dyDescent="0.25">
      <c r="A118" s="25" t="s">
        <v>1050</v>
      </c>
      <c r="B118" t="str">
        <f>VLOOKUP(A118,Lcode_mapping!D:T,1,FALSE)</f>
        <v>CORBASCD</v>
      </c>
      <c r="C118" t="str">
        <f>VLOOKUP($A118,Lcode_mapping!$D:$T,15,FALSE)</f>
        <v>-</v>
      </c>
      <c r="D118" t="str">
        <f>VLOOKUP($A118,Lcode_mapping!$D:$T,7,FALSE)</f>
        <v>Correlator baseline code (2 ch).</v>
      </c>
      <c r="E118" t="str">
        <f>VLOOKUP($A118,Lcode_mapping!$D:$T,17,FALSE)</f>
        <v>-</v>
      </c>
      <c r="H118" t="str">
        <f t="shared" si="6"/>
        <v>CORBASCD</v>
      </c>
      <c r="I118" t="str">
        <f t="shared" si="7"/>
        <v>CORBASCD</v>
      </c>
      <c r="J118" t="str">
        <f t="shared" si="8"/>
        <v>Correlator baseline code (2 ch).</v>
      </c>
      <c r="K118" t="str">
        <f>VLOOKUP($A118,Lcode_mapping!$D:$T,12,FALSE)</f>
        <v>Observables</v>
      </c>
      <c r="L118" t="str">
        <f>VLOOKUP($A118,Lcode_mapping!$D:$T,13,FALSE)</f>
        <v>CorrInfo_bX</v>
      </c>
    </row>
    <row r="119" spans="1:12" x14ac:dyDescent="0.25">
      <c r="A119" s="25" t="s">
        <v>57</v>
      </c>
      <c r="B119" t="str">
        <f>VLOOKUP(A119,Lcode_mapping!D:T,1,FALSE)</f>
        <v>CORBASNO</v>
      </c>
      <c r="C119" t="str">
        <f>VLOOKUP($A119,Lcode_mapping!$D:$T,15,FALSE)</f>
        <v>-</v>
      </c>
      <c r="D119" t="str">
        <f>VLOOKUP($A119,Lcode_mapping!$D:$T,7,FALSE)</f>
        <v xml:space="preserve">Correlator baseline number. </v>
      </c>
      <c r="E119" t="str">
        <f>VLOOKUP($A119,Lcode_mapping!$D:$T,17,FALSE)</f>
        <v>-</v>
      </c>
      <c r="H119" t="str">
        <f t="shared" si="6"/>
        <v>CORBASNO</v>
      </c>
      <c r="I119" t="str">
        <f t="shared" si="7"/>
        <v>CORBASNO</v>
      </c>
      <c r="J119" t="str">
        <f t="shared" si="8"/>
        <v xml:space="preserve">Correlator baseline number. </v>
      </c>
      <c r="K119" t="str">
        <f>VLOOKUP($A119,Lcode_mapping!$D:$T,12,FALSE)</f>
        <v>Observables</v>
      </c>
      <c r="L119" t="str">
        <f>VLOOKUP($A119,Lcode_mapping!$D:$T,13,FALSE)</f>
        <v>CorrInfo_bX</v>
      </c>
    </row>
    <row r="120" spans="1:12" x14ac:dyDescent="0.25">
      <c r="A120" s="25" t="s">
        <v>996</v>
      </c>
      <c r="B120" t="str">
        <f>VLOOKUP(A120,Lcode_mapping!D:T,1,FALSE)</f>
        <v>CORCLOCK</v>
      </c>
      <c r="C120" t="str">
        <f>VLOOKUP($A120,Lcode_mapping!$D:$T,15,FALSE)</f>
        <v>-</v>
      </c>
      <c r="D120" t="str">
        <f>VLOOKUP($A120,Lcode_mapping!$D:$T,7,FALSE)</f>
        <v>Clock offset(sec)/rate(sec/sec).</v>
      </c>
      <c r="E120" t="str">
        <f>VLOOKUP($A120,Lcode_mapping!$D:$T,17,FALSE)</f>
        <v>-</v>
      </c>
      <c r="H120" t="str">
        <f t="shared" si="6"/>
        <v>CORCLOCK</v>
      </c>
      <c r="I120" t="str">
        <f t="shared" si="7"/>
        <v>CORCLOCK</v>
      </c>
      <c r="J120" t="str">
        <f t="shared" si="8"/>
        <v>Clock offset(sec)/rate(sec/sec).</v>
      </c>
      <c r="K120" t="str">
        <f>VLOOKUP($A120,Lcode_mapping!$D:$T,12,FALSE)</f>
        <v>Observables</v>
      </c>
      <c r="L120" t="str">
        <f>VLOOKUP($A120,Lcode_mapping!$D:$T,13,FALSE)</f>
        <v>CorrInfo_bX</v>
      </c>
    </row>
    <row r="121" spans="1:12" x14ac:dyDescent="0.25">
      <c r="A121" s="25" t="s">
        <v>1026</v>
      </c>
      <c r="B121" t="str">
        <f>VLOOKUP(A121,Lcode_mapping!D:T,1,FALSE)</f>
        <v>CORELVER</v>
      </c>
      <c r="C121" t="str">
        <f>VLOOKUP($A121,Lcode_mapping!$D:$T,15,FALSE)</f>
        <v>-</v>
      </c>
      <c r="D121" t="str">
        <f>VLOOKUP($A121,Lcode_mapping!$D:$T,7,FALSE)</f>
        <v>Correlator software version numb</v>
      </c>
      <c r="E121" t="str">
        <f>VLOOKUP($A121,Lcode_mapping!$D:$T,17,FALSE)</f>
        <v>-</v>
      </c>
      <c r="H121" t="str">
        <f t="shared" si="6"/>
        <v>CORELVER</v>
      </c>
      <c r="I121" t="str">
        <f t="shared" si="7"/>
        <v>CORELVER</v>
      </c>
      <c r="J121" t="str">
        <f t="shared" si="8"/>
        <v>Correlator software version numb</v>
      </c>
      <c r="K121" t="str">
        <f>VLOOKUP($A121,Lcode_mapping!$D:$T,12,FALSE)</f>
        <v>Observables</v>
      </c>
      <c r="L121" t="str">
        <f>VLOOKUP($A121,Lcode_mapping!$D:$T,13,FALSE)</f>
        <v>CorrInfo_bX</v>
      </c>
    </row>
    <row r="122" spans="1:12" x14ac:dyDescent="0.25">
      <c r="A122" s="25" t="s">
        <v>588</v>
      </c>
      <c r="B122" t="str">
        <f>VLOOKUP(A122,Lcode_mapping!D:T,1,FALSE)</f>
        <v>CORPLACE</v>
      </c>
      <c r="C122" t="str">
        <f>VLOOKUP($A122,Lcode_mapping!$D:$T,15,FALSE)</f>
        <v>Correlator</v>
      </c>
      <c r="D122" t="str">
        <f>VLOOKUP($A122,Lcode_mapping!$D:$T,7,FALSE)</f>
        <v>Correlator name.</v>
      </c>
      <c r="E122" t="str">
        <f>VLOOKUP($A122,Lcode_mapping!$D:$T,17,FALSE)</f>
        <v>-</v>
      </c>
      <c r="H122" t="str">
        <f t="shared" si="6"/>
        <v>CORPLACE</v>
      </c>
      <c r="I122" t="str">
        <f t="shared" si="7"/>
        <v>Correlator</v>
      </c>
      <c r="J122" t="str">
        <f t="shared" si="8"/>
        <v>Correlator name.</v>
      </c>
      <c r="K122" t="str">
        <f>VLOOKUP($A122,Lcode_mapping!$D:$T,12,FALSE)</f>
        <v>-</v>
      </c>
      <c r="L122" t="str">
        <f>VLOOKUP($A122,Lcode_mapping!$D:$T,13,FALSE)</f>
        <v>Head</v>
      </c>
    </row>
    <row r="123" spans="1:12" x14ac:dyDescent="0.25">
      <c r="A123" s="25" t="s">
        <v>1028</v>
      </c>
      <c r="B123" t="str">
        <f>VLOOKUP(A123,Lcode_mapping!D:T,1,FALSE)</f>
        <v>CORR UTC</v>
      </c>
      <c r="C123" t="str">
        <f>VLOOKUP($A123,Lcode_mapping!$D:$T,15,FALSE)</f>
        <v>UTCCorr</v>
      </c>
      <c r="D123" t="str">
        <f>VLOOKUP($A123,Lcode_mapping!$D:$T,7,FALSE)</f>
        <v>UTC time tag of correlation.</v>
      </c>
      <c r="E123" t="str">
        <f>VLOOKUP($A123,Lcode_mapping!$D:$T,17,FALSE)</f>
        <v>-</v>
      </c>
      <c r="H123" t="str">
        <f t="shared" si="6"/>
        <v>CORR UTC</v>
      </c>
      <c r="I123" t="str">
        <f t="shared" si="7"/>
        <v>UTCCorr</v>
      </c>
      <c r="J123" t="str">
        <f t="shared" si="8"/>
        <v>UTC time tag of correlation.</v>
      </c>
      <c r="K123" t="str">
        <f>VLOOKUP($A123,Lcode_mapping!$D:$T,12,FALSE)</f>
        <v>Observables</v>
      </c>
      <c r="L123" t="str">
        <f>VLOOKUP($A123,Lcode_mapping!$D:$T,13,FALSE)</f>
        <v>CorrInfo_bX</v>
      </c>
    </row>
    <row r="124" spans="1:12" x14ac:dyDescent="0.25">
      <c r="A124" s="25" t="s">
        <v>591</v>
      </c>
      <c r="B124" t="str">
        <f>VLOOKUP(A124,Lcode_mapping!D:T,1,FALSE)</f>
        <v>CORRTYPE</v>
      </c>
      <c r="C124" t="str">
        <f>VLOOKUP($A124,Lcode_mapping!$D:$T,15,FALSE)</f>
        <v>CorrelatorType</v>
      </c>
      <c r="D124" t="str">
        <f>VLOOKUP($A124,Lcode_mapping!$D:$T,7,FALSE)</f>
        <v>Correlator type: MK3/MK4/K4 etc.</v>
      </c>
      <c r="E124" t="str">
        <f>VLOOKUP($A124,Lcode_mapping!$D:$T,17,FALSE)</f>
        <v>-</v>
      </c>
      <c r="H124" t="str">
        <f t="shared" si="6"/>
        <v>CORRTYPE</v>
      </c>
      <c r="I124" t="str">
        <f t="shared" si="7"/>
        <v>CorrelatorType</v>
      </c>
      <c r="J124" t="str">
        <f t="shared" si="8"/>
        <v>Correlator type: MK3/MK4/K4 etc.</v>
      </c>
      <c r="K124" t="str">
        <f>VLOOKUP($A124,Lcode_mapping!$D:$T,12,FALSE)</f>
        <v>-</v>
      </c>
      <c r="L124" t="str">
        <f>VLOOKUP($A124,Lcode_mapping!$D:$T,13,FALSE)</f>
        <v>Head</v>
      </c>
    </row>
    <row r="125" spans="1:12" x14ac:dyDescent="0.25">
      <c r="A125" s="25" t="s">
        <v>1052</v>
      </c>
      <c r="B125" t="str">
        <f>VLOOKUP(A125,Lcode_mapping!D:T,1,FALSE)</f>
        <v>CROOTFIL</v>
      </c>
      <c r="C125" t="str">
        <f>VLOOKUP($A125,Lcode_mapping!$D:$T,15,FALSE)</f>
        <v>-</v>
      </c>
      <c r="D125" t="str">
        <f>VLOOKUP($A125,Lcode_mapping!$D:$T,7,FALSE)</f>
        <v>Correlator root file name.</v>
      </c>
      <c r="E125" t="str">
        <f>VLOOKUP($A125,Lcode_mapping!$D:$T,17,FALSE)</f>
        <v>-</v>
      </c>
      <c r="H125" t="str">
        <f t="shared" si="6"/>
        <v>CROOTFIL</v>
      </c>
      <c r="I125" t="str">
        <f t="shared" si="7"/>
        <v>CROOTFIL</v>
      </c>
      <c r="J125" t="str">
        <f t="shared" si="8"/>
        <v>Correlator root file name.</v>
      </c>
      <c r="K125" t="str">
        <f>VLOOKUP($A125,Lcode_mapping!$D:$T,12,FALSE)</f>
        <v>Observables</v>
      </c>
      <c r="L125" t="str">
        <f>VLOOKUP($A125,Lcode_mapping!$D:$T,13,FALSE)</f>
        <v>CorrInfo_bX</v>
      </c>
    </row>
    <row r="126" spans="1:12" x14ac:dyDescent="0.25">
      <c r="A126" s="25" t="s">
        <v>853</v>
      </c>
      <c r="B126" t="str">
        <f>VLOOKUP(A126,Lcode_mapping!D:T,1,FALSE)</f>
        <v>CT SITE1</v>
      </c>
      <c r="C126" t="str">
        <f>VLOOKUP($A126,Lcode_mapping!$D:$T,15,FALSE)</f>
        <v>FractC</v>
      </c>
      <c r="D126" t="str">
        <f>VLOOKUP($A126,Lcode_mapping!$D:$T,7,FALSE)</f>
        <v>CT fraction at obs site 1</v>
      </c>
      <c r="E126" t="str">
        <f>VLOOKUP($A126,Lcode_mapping!$D:$T,17,FALSE)</f>
        <v>Coordinate time at site 1</v>
      </c>
      <c r="H126" t="str">
        <f t="shared" si="6"/>
        <v>CT SITE1</v>
      </c>
      <c r="I126" t="str">
        <f t="shared" si="7"/>
        <v>FractC</v>
      </c>
      <c r="J126" t="str">
        <f t="shared" si="8"/>
        <v>Coordinate time at site 1</v>
      </c>
      <c r="K126" t="str">
        <f>VLOOKUP($A126,Lcode_mapping!$D:$T,12,FALSE)</f>
        <v>Solve</v>
      </c>
      <c r="L126" t="str">
        <f>VLOOKUP($A126,Lcode_mapping!$D:$T,13,FALSE)</f>
        <v>FractC</v>
      </c>
    </row>
    <row r="127" spans="1:12" x14ac:dyDescent="0.25">
      <c r="A127" s="25" t="s">
        <v>677</v>
      </c>
      <c r="B127" t="str">
        <f>VLOOKUP(A127,Lcode_mapping!D:T,1,FALSE)</f>
        <v>CTI CFLG</v>
      </c>
      <c r="C127" t="str">
        <f>VLOOKUP($A127,Lcode_mapping!$D:$T,15,FALSE)</f>
        <v>CTIControl</v>
      </c>
      <c r="D127" t="str">
        <f>VLOOKUP($A127,Lcode_mapping!$D:$T,7,FALSE)</f>
        <v>CTIMG Flow Control Message Der</v>
      </c>
      <c r="E127" t="str">
        <f>VLOOKUP($A127,Lcode_mapping!$D:$T,17,FALSE)</f>
        <v>-</v>
      </c>
      <c r="H127" t="str">
        <f t="shared" si="6"/>
        <v>CTI CFLG</v>
      </c>
      <c r="I127" t="str">
        <f t="shared" si="7"/>
        <v>CTIControl</v>
      </c>
      <c r="J127" t="str">
        <f t="shared" si="8"/>
        <v>CTIMG Flow Control Message Der</v>
      </c>
      <c r="K127" t="str">
        <f>VLOOKUP($A127,Lcode_mapping!$D:$T,12,FALSE)</f>
        <v>Solve</v>
      </c>
      <c r="L127" t="str">
        <f>VLOOKUP($A127,Lcode_mapping!$D:$T,13,FALSE)</f>
        <v>CalcInfo</v>
      </c>
    </row>
    <row r="128" spans="1:12" x14ac:dyDescent="0.25">
      <c r="A128" s="25" t="s">
        <v>675</v>
      </c>
      <c r="B128" t="str">
        <f>VLOOKUP(A128,Lcode_mapping!D:T,1,FALSE)</f>
        <v>CTI MESS</v>
      </c>
      <c r="C128" t="str">
        <f>VLOOKUP($A128,Lcode_mapping!$D:$T,15,FALSE)</f>
        <v>CTIMessage</v>
      </c>
      <c r="D128" t="str">
        <f>VLOOKUP($A128,Lcode_mapping!$D:$T,7,FALSE)</f>
        <v>CTIMG Message Definition</v>
      </c>
      <c r="E128" t="str">
        <f>VLOOKUP($A128,Lcode_mapping!$D:$T,17,FALSE)</f>
        <v>-</v>
      </c>
      <c r="H128" t="str">
        <f t="shared" si="6"/>
        <v>CTI MESS</v>
      </c>
      <c r="I128" t="str">
        <f t="shared" si="7"/>
        <v>CTIMessage</v>
      </c>
      <c r="J128" t="str">
        <f t="shared" si="8"/>
        <v>CTIMG Message Definition</v>
      </c>
      <c r="K128" t="str">
        <f>VLOOKUP($A128,Lcode_mapping!$D:$T,12,FALSE)</f>
        <v>Solve</v>
      </c>
      <c r="L128" t="str">
        <f>VLOOKUP($A128,Lcode_mapping!$D:$T,13,FALSE)</f>
        <v>CalcInfo</v>
      </c>
    </row>
    <row r="129" spans="1:12" x14ac:dyDescent="0.25">
      <c r="A129" s="25" t="s">
        <v>1030</v>
      </c>
      <c r="B129" t="str">
        <f>VLOOKUP(A129,Lcode_mapping!D:T,1,FALSE)</f>
        <v>DBEDITVE</v>
      </c>
      <c r="C129" t="str">
        <f>VLOOKUP($A129,Lcode_mapping!$D:$T,15,FALSE)</f>
        <v>-</v>
      </c>
      <c r="D129" t="str">
        <f>VLOOKUP($A129,Lcode_mapping!$D:$T,7,FALSE)</f>
        <v>Dbedit revision date YYYY MM DD</v>
      </c>
      <c r="E129" t="str">
        <f>VLOOKUP($A129,Lcode_mapping!$D:$T,17,FALSE)</f>
        <v>-</v>
      </c>
      <c r="H129" t="str">
        <f t="shared" si="6"/>
        <v>DBEDITVE</v>
      </c>
      <c r="I129" t="str">
        <f t="shared" si="7"/>
        <v>DBEDITVE</v>
      </c>
      <c r="J129" t="str">
        <f t="shared" si="8"/>
        <v>Dbedit revision date YYYY MM DD</v>
      </c>
      <c r="K129" t="str">
        <f>VLOOKUP($A129,Lcode_mapping!$D:$T,12,FALSE)</f>
        <v>Observables</v>
      </c>
      <c r="L129" t="str">
        <f>VLOOKUP($A129,Lcode_mapping!$D:$T,13,FALSE)</f>
        <v>CorrInfo_bX</v>
      </c>
    </row>
    <row r="130" spans="1:12" x14ac:dyDescent="0.25">
      <c r="A130" s="25" t="s">
        <v>1373</v>
      </c>
      <c r="B130" t="str">
        <f>VLOOKUP(A130,Lcode_mapping!D:T,1,FALSE)</f>
        <v>DEL FRQS</v>
      </c>
      <c r="C130" t="str">
        <f>VLOOKUP($A130,Lcode_mapping!$D:$T,15,FALSE)</f>
        <v>-</v>
      </c>
      <c r="D130" t="str">
        <f>VLOOKUP($A130,Lcode_mapping!$D:$T,7,FALSE)</f>
        <v>ALIAS OF REF FREQ.</v>
      </c>
      <c r="E130" t="str">
        <f>VLOOKUP($A130,Lcode_mapping!$D:$T,17,FALSE)</f>
        <v>-</v>
      </c>
      <c r="H130" t="str">
        <f t="shared" si="6"/>
        <v>DEL FRQS</v>
      </c>
      <c r="I130" t="str">
        <f t="shared" si="7"/>
        <v>DEL FRQS</v>
      </c>
      <c r="J130" t="str">
        <f t="shared" si="8"/>
        <v>ALIAS OF REF FREQ.</v>
      </c>
      <c r="K130" t="str">
        <f>VLOOKUP($A130,Lcode_mapping!$D:$T,12,FALSE)</f>
        <v>OBSOLETE</v>
      </c>
      <c r="L130" t="str">
        <f>VLOOKUP($A130,Lcode_mapping!$D:$T,13,FALSE)</f>
        <v>-</v>
      </c>
    </row>
    <row r="131" spans="1:12" x14ac:dyDescent="0.25">
      <c r="A131" s="25" t="s">
        <v>741</v>
      </c>
      <c r="B131" t="str">
        <f>VLOOKUP(A131,Lcode_mapping!D:T,1,FALSE)</f>
        <v>DEL OBSV</v>
      </c>
      <c r="C131" t="str">
        <f>VLOOKUP($A131,Lcode_mapping!$D:$T,15,FALSE)</f>
        <v>GroupDelay</v>
      </c>
      <c r="D131" t="str">
        <f>VLOOKUP($A131,Lcode_mapping!$D:$T,7,FALSE)</f>
        <v>Observed delay us in 2 parts.</v>
      </c>
      <c r="E131" t="str">
        <f>VLOOKUP($A131,Lcode_mapping!$D:$T,17,FALSE)</f>
        <v>Delay observable produced by fringing.</v>
      </c>
      <c r="H131" t="str">
        <f t="shared" si="6"/>
        <v>DEL OBSV</v>
      </c>
      <c r="I131" t="str">
        <f t="shared" si="7"/>
        <v>GroupDelay</v>
      </c>
      <c r="J131" t="str">
        <f t="shared" si="8"/>
        <v>Delay observable produced by fringing.</v>
      </c>
      <c r="K131" t="str">
        <f>VLOOKUP($A131,Lcode_mapping!$D:$T,12,FALSE)</f>
        <v>Observables</v>
      </c>
      <c r="L131" t="str">
        <f>VLOOKUP($A131,Lcode_mapping!$D:$T,13,FALSE)</f>
        <v>GroupDelay_bX</v>
      </c>
    </row>
    <row r="132" spans="1:12" x14ac:dyDescent="0.25">
      <c r="A132" s="25" t="s">
        <v>1443</v>
      </c>
      <c r="B132" t="str">
        <f>VLOOKUP(A132,Lcode_mapping!D:T,1,FALSE)</f>
        <v>DELOBSVM</v>
      </c>
      <c r="C132" t="str">
        <f>VLOOKUP($A132,Lcode_mapping!$D:$T,15,FALSE)</f>
        <v>-</v>
      </c>
      <c r="D132" t="str">
        <f>VLOOKUP($A132,Lcode_mapping!$D:$T,7,FALSE)</f>
        <v xml:space="preserve">Obs delay at central epoch us. </v>
      </c>
      <c r="E132" t="str">
        <f>VLOOKUP($A132,Lcode_mapping!$D:$T,17,FALSE)</f>
        <v>-</v>
      </c>
      <c r="H132" t="str">
        <f t="shared" si="6"/>
        <v>DELOBSVM</v>
      </c>
      <c r="I132" t="str">
        <f t="shared" si="7"/>
        <v>DELOBSVM</v>
      </c>
      <c r="J132" t="str">
        <f t="shared" si="8"/>
        <v xml:space="preserve">Obs delay at central epoch us. </v>
      </c>
      <c r="K132" t="str">
        <f>VLOOKUP($A132,Lcode_mapping!$D:$T,12,FALSE)</f>
        <v>Observables</v>
      </c>
      <c r="L132" t="str">
        <f>VLOOKUP($A132,Lcode_mapping!$D:$T,13,FALSE)</f>
        <v>CorrInfo_bX</v>
      </c>
    </row>
    <row r="133" spans="1:12" x14ac:dyDescent="0.25">
      <c r="A133" s="25" t="s">
        <v>743</v>
      </c>
      <c r="B133" t="str">
        <f>VLOOKUP(A133,Lcode_mapping!D:T,1,FALSE)</f>
        <v>DELRESID</v>
      </c>
      <c r="C133" t="str">
        <f>VLOOKUP($A133,Lcode_mapping!$D:$T,15,FALSE)</f>
        <v>-</v>
      </c>
      <c r="D133" t="str">
        <f>VLOOKUP($A133,Lcode_mapping!$D:$T,7,FALSE)</f>
        <v>Delay residual (sec).</v>
      </c>
      <c r="E133" t="str">
        <f>VLOOKUP($A133,Lcode_mapping!$D:$T,17,FALSE)</f>
        <v>-</v>
      </c>
      <c r="H133" t="str">
        <f t="shared" si="6"/>
        <v>DELRESID</v>
      </c>
      <c r="I133" t="str">
        <f t="shared" si="7"/>
        <v>DELRESID</v>
      </c>
      <c r="J133" t="str">
        <f t="shared" si="8"/>
        <v>Delay residual (sec).</v>
      </c>
      <c r="K133" t="str">
        <f>VLOOKUP($A133,Lcode_mapping!$D:$T,12,FALSE)</f>
        <v>Observables</v>
      </c>
      <c r="L133" t="str">
        <f>VLOOKUP($A133,Lcode_mapping!$D:$T,13,FALSE)</f>
        <v>CorrInfo_bX</v>
      </c>
    </row>
    <row r="134" spans="1:12" x14ac:dyDescent="0.25">
      <c r="A134" s="25" t="s">
        <v>745</v>
      </c>
      <c r="B134" t="str">
        <f>VLOOKUP(A134,Lcode_mapping!D:T,1,FALSE)</f>
        <v>DELSIGMA</v>
      </c>
      <c r="C134" t="str">
        <f>VLOOKUP($A134,Lcode_mapping!$D:$T,15,FALSE)</f>
        <v>GroupDelaySig</v>
      </c>
      <c r="D134" t="str">
        <f>VLOOKUP($A134,Lcode_mapping!$D:$T,7,FALSE)</f>
        <v>Delay err (sec).</v>
      </c>
      <c r="E134" t="str">
        <f>VLOOKUP($A134,Lcode_mapping!$D:$T,17,FALSE)</f>
        <v>Delay Measurement Sigma</v>
      </c>
      <c r="H134" t="str">
        <f t="shared" si="6"/>
        <v>DELSIGMA</v>
      </c>
      <c r="I134" t="str">
        <f t="shared" si="7"/>
        <v>GroupDelaySig</v>
      </c>
      <c r="J134" t="str">
        <f t="shared" si="8"/>
        <v>Delay Measurement Sigma</v>
      </c>
      <c r="K134" t="str">
        <f>VLOOKUP($A134,Lcode_mapping!$D:$T,12,FALSE)</f>
        <v>Observables</v>
      </c>
      <c r="L134" t="str">
        <f>VLOOKUP($A134,Lcode_mapping!$D:$T,13,FALSE)</f>
        <v>GroupDelay_bX</v>
      </c>
    </row>
    <row r="135" spans="1:12" x14ac:dyDescent="0.25">
      <c r="A135" s="25" t="s">
        <v>747</v>
      </c>
      <c r="B135" t="str">
        <f>VLOOKUP(A135,Lcode_mapping!D:T,1,FALSE)</f>
        <v>DELTAEPO</v>
      </c>
      <c r="C135" t="str">
        <f>VLOOKUP($A135,Lcode_mapping!$D:$T,15,FALSE)</f>
        <v>-</v>
      </c>
      <c r="D135" t="str">
        <f>VLOOKUP($A135,Lcode_mapping!$D:$T,7,FALSE)</f>
        <v>Offset from center of scan (sec)</v>
      </c>
      <c r="E135" t="str">
        <f>VLOOKUP($A135,Lcode_mapping!$D:$T,17,FALSE)</f>
        <v>-</v>
      </c>
      <c r="H135" t="str">
        <f t="shared" si="6"/>
        <v>DELTAEPO</v>
      </c>
      <c r="I135" t="str">
        <f t="shared" si="7"/>
        <v>DELTAEPO</v>
      </c>
      <c r="J135" t="str">
        <f t="shared" si="8"/>
        <v>Offset from center of scan (sec)</v>
      </c>
      <c r="K135" t="str">
        <f>VLOOKUP($A135,Lcode_mapping!$D:$T,12,FALSE)</f>
        <v>Observables</v>
      </c>
      <c r="L135" t="str">
        <f>VLOOKUP($A135,Lcode_mapping!$D:$T,13,FALSE)</f>
        <v>CorrInfo_bX</v>
      </c>
    </row>
    <row r="136" spans="1:12" x14ac:dyDescent="0.25">
      <c r="A136" s="25" t="s">
        <v>1363</v>
      </c>
      <c r="B136" t="str">
        <f>VLOOKUP(A136,Lcode_mapping!D:T,1,FALSE)</f>
        <v>DELTFLAG</v>
      </c>
      <c r="C136" t="str">
        <f>VLOOKUP($A136,Lcode_mapping!$D:$T,15,FALSE)</f>
        <v>-</v>
      </c>
      <c r="D136" t="str">
        <f>VLOOKUP($A136,Lcode_mapping!$D:$T,7,FALSE)</f>
        <v xml:space="preserve">Delay type  1=grp  2=phs. </v>
      </c>
      <c r="E136" t="str">
        <f>VLOOKUP($A136,Lcode_mapping!$D:$T,17,FALSE)</f>
        <v>-</v>
      </c>
      <c r="H136" t="str">
        <f t="shared" si="6"/>
        <v>DELTFLAG</v>
      </c>
      <c r="I136" t="str">
        <f t="shared" si="7"/>
        <v>DELTFLAG</v>
      </c>
      <c r="J136" t="str">
        <f t="shared" si="8"/>
        <v xml:space="preserve">Delay type  1=grp  2=phs. </v>
      </c>
      <c r="K136" t="str">
        <f>VLOOKUP($A136,Lcode_mapping!$D:$T,12,FALSE)</f>
        <v>OBSOLETE</v>
      </c>
      <c r="L136" t="str">
        <f>VLOOKUP($A136,Lcode_mapping!$D:$T,13,FALSE)</f>
        <v>-</v>
      </c>
    </row>
    <row r="137" spans="1:12" x14ac:dyDescent="0.25">
      <c r="A137" s="25" t="s">
        <v>948</v>
      </c>
      <c r="B137" t="str">
        <f>VLOOKUP(A137,Lcode_mapping!D:T,1,FALSE)</f>
        <v>DELUFLAG</v>
      </c>
      <c r="C137" t="str">
        <f>VLOOKUP($A137,Lcode_mapping!$D:$T,15,FALSE)</f>
        <v>DelayFlag</v>
      </c>
      <c r="D137" t="str">
        <f>VLOOKUP($A137,Lcode_mapping!$D:$T,7,FALSE)</f>
        <v>Delay unweight flag</v>
      </c>
      <c r="E137" t="str">
        <f>VLOOKUP($A137,Lcode_mapping!$D:$T,17,FALSE)</f>
        <v>-</v>
      </c>
      <c r="H137" t="str">
        <f t="shared" si="6"/>
        <v>DELUFLAG</v>
      </c>
      <c r="I137" t="str">
        <f t="shared" si="7"/>
        <v>DelayFlag</v>
      </c>
      <c r="J137" t="str">
        <f t="shared" si="8"/>
        <v>Delay unweight flag</v>
      </c>
      <c r="K137" t="str">
        <f>VLOOKUP($A137,Lcode_mapping!$D:$T,12,FALSE)</f>
        <v>ObsEdit</v>
      </c>
      <c r="L137" t="str">
        <f>VLOOKUP($A137,Lcode_mapping!$D:$T,13,FALSE)</f>
        <v>Edit</v>
      </c>
    </row>
    <row r="138" spans="1:12" x14ac:dyDescent="0.25">
      <c r="A138" s="25" t="s">
        <v>998</v>
      </c>
      <c r="B138" t="str">
        <f>VLOOKUP(A138,Lcode_mapping!D:T,1,FALSE)</f>
        <v>DISCARD</v>
      </c>
      <c r="C138" t="str">
        <f>VLOOKUP($A138,Lcode_mapping!$D:$T,15,FALSE)</f>
        <v>-</v>
      </c>
      <c r="D138" t="str">
        <f>VLOOKUP($A138,Lcode_mapping!$D:$T,7,FALSE)</f>
        <v>Percent data discarded by FRNGE.</v>
      </c>
      <c r="E138" t="str">
        <f>VLOOKUP($A138,Lcode_mapping!$D:$T,17,FALSE)</f>
        <v>-</v>
      </c>
      <c r="H138" t="str">
        <f t="shared" si="6"/>
        <v>DISCARD</v>
      </c>
      <c r="I138" t="str">
        <f t="shared" si="7"/>
        <v>DISCARD</v>
      </c>
      <c r="J138" t="str">
        <f t="shared" si="8"/>
        <v>Percent data discarded by FRNGE.</v>
      </c>
      <c r="K138" t="str">
        <f>VLOOKUP($A138,Lcode_mapping!$D:$T,12,FALSE)</f>
        <v>Observables</v>
      </c>
      <c r="L138" t="str">
        <f>VLOOKUP($A138,Lcode_mapping!$D:$T,13,FALSE)</f>
        <v>CorrInfo_bX</v>
      </c>
    </row>
    <row r="139" spans="1:12" x14ac:dyDescent="0.25">
      <c r="A139" s="25" t="s">
        <v>904</v>
      </c>
      <c r="B139" t="str">
        <f>VLOOKUP(A139,Lcode_mapping!D:T,1,FALSE)</f>
        <v>DLERR XS</v>
      </c>
      <c r="C139" t="str">
        <f>VLOOKUP($A139,Lcode_mapping!$D:$T,15,FALSE)</f>
        <v>GroupDelaySig</v>
      </c>
      <c r="D139" t="str">
        <f>VLOOKUP($A139,Lcode_mapping!$D:$T,7,FALSE)</f>
        <v>Delay formal err  opposite band</v>
      </c>
      <c r="E139" t="str">
        <f>VLOOKUP($A139,Lcode_mapping!$D:$T,17,FALSE)</f>
        <v>Delay Measurement Sigma</v>
      </c>
      <c r="H139" t="str">
        <f t="shared" si="6"/>
        <v>DLERR XS</v>
      </c>
      <c r="I139" t="str">
        <f t="shared" si="7"/>
        <v>GroupDelaySig</v>
      </c>
      <c r="J139" t="str">
        <f t="shared" si="8"/>
        <v>Delay Measurement Sigma</v>
      </c>
      <c r="K139" t="str">
        <f>VLOOKUP($A139,Lcode_mapping!$D:$T,12,FALSE)</f>
        <v>Observables</v>
      </c>
      <c r="L139" t="str">
        <f>VLOOKUP($A139,Lcode_mapping!$D:$T,13,FALSE)</f>
        <v>GroupDelay_bS</v>
      </c>
    </row>
    <row r="140" spans="1:12" x14ac:dyDescent="0.25">
      <c r="A140" s="25" t="s">
        <v>902</v>
      </c>
      <c r="B140" t="str">
        <f>VLOOKUP(A140,Lcode_mapping!D:T,1,FALSE)</f>
        <v>DLOBS XS</v>
      </c>
      <c r="C140" t="str">
        <f>VLOOKUP($A140,Lcode_mapping!$D:$T,15,FALSE)</f>
        <v>GroupDelayFull</v>
      </c>
      <c r="D140" t="str">
        <f>VLOOKUP($A140,Lcode_mapping!$D:$T,7,FALSE)</f>
        <v>Delay observable  opposite band</v>
      </c>
      <c r="E140" t="str">
        <f>VLOOKUP($A140,Lcode_mapping!$D:$T,17,FALSE)</f>
        <v>Delay Observable with ambiguities resolved and added.</v>
      </c>
      <c r="H140" t="str">
        <f t="shared" si="6"/>
        <v>DLOBS XS</v>
      </c>
      <c r="I140" t="str">
        <f t="shared" si="7"/>
        <v>GroupDelayFull</v>
      </c>
      <c r="J140" t="str">
        <f t="shared" si="8"/>
        <v>Delay Observable with ambiguities resolved and added.</v>
      </c>
      <c r="K140" t="str">
        <f>VLOOKUP($A140,Lcode_mapping!$D:$T,12,FALSE)</f>
        <v>ObsEdit</v>
      </c>
      <c r="L140" t="str">
        <f>VLOOKUP($A140,Lcode_mapping!$D:$T,13,FALSE)</f>
        <v>GroupDelayFull_bS</v>
      </c>
    </row>
    <row r="141" spans="1:12" x14ac:dyDescent="0.25">
      <c r="A141" s="25" t="s">
        <v>1445</v>
      </c>
      <c r="B141" t="str">
        <f>VLOOKUP(A141,Lcode_mapping!D:T,1,FALSE)</f>
        <v>DLYEPO+1</v>
      </c>
      <c r="C141" t="str">
        <f>VLOOKUP($A141,Lcode_mapping!$D:$T,15,FALSE)</f>
        <v>-</v>
      </c>
      <c r="D141" t="str">
        <f>VLOOKUP($A141,Lcode_mapping!$D:$T,7,FALSE)</f>
        <v xml:space="preserve">Phase delay at epoch+1 sec. </v>
      </c>
      <c r="E141" t="str">
        <f>VLOOKUP($A141,Lcode_mapping!$D:$T,17,FALSE)</f>
        <v>-</v>
      </c>
      <c r="H141" t="str">
        <f t="shared" si="6"/>
        <v>DLYEPO+1</v>
      </c>
      <c r="I141" t="str">
        <f t="shared" si="7"/>
        <v>DLYEPO+1</v>
      </c>
      <c r="J141" t="str">
        <f t="shared" si="8"/>
        <v xml:space="preserve">Phase delay at epoch+1 sec. </v>
      </c>
      <c r="K141" t="str">
        <f>VLOOKUP($A141,Lcode_mapping!$D:$T,12,FALSE)</f>
        <v>Observables</v>
      </c>
      <c r="L141" t="str">
        <f>VLOOKUP($A141,Lcode_mapping!$D:$T,13,FALSE)</f>
        <v>CorrInfo_bX</v>
      </c>
    </row>
    <row r="142" spans="1:12" x14ac:dyDescent="0.25">
      <c r="A142" s="25" t="s">
        <v>1449</v>
      </c>
      <c r="B142" t="str">
        <f>VLOOKUP(A142,Lcode_mapping!D:T,1,FALSE)</f>
        <v>DLYEPO-1</v>
      </c>
      <c r="C142" t="str">
        <f>VLOOKUP($A142,Lcode_mapping!$D:$T,15,FALSE)</f>
        <v>-</v>
      </c>
      <c r="D142" t="str">
        <f>VLOOKUP($A142,Lcode_mapping!$D:$T,7,FALSE)</f>
        <v xml:space="preserve">Phase delay at epoch-1 sec. </v>
      </c>
      <c r="E142" t="str">
        <f>VLOOKUP($A142,Lcode_mapping!$D:$T,17,FALSE)</f>
        <v>-</v>
      </c>
      <c r="H142" t="str">
        <f t="shared" si="6"/>
        <v>DLYEPO-1</v>
      </c>
      <c r="I142" t="str">
        <f t="shared" si="7"/>
        <v>DLYEPO-1</v>
      </c>
      <c r="J142" t="str">
        <f t="shared" si="8"/>
        <v xml:space="preserve">Phase delay at epoch-1 sec. </v>
      </c>
      <c r="K142" t="str">
        <f>VLOOKUP($A142,Lcode_mapping!$D:$T,12,FALSE)</f>
        <v>Observables</v>
      </c>
      <c r="L142" t="str">
        <f>VLOOKUP($A142,Lcode_mapping!$D:$T,13,FALSE)</f>
        <v>CorrInfo_bX</v>
      </c>
    </row>
    <row r="143" spans="1:12" x14ac:dyDescent="0.25">
      <c r="A143" s="25" t="s">
        <v>1447</v>
      </c>
      <c r="B143" t="str">
        <f>VLOOKUP(A143,Lcode_mapping!D:T,1,FALSE)</f>
        <v>DLYEPOCH</v>
      </c>
      <c r="C143" t="str">
        <f>VLOOKUP($A143,Lcode_mapping!$D:$T,15,FALSE)</f>
        <v>-</v>
      </c>
      <c r="D143" t="str">
        <f>VLOOKUP($A143,Lcode_mapping!$D:$T,7,FALSE)</f>
        <v>Phase delay at epoch   usec .</v>
      </c>
      <c r="E143" t="str">
        <f>VLOOKUP($A143,Lcode_mapping!$D:$T,17,FALSE)</f>
        <v>-</v>
      </c>
      <c r="H143" t="str">
        <f t="shared" si="6"/>
        <v>DLYEPOCH</v>
      </c>
      <c r="I143" t="str">
        <f t="shared" si="7"/>
        <v>DLYEPOCH</v>
      </c>
      <c r="J143" t="str">
        <f t="shared" si="8"/>
        <v>Phase delay at epoch   usec .</v>
      </c>
      <c r="K143" t="str">
        <f>VLOOKUP($A143,Lcode_mapping!$D:$T,12,FALSE)</f>
        <v>Observables</v>
      </c>
      <c r="L143" t="str">
        <f>VLOOKUP($A143,Lcode_mapping!$D:$T,13,FALSE)</f>
        <v>CorrInfo_bX</v>
      </c>
    </row>
    <row r="144" spans="1:12" x14ac:dyDescent="0.25">
      <c r="A144" s="25" t="s">
        <v>169</v>
      </c>
      <c r="B144" t="str">
        <f>VLOOKUP(A144,Lcode_mapping!D:T,1,FALSE)</f>
        <v>DNP DATA</v>
      </c>
      <c r="C144" t="str">
        <f>VLOOKUP($A144,Lcode_mapping!$D:$T,15,FALSE)</f>
        <v>-</v>
      </c>
      <c r="D144" t="str">
        <f>VLOOKUP($A144,Lcode_mapping!$D:$T,7,FALSE)</f>
        <v>Diurnal polar motion scale fact.</v>
      </c>
      <c r="E144" t="str">
        <f>VLOOKUP($A144,Lcode_mapping!$D:$T,17,FALSE)</f>
        <v>-</v>
      </c>
      <c r="H144" t="str">
        <f t="shared" si="6"/>
        <v>DNP DATA</v>
      </c>
      <c r="I144" t="str">
        <f t="shared" si="7"/>
        <v>DNP DATA</v>
      </c>
      <c r="J144" t="str">
        <f t="shared" si="8"/>
        <v>Diurnal polar motion scale fact.</v>
      </c>
      <c r="K144" t="str">
        <f>VLOOKUP($A144,Lcode_mapping!$D:$T,12,FALSE)</f>
        <v>OBSOLETE</v>
      </c>
      <c r="L144" t="str">
        <f>VLOOKUP($A144,Lcode_mapping!$D:$T,13,FALSE)</f>
        <v>-</v>
      </c>
    </row>
    <row r="145" spans="1:12" x14ac:dyDescent="0.25">
      <c r="A145" s="25" t="s">
        <v>1269</v>
      </c>
      <c r="B145" t="str">
        <f>VLOOKUP(A145,Lcode_mapping!D:T,1,FALSE)</f>
        <v>DOMESNR</v>
      </c>
      <c r="C145" t="str">
        <f>VLOOKUP($A145,Lcode_mapping!$D:$T,15,FALSE)</f>
        <v>AprioriStationDomesNumber</v>
      </c>
      <c r="D145" t="str">
        <f>VLOOKUP($A145,Lcode_mapping!$D:$T,7,FALSE)</f>
        <v>Domes number array</v>
      </c>
      <c r="E145" t="str">
        <f>VLOOKUP($A145,Lcode_mapping!$D:$T,17,FALSE)</f>
        <v>-</v>
      </c>
      <c r="H145" t="str">
        <f t="shared" si="6"/>
        <v>DOMESNR</v>
      </c>
      <c r="I145" t="str">
        <f t="shared" si="7"/>
        <v>AprioriStationDomesNumber</v>
      </c>
      <c r="J145" t="str">
        <f t="shared" si="8"/>
        <v>Domes number array</v>
      </c>
      <c r="K145" t="str">
        <f>VLOOKUP($A145,Lcode_mapping!$D:$T,12,FALSE)</f>
        <v>Apriori</v>
      </c>
      <c r="L145" t="str">
        <f>VLOOKUP($A145,Lcode_mapping!$D:$T,13,FALSE)</f>
        <v>Station</v>
      </c>
    </row>
    <row r="146" spans="1:12" x14ac:dyDescent="0.25">
      <c r="A146" s="25" t="s">
        <v>906</v>
      </c>
      <c r="B146" t="str">
        <f>VLOOKUP(A146,Lcode_mapping!D:T,1,FALSE)</f>
        <v>DPHAS XS</v>
      </c>
      <c r="C146" t="str">
        <f>VLOOKUP($A146,Lcode_mapping!$D:$T,15,FALSE)</f>
        <v>PhaseDelay</v>
      </c>
      <c r="D146" t="str">
        <f>VLOOKUP($A146,Lcode_mapping!$D:$T,7,FALSE)</f>
        <v>Phase observable  opposite band</v>
      </c>
      <c r="E146" t="str">
        <f>VLOOKUP($A146,Lcode_mapping!$D:$T,17,FALSE)</f>
        <v>Phase delay resolved with ambiguities added.</v>
      </c>
      <c r="H146" t="str">
        <f t="shared" si="6"/>
        <v>DPHAS XS</v>
      </c>
      <c r="I146" t="str">
        <f t="shared" si="7"/>
        <v>PhaseDelay</v>
      </c>
      <c r="J146" t="str">
        <f t="shared" si="8"/>
        <v>Phase delay resolved with ambiguities added.</v>
      </c>
      <c r="K146" t="str">
        <f>VLOOKUP($A146,Lcode_mapping!$D:$T,12,FALSE)</f>
        <v>ObsEdit</v>
      </c>
      <c r="L146" t="str">
        <f>VLOOKUP($A146,Lcode_mapping!$D:$T,13,FALSE)</f>
        <v>PhaseDelayFull_bS</v>
      </c>
    </row>
    <row r="147" spans="1:12" x14ac:dyDescent="0.25">
      <c r="A147" s="25" t="s">
        <v>908</v>
      </c>
      <c r="B147" t="str">
        <f>VLOOKUP(A147,Lcode_mapping!D:T,1,FALSE)</f>
        <v>DPHER XS</v>
      </c>
      <c r="C147" t="str">
        <f>VLOOKUP($A147,Lcode_mapping!$D:$T,15,FALSE)</f>
        <v>PhaseSig</v>
      </c>
      <c r="D147" t="str">
        <f>VLOOKUP($A147,Lcode_mapping!$D:$T,7,FALSE)</f>
        <v>Phase formal err  opposite band</v>
      </c>
      <c r="E147" t="str">
        <f>VLOOKUP($A147,Lcode_mapping!$D:$T,17,FALSE)</f>
        <v>Phase delay sigma.</v>
      </c>
      <c r="H147" t="str">
        <f t="shared" si="6"/>
        <v>DPHER XS</v>
      </c>
      <c r="I147" t="str">
        <f t="shared" si="7"/>
        <v>PhaseSig</v>
      </c>
      <c r="J147" t="str">
        <f t="shared" si="8"/>
        <v>Phase delay sigma.</v>
      </c>
      <c r="K147" t="str">
        <f>VLOOKUP($A147,Lcode_mapping!$D:$T,12,FALSE)</f>
        <v>Observables</v>
      </c>
      <c r="L147" t="str">
        <f>VLOOKUP($A147,Lcode_mapping!$D:$T,13,FALSE)</f>
        <v>Phase_bS</v>
      </c>
    </row>
    <row r="148" spans="1:12" x14ac:dyDescent="0.25">
      <c r="A148" s="25" t="s">
        <v>1756</v>
      </c>
      <c r="B148" t="str">
        <f>VLOOKUP(A148,Lcode_mapping!D:T,1,FALSE)</f>
        <v>DURATION</v>
      </c>
      <c r="C148" t="str">
        <f>VLOOKUP($A148,Lcode_mapping!$D:$T,15,FALSE)</f>
        <v>-</v>
      </c>
      <c r="D148" t="str">
        <f>VLOOKUP($A148,Lcode_mapping!$D:$T,7,FALSE)</f>
        <v>Scan duration (sec).</v>
      </c>
      <c r="E148" t="str">
        <f>VLOOKUP($A148,Lcode_mapping!$D:$T,17,FALSE)</f>
        <v>-</v>
      </c>
      <c r="H148" t="str">
        <f t="shared" si="6"/>
        <v>DURATION</v>
      </c>
      <c r="I148" t="str">
        <f t="shared" si="7"/>
        <v>DURATION</v>
      </c>
      <c r="J148" t="str">
        <f t="shared" si="8"/>
        <v>Scan duration (sec).</v>
      </c>
      <c r="K148" t="str">
        <f>VLOOKUP($A148,Lcode_mapping!$D:$T,12,FALSE)</f>
        <v>Observables</v>
      </c>
      <c r="L148" t="str">
        <f>VLOOKUP($A148,Lcode_mapping!$D:$T,13,FALSE)</f>
        <v>CorrInfo_bX</v>
      </c>
    </row>
    <row r="149" spans="1:12" x14ac:dyDescent="0.25">
      <c r="A149" s="25" t="s">
        <v>855</v>
      </c>
      <c r="B149" t="str">
        <f>VLOOKUP(A149,Lcode_mapping!D:T,1,FALSE)</f>
        <v>EARTH CE</v>
      </c>
      <c r="C149" t="str">
        <f>VLOOKUP($A149,Lcode_mapping!$D:$T,15,FALSE)</f>
        <v>EarthXYZ</v>
      </c>
      <c r="D149" t="str">
        <f>VLOOKUP($A149,Lcode_mapping!$D:$T,7,FALSE)</f>
        <v>Earth barycentric coordinates.</v>
      </c>
      <c r="E149" t="str">
        <f>VLOOKUP($A149,Lcode_mapping!$D:$T,17,FALSE)</f>
        <v>-</v>
      </c>
      <c r="H149" t="str">
        <f t="shared" si="6"/>
        <v>EARTH CE</v>
      </c>
      <c r="I149" t="str">
        <f t="shared" si="7"/>
        <v>EarthXYZ</v>
      </c>
      <c r="J149" t="str">
        <f t="shared" si="8"/>
        <v>Earth barycentric coordinates.</v>
      </c>
      <c r="K149" t="str">
        <f>VLOOKUP($A149,Lcode_mapping!$D:$T,12,FALSE)</f>
        <v>Scan</v>
      </c>
      <c r="L149" t="str">
        <f>VLOOKUP($A149,Lcode_mapping!$D:$T,13,FALSE)</f>
        <v>Ephemeris_kDE405JPL</v>
      </c>
    </row>
    <row r="150" spans="1:12" x14ac:dyDescent="0.25">
      <c r="A150" s="25" t="s">
        <v>475</v>
      </c>
      <c r="B150" t="str">
        <f>VLOOKUP(A150,Lcode_mapping!D:T,1,FALSE)</f>
        <v>EARTHRAD</v>
      </c>
      <c r="C150" t="str">
        <f>VLOOKUP($A150,Lcode_mapping!$D:$T,15,FALSE)</f>
        <v>-</v>
      </c>
      <c r="D150" t="str">
        <f>VLOOKUP($A150,Lcode_mapping!$D:$T,7,FALSE)</f>
        <v>Earth's equatorial radius (m).</v>
      </c>
      <c r="E150" t="str">
        <f>VLOOKUP($A150,Lcode_mapping!$D:$T,17,FALSE)</f>
        <v>constant</v>
      </c>
      <c r="H150" t="str">
        <f t="shared" si="6"/>
        <v>EARTHRAD</v>
      </c>
      <c r="I150" t="str">
        <f t="shared" si="7"/>
        <v>EARTHRAD</v>
      </c>
      <c r="J150" t="str">
        <f t="shared" si="8"/>
        <v>constant</v>
      </c>
      <c r="K150" t="str">
        <f>VLOOKUP($A150,Lcode_mapping!$D:$T,12,FALSE)</f>
        <v>OBSOLETE</v>
      </c>
      <c r="L150" t="str">
        <f>VLOOKUP($A150,Lcode_mapping!$D:$T,13,FALSE)</f>
        <v>-</v>
      </c>
    </row>
    <row r="151" spans="1:12" x14ac:dyDescent="0.25">
      <c r="A151" s="25" t="s">
        <v>541</v>
      </c>
      <c r="B151" t="str">
        <f>VLOOKUP(A151,Lcode_mapping!D:T,1,FALSE)</f>
        <v>ECCCOORD</v>
      </c>
      <c r="C151" t="str">
        <f>VLOOKUP($A151,Lcode_mapping!$D:$T,15,FALSE)</f>
        <v>EccentricityVector</v>
      </c>
      <c r="D151" t="str">
        <f>VLOOKUP($A151,Lcode_mapping!$D:$T,7,FALSE)</f>
        <v>Eccentricity coords. (m)</v>
      </c>
      <c r="E151" t="str">
        <f>VLOOKUP($A151,Lcode_mapping!$D:$T,17,FALSE)</f>
        <v>Eccentricity taken from eccentricity file.</v>
      </c>
      <c r="H151" t="str">
        <f t="shared" si="6"/>
        <v>ECCCOORD</v>
      </c>
      <c r="I151" t="str">
        <f t="shared" si="7"/>
        <v>EccentricityVector</v>
      </c>
      <c r="J151" t="str">
        <f t="shared" si="8"/>
        <v>Eccentricity taken from eccentricity file.</v>
      </c>
      <c r="K151" t="str">
        <f>VLOOKUP($A151,Lcode_mapping!$D:$T,12,FALSE)</f>
        <v>Apriori</v>
      </c>
      <c r="L151" t="str">
        <f>VLOOKUP($A151,Lcode_mapping!$D:$T,13,FALSE)</f>
        <v>Eccentricity</v>
      </c>
    </row>
    <row r="152" spans="1:12" x14ac:dyDescent="0.25">
      <c r="A152" s="25" t="s">
        <v>726</v>
      </c>
      <c r="B152" t="str">
        <f>VLOOKUP(A152,Lcode_mapping!D:T,1,FALSE)</f>
        <v>ECCNAMES</v>
      </c>
      <c r="C152" t="str">
        <f>VLOOKUP($A152,Lcode_mapping!$D:$T,15,FALSE)</f>
        <v>EccentricityMonument</v>
      </c>
      <c r="D152" t="str">
        <f>VLOOKUP($A152,Lcode_mapping!$D:$T,7,FALSE)</f>
        <v>Ecc. site and monument names.</v>
      </c>
      <c r="E152" t="str">
        <f>VLOOKUP($A152,Lcode_mapping!$D:$T,17,FALSE)</f>
        <v>Eccentricity monument name</v>
      </c>
      <c r="H152" t="str">
        <f t="shared" ref="H152:H215" si="9">A152</f>
        <v>ECCNAMES</v>
      </c>
      <c r="I152" t="str">
        <f t="shared" ref="I152:I215" si="10">IF(C152="-",B152,C152)</f>
        <v>EccentricityMonument</v>
      </c>
      <c r="J152" t="str">
        <f t="shared" ref="J152:J215" si="11">IF(E152="-",D152,E152)</f>
        <v>Eccentricity monument name</v>
      </c>
      <c r="K152" t="str">
        <f>VLOOKUP($A152,Lcode_mapping!$D:$T,12,FALSE)</f>
        <v>Apriori</v>
      </c>
      <c r="L152" t="str">
        <f>VLOOKUP($A152,Lcode_mapping!$D:$T,13,FALSE)</f>
        <v>Eccentricity</v>
      </c>
    </row>
    <row r="153" spans="1:12" x14ac:dyDescent="0.25">
      <c r="A153" s="25" t="s">
        <v>728</v>
      </c>
      <c r="B153" t="str">
        <f>VLOOKUP(A153,Lcode_mapping!D:T,1,FALSE)</f>
        <v>ECCTYPES</v>
      </c>
      <c r="C153" t="str">
        <f>VLOOKUP($A153,Lcode_mapping!$D:$T,15,FALSE)</f>
        <v>EccentricityType</v>
      </c>
      <c r="D153" t="str">
        <f>VLOOKUP($A153,Lcode_mapping!$D:$T,7,FALSE)</f>
        <v>Eccentricy types - XY or NE.</v>
      </c>
      <c r="E153" t="str">
        <f>VLOOKUP($A153,Lcode_mapping!$D:$T,17,FALSE)</f>
        <v>Eccentricity type: XY or NE</v>
      </c>
      <c r="H153" t="str">
        <f t="shared" si="9"/>
        <v>ECCTYPES</v>
      </c>
      <c r="I153" t="str">
        <f t="shared" si="10"/>
        <v>EccentricityType</v>
      </c>
      <c r="J153" t="str">
        <f t="shared" si="11"/>
        <v>Eccentricity type: XY or NE</v>
      </c>
      <c r="K153" t="str">
        <f>VLOOKUP($A153,Lcode_mapping!$D:$T,12,FALSE)</f>
        <v>Apriori</v>
      </c>
      <c r="L153" t="str">
        <f>VLOOKUP($A153,Lcode_mapping!$D:$T,13,FALSE)</f>
        <v>Eccentricity</v>
      </c>
    </row>
    <row r="154" spans="1:12" x14ac:dyDescent="0.25">
      <c r="A154" s="25" t="s">
        <v>896</v>
      </c>
      <c r="B154" t="str">
        <f>VLOOKUP(A154,Lcode_mapping!D:T,1,FALSE)</f>
        <v>EFF FREQ</v>
      </c>
      <c r="C154" t="str">
        <f>VLOOKUP($A154,Lcode_mapping!$D:$T,15,FALSE)</f>
        <v xml:space="preserve">DummyName </v>
      </c>
      <c r="D154" t="str">
        <f>VLOOKUP($A154,Lcode_mapping!$D:$T,7,FALSE)</f>
        <v>Effective freqs  opposite band</v>
      </c>
      <c r="E154" t="str">
        <f>VLOOKUP($A154,Lcode_mapping!$D:$T,17,FALSE)</f>
        <v>NOTE: Split into 3 variables.</v>
      </c>
      <c r="H154" t="str">
        <f t="shared" si="9"/>
        <v>EFF FREQ</v>
      </c>
      <c r="I154" t="str">
        <f t="shared" si="10"/>
        <v xml:space="preserve">DummyName </v>
      </c>
      <c r="J154" t="str">
        <f t="shared" si="11"/>
        <v>NOTE: Split into 3 variables.</v>
      </c>
      <c r="K154" t="str">
        <f>VLOOKUP($A154,Lcode_mapping!$D:$T,12,FALSE)</f>
        <v>-</v>
      </c>
      <c r="L154" t="str">
        <f>VLOOKUP($A154,Lcode_mapping!$D:$T,13,FALSE)</f>
        <v>-</v>
      </c>
    </row>
    <row r="155" spans="1:12" x14ac:dyDescent="0.25">
      <c r="A155" s="25" t="s">
        <v>1000</v>
      </c>
      <c r="B155" t="str">
        <f>VLOOKUP(A155,Lcode_mapping!D:T,1,FALSE)</f>
        <v>EFF.DURA</v>
      </c>
      <c r="C155" t="str">
        <f>VLOOKUP($A155,Lcode_mapping!$D:$T,15,FALSE)</f>
        <v>EffectiveDuration</v>
      </c>
      <c r="D155" t="str">
        <f>VLOOKUP($A155,Lcode_mapping!$D:$T,7,FALSE)</f>
        <v>Effective run duration sec.</v>
      </c>
      <c r="E155" t="str">
        <f>VLOOKUP($A155,Lcode_mapping!$D:$T,17,FALSE)</f>
        <v>-</v>
      </c>
      <c r="H155" t="str">
        <f t="shared" si="9"/>
        <v>EFF.DURA</v>
      </c>
      <c r="I155" t="str">
        <f t="shared" si="10"/>
        <v>EffectiveDuration</v>
      </c>
      <c r="J155" t="str">
        <f t="shared" si="11"/>
        <v>Effective run duration sec.</v>
      </c>
      <c r="K155" t="str">
        <f>VLOOKUP($A155,Lcode_mapping!$D:$T,12,FALSE)</f>
        <v>Observables</v>
      </c>
      <c r="L155" t="str">
        <f>VLOOKUP($A155,Lcode_mapping!$D:$T,13,FALSE)</f>
        <v>CorrInfo_bX</v>
      </c>
    </row>
    <row r="156" spans="1:12" x14ac:dyDescent="0.25">
      <c r="A156" s="25" t="s">
        <v>481</v>
      </c>
      <c r="B156" t="str">
        <f>VLOOKUP(A156,Lcode_mapping!D:T,1,FALSE)</f>
        <v>E-FLAT</v>
      </c>
      <c r="C156" t="str">
        <f>VLOOKUP($A156,Lcode_mapping!$D:$T,15,FALSE)</f>
        <v>-</v>
      </c>
      <c r="D156" t="str">
        <f>VLOOKUP($A156,Lcode_mapping!$D:$T,7,FALSE)</f>
        <v>Earth flattening con (unitless).</v>
      </c>
      <c r="E156" t="str">
        <f>VLOOKUP($A156,Lcode_mapping!$D:$T,17,FALSE)</f>
        <v>-</v>
      </c>
      <c r="H156" t="str">
        <f t="shared" si="9"/>
        <v>E-FLAT</v>
      </c>
      <c r="I156" t="str">
        <f t="shared" si="10"/>
        <v>E-FLAT</v>
      </c>
      <c r="J156" t="str">
        <f t="shared" si="11"/>
        <v>Earth flattening con (unitless).</v>
      </c>
      <c r="K156" t="str">
        <f>VLOOKUP($A156,Lcode_mapping!$D:$T,12,FALSE)</f>
        <v>OBSOLETE</v>
      </c>
      <c r="L156" t="str">
        <f>VLOOKUP($A156,Lcode_mapping!$D:$T,13,FALSE)</f>
        <v>-</v>
      </c>
    </row>
    <row r="157" spans="1:12" x14ac:dyDescent="0.25">
      <c r="A157" s="25" t="s">
        <v>696</v>
      </c>
      <c r="B157" t="str">
        <f>VLOOKUP(A157,Lcode_mapping!D:T,1,FALSE)</f>
        <v>EL-CUT</v>
      </c>
      <c r="C157" t="str">
        <f>VLOOKUP($A157,Lcode_mapping!$D:$T,15,FALSE)</f>
        <v>-</v>
      </c>
      <c r="D157" t="str">
        <f>VLOOKUP($A157,Lcode_mapping!$D:$T,7,FALSE)</f>
        <v>Solution elevation cutoff data.</v>
      </c>
      <c r="E157" t="str">
        <f>VLOOKUP($A157,Lcode_mapping!$D:$T,17,FALSE)</f>
        <v>-</v>
      </c>
      <c r="H157" t="str">
        <f t="shared" si="9"/>
        <v>EL-CUT</v>
      </c>
      <c r="I157" t="str">
        <f t="shared" si="10"/>
        <v>EL-CUT</v>
      </c>
      <c r="J157" t="str">
        <f t="shared" si="11"/>
        <v>Solution elevation cutoff data.</v>
      </c>
      <c r="K157" t="str">
        <f>VLOOKUP($A157,Lcode_mapping!$D:$T,12,FALSE)</f>
        <v>OBSOLETE</v>
      </c>
      <c r="L157" t="str">
        <f>VLOOKUP($A157,Lcode_mapping!$D:$T,13,FALSE)</f>
        <v>-</v>
      </c>
    </row>
    <row r="158" spans="1:12" x14ac:dyDescent="0.25">
      <c r="A158" s="25" t="s">
        <v>803</v>
      </c>
      <c r="B158" t="str">
        <f>VLOOKUP(A158,Lcode_mapping!D:T,1,FALSE)</f>
        <v>EL-THEO</v>
      </c>
      <c r="C158" t="str">
        <f>VLOOKUP($A158,Lcode_mapping!$D:$T,15,FALSE)</f>
        <v>ElTheo</v>
      </c>
      <c r="D158" t="str">
        <f>VLOOKUP($A158,Lcode_mapping!$D:$T,7,FALSE)</f>
        <v>Elevation array definition</v>
      </c>
      <c r="E158" t="str">
        <f>VLOOKUP($A158,Lcode_mapping!$D:$T,17,FALSE)</f>
        <v>-</v>
      </c>
      <c r="H158" t="str">
        <f t="shared" si="9"/>
        <v>EL-THEO</v>
      </c>
      <c r="I158" t="str">
        <f t="shared" si="10"/>
        <v>ElTheo</v>
      </c>
      <c r="J158" t="str">
        <f t="shared" si="11"/>
        <v>Elevation array definition</v>
      </c>
      <c r="K158" t="str">
        <f>VLOOKUP($A158,Lcode_mapping!$D:$T,12,FALSE)</f>
        <v>-</v>
      </c>
      <c r="L158" t="str">
        <f>VLOOKUP($A158,Lcode_mapping!$D:$T,13,FALSE)</f>
        <v>AzEl</v>
      </c>
    </row>
    <row r="159" spans="1:12" x14ac:dyDescent="0.25">
      <c r="A159" s="25" t="s">
        <v>477</v>
      </c>
      <c r="B159" t="str">
        <f>VLOOKUP(A159,Lcode_mapping!D:T,1,FALSE)</f>
        <v>EMS/MMS</v>
      </c>
      <c r="C159" t="str">
        <f>VLOOKUP($A159,Lcode_mapping!$D:$T,15,FALSE)</f>
        <v>-</v>
      </c>
      <c r="D159" t="str">
        <f>VLOOKUP($A159,Lcode_mapping!$D:$T,7,FALSE)</f>
        <v>The Earth-Moon mass ratio.</v>
      </c>
      <c r="E159" t="str">
        <f>VLOOKUP($A159,Lcode_mapping!$D:$T,17,FALSE)</f>
        <v>-</v>
      </c>
      <c r="H159" t="str">
        <f t="shared" si="9"/>
        <v>EMS/MMS</v>
      </c>
      <c r="I159" t="str">
        <f t="shared" si="10"/>
        <v>EMS/MMS</v>
      </c>
      <c r="J159" t="str">
        <f t="shared" si="11"/>
        <v>The Earth-Moon mass ratio.</v>
      </c>
      <c r="K159" t="str">
        <f>VLOOKUP($A159,Lcode_mapping!$D:$T,12,FALSE)</f>
        <v>OBSOLETE</v>
      </c>
      <c r="L159" t="str">
        <f>VLOOKUP($A159,Lcode_mapping!$D:$T,13,FALSE)</f>
        <v>-</v>
      </c>
    </row>
    <row r="160" spans="1:12" x14ac:dyDescent="0.25">
      <c r="A160" s="25" t="s">
        <v>661</v>
      </c>
      <c r="B160" t="str">
        <f>VLOOKUP(A160,Lcode_mapping!D:T,1,FALSE)</f>
        <v>EOPSCALE</v>
      </c>
      <c r="C160" t="str">
        <f>VLOOKUP($A160,Lcode_mapping!$D:$T,15,FALSE)</f>
        <v>-</v>
      </c>
      <c r="D160" t="str">
        <f>VLOOKUP($A160,Lcode_mapping!$D:$T,7,FALSE)</f>
        <v>Time scale of EOP table epochs.</v>
      </c>
      <c r="E160" t="str">
        <f>VLOOKUP($A160,Lcode_mapping!$D:$T,17,FALSE)</f>
        <v>-</v>
      </c>
      <c r="H160" t="str">
        <f t="shared" si="9"/>
        <v>EOPSCALE</v>
      </c>
      <c r="I160" t="str">
        <f t="shared" si="10"/>
        <v>EOPSCALE</v>
      </c>
      <c r="J160" t="str">
        <f t="shared" si="11"/>
        <v>Time scale of EOP table epochs.</v>
      </c>
      <c r="K160" t="str">
        <f>VLOOKUP($A160,Lcode_mapping!$D:$T,12,FALSE)</f>
        <v>OBSOLETE</v>
      </c>
      <c r="L160" t="str">
        <f>VLOOKUP($A160,Lcode_mapping!$D:$T,13,FALSE)</f>
        <v>-</v>
      </c>
    </row>
    <row r="161" spans="1:12" x14ac:dyDescent="0.25">
      <c r="A161" s="25" t="s">
        <v>179</v>
      </c>
      <c r="B161" t="str">
        <f>VLOOKUP(A161,Lcode_mapping!D:T,1,FALSE)</f>
        <v>EPHEPOCH</v>
      </c>
      <c r="C161" t="str">
        <f>VLOOKUP($A161,Lcode_mapping!$D:$T,15,FALSE)</f>
        <v>-</v>
      </c>
      <c r="D161" t="str">
        <f>VLOOKUP($A161,Lcode_mapping!$D:$T,7,FALSE)</f>
        <v>JPL EPOCH 1950 or 2000 .</v>
      </c>
      <c r="E161" t="str">
        <f>VLOOKUP($A161,Lcode_mapping!$D:$T,17,FALSE)</f>
        <v>-</v>
      </c>
      <c r="H161" t="str">
        <f t="shared" si="9"/>
        <v>EPHEPOCH</v>
      </c>
      <c r="I161" t="str">
        <f t="shared" si="10"/>
        <v>EPHEPOCH</v>
      </c>
      <c r="J161" t="str">
        <f t="shared" si="11"/>
        <v>JPL EPOCH 1950 or 2000 .</v>
      </c>
      <c r="K161" t="str">
        <f>VLOOKUP($A161,Lcode_mapping!$D:$T,12,FALSE)</f>
        <v>OBSOLETE</v>
      </c>
      <c r="L161" t="str">
        <f>VLOOKUP($A161,Lcode_mapping!$D:$T,13,FALSE)</f>
        <v>-</v>
      </c>
    </row>
    <row r="162" spans="1:12" x14ac:dyDescent="0.25">
      <c r="A162" s="25" t="s">
        <v>1216</v>
      </c>
      <c r="B162" t="str">
        <f>VLOOKUP(A162,Lcode_mapping!D:T,1,FALSE)</f>
        <v>EPNAMES</v>
      </c>
      <c r="C162" t="str">
        <f>VLOOKUP($A162,Lcode_mapping!$D:$T,15,FALSE)</f>
        <v>-</v>
      </c>
      <c r="D162" t="str">
        <f>VLOOKUP($A162,Lcode_mapping!$D:$T,7,FALSE)</f>
        <v>Site names for clock-atm epochs</v>
      </c>
      <c r="E162" t="str">
        <f>VLOOKUP($A162,Lcode_mapping!$D:$T,17,FALSE)</f>
        <v>-</v>
      </c>
      <c r="H162" t="str">
        <f t="shared" si="9"/>
        <v>EPNAMES</v>
      </c>
      <c r="I162" t="str">
        <f t="shared" si="10"/>
        <v>EPNAMES</v>
      </c>
      <c r="J162" t="str">
        <f t="shared" si="11"/>
        <v>Site names for clock-atm epochs</v>
      </c>
      <c r="K162" t="str">
        <f>VLOOKUP($A162,Lcode_mapping!$D:$T,12,FALSE)</f>
        <v>OBSOLETE</v>
      </c>
      <c r="L162" t="str">
        <f>VLOOKUP($A162,Lcode_mapping!$D:$T,13,FALSE)</f>
        <v>-</v>
      </c>
    </row>
    <row r="163" spans="1:12" x14ac:dyDescent="0.25">
      <c r="A163" s="25" t="s">
        <v>1217</v>
      </c>
      <c r="B163" t="str">
        <f>VLOOKUP(A163,Lcode_mapping!D:T,1,FALSE)</f>
        <v>ERPHS K</v>
      </c>
      <c r="C163" t="str">
        <f>VLOOKUP($A163,Lcode_mapping!$D:$T,15,FALSE)</f>
        <v>PhaseBLWeights</v>
      </c>
      <c r="D163" t="str">
        <f>VLOOKUP($A163,Lcode_mapping!$D:$T,7,FALSE)</f>
        <v>Phase formal error constants</v>
      </c>
      <c r="E163" t="str">
        <f>VLOOKUP($A163,Lcode_mapping!$D:$T,17,FALSE)</f>
        <v>-</v>
      </c>
      <c r="H163" t="str">
        <f t="shared" si="9"/>
        <v>ERPHS K</v>
      </c>
      <c r="I163" t="str">
        <f t="shared" si="10"/>
        <v>PhaseBLWeights</v>
      </c>
      <c r="J163" t="str">
        <f t="shared" si="11"/>
        <v>Phase formal error constants</v>
      </c>
      <c r="K163" t="str">
        <f>VLOOKUP($A163,Lcode_mapping!$D:$T,12,FALSE)</f>
        <v>Solve</v>
      </c>
      <c r="L163" t="str">
        <f>VLOOKUP($A163,Lcode_mapping!$D:$T,13,FALSE)</f>
        <v>PhaseBLWeights</v>
      </c>
    </row>
    <row r="164" spans="1:12" x14ac:dyDescent="0.25">
      <c r="A164" s="25" t="s">
        <v>694</v>
      </c>
      <c r="B164" t="str">
        <f>VLOOKUP(A164,Lcode_mapping!D:T,1,FALSE)</f>
        <v>ERROR BL</v>
      </c>
      <c r="C164" t="str">
        <f>VLOOKUP($A164,Lcode_mapping!$D:$T,15,FALSE)</f>
        <v>GroupBLWeightStationList</v>
      </c>
      <c r="D164" t="str">
        <f>VLOOKUP($A164,Lcode_mapping!$D:$T,7,FALSE)</f>
        <v>B.L.names for formal errors</v>
      </c>
      <c r="E164" t="str">
        <f>VLOOKUP($A164,Lcode_mapping!$D:$T,17,FALSE)</f>
        <v>-</v>
      </c>
      <c r="H164" t="str">
        <f t="shared" si="9"/>
        <v>ERROR BL</v>
      </c>
      <c r="I164" t="str">
        <f t="shared" si="10"/>
        <v>GroupBLWeightStationList</v>
      </c>
      <c r="J164" t="str">
        <f t="shared" si="11"/>
        <v>B.L.names for formal errors</v>
      </c>
      <c r="K164" t="str">
        <f>VLOOKUP($A164,Lcode_mapping!$D:$T,12,FALSE)</f>
        <v>Session</v>
      </c>
      <c r="L164" t="str">
        <f>VLOOKUP($A164,Lcode_mapping!$D:$T,13,FALSE)</f>
        <v>GroupBLWeights</v>
      </c>
    </row>
    <row r="165" spans="1:12" x14ac:dyDescent="0.25">
      <c r="A165" s="25" t="s">
        <v>525</v>
      </c>
      <c r="B165" t="str">
        <f>VLOOKUP(A165,Lcode_mapping!D:T,1,FALSE)</f>
        <v>ERROR K</v>
      </c>
      <c r="C165" t="str">
        <f>VLOOKUP($A165,Lcode_mapping!$D:$T,15,FALSE)</f>
        <v>GroupBLWeights</v>
      </c>
      <c r="D165" t="str">
        <f>VLOOKUP($A165,Lcode_mapping!$D:$T,7,FALSE)</f>
        <v>-</v>
      </c>
      <c r="E165" t="str">
        <f>VLOOKUP($A165,Lcode_mapping!$D:$T,17,FALSE)</f>
        <v>Group delay and rate re-weighting constants.</v>
      </c>
      <c r="H165" t="str">
        <f t="shared" si="9"/>
        <v>ERROR K</v>
      </c>
      <c r="I165" t="str">
        <f t="shared" si="10"/>
        <v>GroupBLWeights</v>
      </c>
      <c r="J165" t="str">
        <f t="shared" si="11"/>
        <v>Group delay and rate re-weighting constants.</v>
      </c>
      <c r="K165" t="str">
        <f>VLOOKUP($A165,Lcode_mapping!$D:$T,12,FALSE)</f>
        <v>Session</v>
      </c>
      <c r="L165" t="str">
        <f>VLOOKUP($A165,Lcode_mapping!$D:$T,13,FALSE)</f>
        <v>GroupBLWeights</v>
      </c>
    </row>
    <row r="166" spans="1:12" x14ac:dyDescent="0.25">
      <c r="A166" s="25" t="s">
        <v>1032</v>
      </c>
      <c r="B166" t="str">
        <f>VLOOKUP(A166,Lcode_mapping!D:T,1,FALSE)</f>
        <v>ERRORATE</v>
      </c>
      <c r="C166" t="str">
        <f>VLOOKUP($A166,Lcode_mapping!$D:$T,15,FALSE)</f>
        <v>-</v>
      </c>
      <c r="D166" t="str">
        <f>VLOOKUP($A166,Lcode_mapping!$D:$T,7,FALSE)</f>
        <v>Log err rate by sta  sb  channel</v>
      </c>
      <c r="E166" t="str">
        <f>VLOOKUP($A166,Lcode_mapping!$D:$T,17,FALSE)</f>
        <v>-</v>
      </c>
      <c r="H166" t="str">
        <f t="shared" si="9"/>
        <v>ERRORATE</v>
      </c>
      <c r="I166" t="str">
        <f t="shared" si="10"/>
        <v>ERRORATE</v>
      </c>
      <c r="J166" t="str">
        <f t="shared" si="11"/>
        <v>Log err rate by sta  sb  channel</v>
      </c>
      <c r="K166" t="str">
        <f>VLOOKUP($A166,Lcode_mapping!$D:$T,12,FALSE)</f>
        <v>Observables</v>
      </c>
      <c r="L166" t="str">
        <f>VLOOKUP($A166,Lcode_mapping!$D:$T,13,FALSE)</f>
        <v>CorrInfo_bX</v>
      </c>
    </row>
    <row r="167" spans="1:12" x14ac:dyDescent="0.25">
      <c r="A167" s="25" t="s">
        <v>623</v>
      </c>
      <c r="B167" t="str">
        <f>VLOOKUP(A167,Lcode_mapping!D:T,1,FALSE)</f>
        <v>ETD CFLG</v>
      </c>
      <c r="C167" t="str">
        <f>VLOOKUP($A167,Lcode_mapping!$D:$T,15,FALSE)</f>
        <v>EarthTideControl</v>
      </c>
      <c r="D167" t="str">
        <f>VLOOKUP($A167,Lcode_mapping!$D:$T,7,FALSE)</f>
        <v>Earth Tide flow control mess def</v>
      </c>
      <c r="E167" t="str">
        <f>VLOOKUP($A167,Lcode_mapping!$D:$T,17,FALSE)</f>
        <v>-</v>
      </c>
      <c r="H167" t="str">
        <f t="shared" si="9"/>
        <v>ETD CFLG</v>
      </c>
      <c r="I167" t="str">
        <f t="shared" si="10"/>
        <v>EarthTideControl</v>
      </c>
      <c r="J167" t="str">
        <f t="shared" si="11"/>
        <v>Earth Tide flow control mess def</v>
      </c>
      <c r="K167" t="str">
        <f>VLOOKUP($A167,Lcode_mapping!$D:$T,12,FALSE)</f>
        <v>Solve</v>
      </c>
      <c r="L167" t="str">
        <f>VLOOKUP($A167,Lcode_mapping!$D:$T,13,FALSE)</f>
        <v>CalcInfo</v>
      </c>
    </row>
    <row r="168" spans="1:12" x14ac:dyDescent="0.25">
      <c r="A168" s="25" t="s">
        <v>815</v>
      </c>
      <c r="B168" t="str">
        <f>VLOOKUP(A168,Lcode_mapping!D:T,1,FALSE)</f>
        <v>ETD CONT</v>
      </c>
      <c r="C168" t="str">
        <f>VLOOKUP($A168,Lcode_mapping!$D:$T,15,FALSE)</f>
        <v>Cal-EarthTide</v>
      </c>
      <c r="D168" t="str">
        <f>VLOOKUP($A168,Lcode_mapping!$D:$T,7,FALSE)</f>
        <v>Earth tide contributions def.</v>
      </c>
      <c r="E168" t="str">
        <f>VLOOKUP($A168,Lcode_mapping!$D:$T,17,FALSE)</f>
        <v>-</v>
      </c>
      <c r="H168" t="str">
        <f t="shared" si="9"/>
        <v>ETD CONT</v>
      </c>
      <c r="I168" t="str">
        <f t="shared" si="10"/>
        <v>Cal-EarthTide</v>
      </c>
      <c r="J168" t="str">
        <f t="shared" si="11"/>
        <v>Earth tide contributions def.</v>
      </c>
      <c r="K168" t="str">
        <f>VLOOKUP($A168,Lcode_mapping!$D:$T,12,FALSE)</f>
        <v>ObsCalTheo</v>
      </c>
      <c r="L168" t="str">
        <f>VLOOKUP($A168,Lcode_mapping!$D:$T,13,FALSE)</f>
        <v>Cal-EarthTide_kIERS2003</v>
      </c>
    </row>
    <row r="169" spans="1:12" x14ac:dyDescent="0.25">
      <c r="A169" s="25" t="s">
        <v>449</v>
      </c>
      <c r="B169" t="str">
        <f>VLOOKUP(A169,Lcode_mapping!D:T,1,FALSE)</f>
        <v>ETD DATA</v>
      </c>
      <c r="C169" t="str">
        <f>VLOOKUP($A169,Lcode_mapping!$D:$T,15,FALSE)</f>
        <v>EarthTideData</v>
      </c>
      <c r="D169" t="str">
        <f>VLOOKUP($A169,Lcode_mapping!$D:$T,7,FALSE)</f>
        <v>Earth tide module data (la. h l)</v>
      </c>
      <c r="E169" t="str">
        <f>VLOOKUP($A169,Lcode_mapping!$D:$T,17,FALSE)</f>
        <v>-</v>
      </c>
      <c r="H169" t="str">
        <f t="shared" si="9"/>
        <v>ETD DATA</v>
      </c>
      <c r="I169" t="str">
        <f t="shared" si="10"/>
        <v>EarthTideData</v>
      </c>
      <c r="J169" t="str">
        <f t="shared" si="11"/>
        <v>Earth tide module data (la. h l)</v>
      </c>
      <c r="K169" t="str">
        <f>VLOOKUP($A169,Lcode_mapping!$D:$T,12,FALSE)</f>
        <v>Solve</v>
      </c>
      <c r="L169" t="str">
        <f>VLOOKUP($A169,Lcode_mapping!$D:$T,13,FALSE)</f>
        <v>CalcInfo</v>
      </c>
    </row>
    <row r="170" spans="1:12" x14ac:dyDescent="0.25">
      <c r="A170" s="25" t="s">
        <v>621</v>
      </c>
      <c r="B170" t="str">
        <f>VLOOKUP(A170,Lcode_mapping!D:T,1,FALSE)</f>
        <v>ETD MESS</v>
      </c>
      <c r="C170" t="str">
        <f>VLOOKUP($A170,Lcode_mapping!$D:$T,15,FALSE)</f>
        <v>EarthTideMessage</v>
      </c>
      <c r="D170" t="str">
        <f>VLOOKUP($A170,Lcode_mapping!$D:$T,7,FALSE)</f>
        <v>Earth Tide message definition</v>
      </c>
      <c r="E170" t="str">
        <f>VLOOKUP($A170,Lcode_mapping!$D:$T,17,FALSE)</f>
        <v>-</v>
      </c>
      <c r="H170" t="str">
        <f t="shared" si="9"/>
        <v>ETD MESS</v>
      </c>
      <c r="I170" t="str">
        <f t="shared" si="10"/>
        <v>EarthTideMessage</v>
      </c>
      <c r="J170" t="str">
        <f t="shared" si="11"/>
        <v>Earth Tide message definition</v>
      </c>
      <c r="K170" t="str">
        <f>VLOOKUP($A170,Lcode_mapping!$D:$T,12,FALSE)</f>
        <v>Solve</v>
      </c>
      <c r="L170" t="str">
        <f>VLOOKUP($A170,Lcode_mapping!$D:$T,13,FALSE)</f>
        <v>CalcInfo</v>
      </c>
    </row>
    <row r="171" spans="1:12" x14ac:dyDescent="0.25">
      <c r="A171" s="25" t="s">
        <v>593</v>
      </c>
      <c r="B171" t="str">
        <f>VLOOKUP(A171,Lcode_mapping!D:T,1,FALSE)</f>
        <v>EXPCODE</v>
      </c>
      <c r="C171" t="str">
        <f>VLOOKUP($A171,Lcode_mapping!$D:$T,15,FALSE)</f>
        <v>ExpName</v>
      </c>
      <c r="D171" t="str">
        <f>VLOOKUP($A171,Lcode_mapping!$D:$T,7,FALSE)</f>
        <v>Experiment name.</v>
      </c>
      <c r="E171" t="str">
        <f>VLOOKUP($A171,Lcode_mapping!$D:$T,17,FALSE)</f>
        <v>-</v>
      </c>
      <c r="H171" t="str">
        <f t="shared" si="9"/>
        <v>EXPCODE</v>
      </c>
      <c r="I171" t="str">
        <f t="shared" si="10"/>
        <v>ExpName</v>
      </c>
      <c r="J171" t="str">
        <f t="shared" si="11"/>
        <v>Experiment name.</v>
      </c>
      <c r="K171" t="str">
        <f>VLOOKUP($A171,Lcode_mapping!$D:$T,12,FALSE)</f>
        <v>-</v>
      </c>
      <c r="L171" t="str">
        <f>VLOOKUP($A171,Lcode_mapping!$D:$T,13,FALSE)</f>
        <v>Head</v>
      </c>
    </row>
    <row r="172" spans="1:12" x14ac:dyDescent="0.25">
      <c r="A172" s="25" t="s">
        <v>595</v>
      </c>
      <c r="B172" t="str">
        <f>VLOOKUP(A172,Lcode_mapping!D:T,1,FALSE)</f>
        <v>EXPDESC</v>
      </c>
      <c r="C172" t="str">
        <f>VLOOKUP($A172,Lcode_mapping!$D:$T,15,FALSE)</f>
        <v>ExpDescription</v>
      </c>
      <c r="D172" t="str">
        <f>VLOOKUP($A172,Lcode_mapping!$D:$T,7,FALSE)</f>
        <v>Experiment description.</v>
      </c>
      <c r="E172" t="str">
        <f>VLOOKUP($A172,Lcode_mapping!$D:$T,17,FALSE)</f>
        <v>-</v>
      </c>
      <c r="H172" t="str">
        <f t="shared" si="9"/>
        <v>EXPDESC</v>
      </c>
      <c r="I172" t="str">
        <f t="shared" si="10"/>
        <v>ExpDescription</v>
      </c>
      <c r="J172" t="str">
        <f t="shared" si="11"/>
        <v>Experiment description.</v>
      </c>
      <c r="K172" t="str">
        <f>VLOOKUP($A172,Lcode_mapping!$D:$T,12,FALSE)</f>
        <v>-</v>
      </c>
      <c r="L172" t="str">
        <f>VLOOKUP($A172,Lcode_mapping!$D:$T,13,FALSE)</f>
        <v>Head</v>
      </c>
    </row>
    <row r="173" spans="1:12" x14ac:dyDescent="0.25">
      <c r="A173" s="25" t="s">
        <v>1739</v>
      </c>
      <c r="B173" t="str">
        <f>VLOOKUP(A173,Lcode_mapping!D:T,1,FALSE)</f>
        <v>EXPNAME</v>
      </c>
      <c r="C173" t="str">
        <f>VLOOKUP($A173,Lcode_mapping!$D:$T,15,FALSE)</f>
        <v>-</v>
      </c>
      <c r="D173" t="str">
        <f>VLOOKUP($A173,Lcode_mapping!$D:$T,7,FALSE)</f>
        <v>Observing program (exp.) name</v>
      </c>
      <c r="E173" t="str">
        <f>VLOOKUP($A173,Lcode_mapping!$D:$T,17,FALSE)</f>
        <v>-</v>
      </c>
      <c r="H173" t="str">
        <f t="shared" si="9"/>
        <v>EXPNAME</v>
      </c>
      <c r="I173" t="str">
        <f t="shared" si="10"/>
        <v>EXPNAME</v>
      </c>
      <c r="J173" t="str">
        <f t="shared" si="11"/>
        <v>Observing program (exp.) name</v>
      </c>
      <c r="K173" t="str">
        <f>VLOOKUP($A173,Lcode_mapping!$D:$T,12,FALSE)</f>
        <v>-</v>
      </c>
      <c r="L173" t="str">
        <f>VLOOKUP($A173,Lcode_mapping!$D:$T,13,FALSE)</f>
        <v>-</v>
      </c>
    </row>
    <row r="174" spans="1:12" x14ac:dyDescent="0.25">
      <c r="A174" s="25" t="s">
        <v>543</v>
      </c>
      <c r="B174" t="str">
        <f>VLOOKUP(A174,Lcode_mapping!D:T,1,FALSE)</f>
        <v>EXPSERNO</v>
      </c>
      <c r="C174" t="str">
        <f>VLOOKUP($A174,Lcode_mapping!$D:$T,15,FALSE)</f>
        <v>ExpSerialNumber</v>
      </c>
      <c r="D174" t="str">
        <f>VLOOKUP($A174,Lcode_mapping!$D:$T,7,FALSE)</f>
        <v>Experiment Serial Number.</v>
      </c>
      <c r="E174" t="str">
        <f>VLOOKUP($A174,Lcode_mapping!$D:$T,17,FALSE)</f>
        <v>-</v>
      </c>
      <c r="H174" t="str">
        <f t="shared" si="9"/>
        <v>EXPSERNO</v>
      </c>
      <c r="I174" t="str">
        <f t="shared" si="10"/>
        <v>ExpSerialNumber</v>
      </c>
      <c r="J174" t="str">
        <f t="shared" si="11"/>
        <v>Experiment Serial Number.</v>
      </c>
      <c r="K174" t="str">
        <f>VLOOKUP($A174,Lcode_mapping!$D:$T,12,FALSE)</f>
        <v>-</v>
      </c>
      <c r="L174" t="str">
        <f>VLOOKUP($A174,Lcode_mapping!$D:$T,13,FALSE)</f>
        <v>Head</v>
      </c>
    </row>
    <row r="175" spans="1:12" x14ac:dyDescent="0.25">
      <c r="A175" s="25" t="s">
        <v>48</v>
      </c>
      <c r="B175" t="str">
        <f>VLOOKUP(A175,Lcode_mapping!D:T,1,FALSE)</f>
        <v>F12 VOLT</v>
      </c>
      <c r="C175" t="str">
        <f>VLOOKUP($A175,Lcode_mapping!$D:$T,15,FALSE)</f>
        <v>F12VOLT</v>
      </c>
      <c r="D175" t="str">
        <f>VLOOKUP($A175,Lcode_mapping!$D:$T,7,FALSE)</f>
        <v>F1, F2 VOLT          .</v>
      </c>
      <c r="E175" t="str">
        <f>VLOOKUP($A175,Lcode_mapping!$D:$T,17,FALSE)</f>
        <v>-</v>
      </c>
      <c r="H175" t="str">
        <f t="shared" si="9"/>
        <v>F12 VOLT</v>
      </c>
      <c r="I175" t="str">
        <f t="shared" si="10"/>
        <v>F12VOLT</v>
      </c>
      <c r="J175" t="str">
        <f t="shared" si="11"/>
        <v>F1, F2 VOLT          .</v>
      </c>
      <c r="K175" t="str">
        <f>VLOOKUP($A175,Lcode_mapping!$D:$T,12,FALSE)</f>
        <v>-</v>
      </c>
      <c r="L175" t="str">
        <f>VLOOKUP($A175,Lcode_mapping!$D:$T,13,FALSE)</f>
        <v>WVR</v>
      </c>
    </row>
    <row r="176" spans="1:12" x14ac:dyDescent="0.25">
      <c r="A176" s="25" t="s">
        <v>1002</v>
      </c>
      <c r="B176" t="str">
        <f>VLOOKUP(A176,Lcode_mapping!D:T,1,FALSE)</f>
        <v>FALSEDET</v>
      </c>
      <c r="C176" t="str">
        <f>VLOOKUP($A176,Lcode_mapping!$D:$T,15,FALSE)</f>
        <v>ProbFalseDetection</v>
      </c>
      <c r="D176" t="str">
        <f>VLOOKUP($A176,Lcode_mapping!$D:$T,7,FALSE)</f>
        <v>Prob of false det from FRNGE.</v>
      </c>
      <c r="E176" t="str">
        <f>VLOOKUP($A176,Lcode_mapping!$D:$T,17,FALSE)</f>
        <v>-</v>
      </c>
      <c r="H176" t="str">
        <f t="shared" si="9"/>
        <v>FALSEDET</v>
      </c>
      <c r="I176" t="str">
        <f t="shared" si="10"/>
        <v>ProbFalseDetection</v>
      </c>
      <c r="J176" t="str">
        <f t="shared" si="11"/>
        <v>Prob of false det from FRNGE.</v>
      </c>
      <c r="K176" t="str">
        <f>VLOOKUP($A176,Lcode_mapping!$D:$T,12,FALSE)</f>
        <v>Observables</v>
      </c>
      <c r="L176" t="str">
        <f>VLOOKUP($A176,Lcode_mapping!$D:$T,13,FALSE)</f>
        <v>CorrInfo_bX</v>
      </c>
    </row>
    <row r="177" spans="1:12" x14ac:dyDescent="0.25">
      <c r="A177" s="25" t="s">
        <v>580</v>
      </c>
      <c r="B177" t="str">
        <f>VLOOKUP(A177,Lcode_mapping!D:T,1,FALSE)</f>
        <v>FCL FLGS</v>
      </c>
      <c r="C177" t="str">
        <f>VLOOKUP($A177,Lcode_mapping!$D:$T,15,FALSE)</f>
        <v>FlybyFlag</v>
      </c>
      <c r="D177" t="str">
        <f>VLOOKUP($A177,Lcode_mapping!$D:$T,7,FALSE)</f>
        <v>Standard flcal configuration</v>
      </c>
      <c r="E177" t="str">
        <f>VLOOKUP($A177,Lcode_mapping!$D:$T,17,FALSE)</f>
        <v>-</v>
      </c>
      <c r="H177" t="str">
        <f t="shared" si="9"/>
        <v>FCL FLGS</v>
      </c>
      <c r="I177" t="str">
        <f t="shared" si="10"/>
        <v>FlybyFlag</v>
      </c>
      <c r="J177" t="str">
        <f t="shared" si="11"/>
        <v>Standard flcal configuration</v>
      </c>
      <c r="K177" t="str">
        <f>VLOOKUP($A177,Lcode_mapping!$D:$T,12,FALSE)</f>
        <v>Solve</v>
      </c>
      <c r="L177" t="str">
        <f>VLOOKUP($A177,Lcode_mapping!$D:$T,13,FALSE)</f>
        <v>CalibrationSetup</v>
      </c>
    </row>
    <row r="178" spans="1:12" x14ac:dyDescent="0.25">
      <c r="A178" s="25" t="s">
        <v>720</v>
      </c>
      <c r="B178" t="str">
        <f>VLOOKUP(A178,Lcode_mapping!D:T,1,FALSE)</f>
        <v>FCL LIST</v>
      </c>
      <c r="C178" t="str">
        <f>VLOOKUP($A178,Lcode_mapping!$D:$T,15,FALSE)</f>
        <v>FlybyList</v>
      </c>
      <c r="D178" t="str">
        <f>VLOOKUP($A178,Lcode_mapping!$D:$T,7,FALSE)</f>
        <v>Key to the standard flcal config</v>
      </c>
      <c r="E178" t="str">
        <f>VLOOKUP($A178,Lcode_mapping!$D:$T,17,FALSE)</f>
        <v>-</v>
      </c>
      <c r="H178" t="str">
        <f t="shared" si="9"/>
        <v>FCL LIST</v>
      </c>
      <c r="I178" t="str">
        <f t="shared" si="10"/>
        <v>FlybyList</v>
      </c>
      <c r="J178" t="str">
        <f t="shared" si="11"/>
        <v>Key to the standard flcal config</v>
      </c>
      <c r="K178" t="str">
        <f>VLOOKUP($A178,Lcode_mapping!$D:$T,12,FALSE)</f>
        <v>Solve</v>
      </c>
      <c r="L178" t="str">
        <f>VLOOKUP($A178,Lcode_mapping!$D:$T,13,FALSE)</f>
        <v>CalibrationSetup</v>
      </c>
    </row>
    <row r="179" spans="1:12" x14ac:dyDescent="0.25">
      <c r="A179" s="25" t="s">
        <v>813</v>
      </c>
      <c r="B179" t="str">
        <f>VLOOKUP(A179,Lcode_mapping!D:T,1,FALSE)</f>
        <v>FEED.COR</v>
      </c>
      <c r="C179" t="str">
        <f>VLOOKUP($A179,Lcode_mapping!$D:$T,15,FALSE)</f>
        <v>Cal-FeedCorrection</v>
      </c>
      <c r="D179" t="str">
        <f>VLOOKUP($A179,Lcode_mapping!$D:$T,7,FALSE)</f>
        <v>Feedhorn corr. in CORFIL scheme</v>
      </c>
      <c r="E179" t="str">
        <f>VLOOKUP($A179,Lcode_mapping!$D:$T,17,FALSE)</f>
        <v>-</v>
      </c>
      <c r="H179" t="str">
        <f t="shared" si="9"/>
        <v>FEED.COR</v>
      </c>
      <c r="I179" t="str">
        <f t="shared" si="10"/>
        <v>Cal-FeedCorrection</v>
      </c>
      <c r="J179" t="str">
        <f t="shared" si="11"/>
        <v>Feedhorn corr. in CORFIL scheme</v>
      </c>
      <c r="K179" t="str">
        <f>VLOOKUP($A179,Lcode_mapping!$D:$T,12,FALSE)</f>
        <v>ObsCalTheo</v>
      </c>
      <c r="L179" t="str">
        <f>VLOOKUP($A179,Lcode_mapping!$D:$T,13,FALSE)</f>
        <v>Cal-FeedCorrection</v>
      </c>
    </row>
    <row r="180" spans="1:12" x14ac:dyDescent="0.25">
      <c r="A180" s="25" t="s">
        <v>597</v>
      </c>
      <c r="B180" t="str">
        <f>VLOOKUP(A180,Lcode_mapping!D:T,1,FALSE)</f>
        <v>FOURF CF</v>
      </c>
      <c r="C180" t="str">
        <f>VLOOKUP($A180,Lcode_mapping!$D:$T,15,FALSE)</f>
        <v>FourfitControlFile</v>
      </c>
      <c r="D180" t="str">
        <f>VLOOKUP($A180,Lcode_mapping!$D:$T,7,FALSE)</f>
        <v>Control file name for fourfit.</v>
      </c>
      <c r="E180" t="str">
        <f>VLOOKUP($A180,Lcode_mapping!$D:$T,17,FALSE)</f>
        <v>-</v>
      </c>
      <c r="H180" t="str">
        <f t="shared" si="9"/>
        <v>FOURF CF</v>
      </c>
      <c r="I180" t="str">
        <f t="shared" si="10"/>
        <v>FourfitControlFile</v>
      </c>
      <c r="J180" t="str">
        <f t="shared" si="11"/>
        <v>Control file name for fourfit.</v>
      </c>
      <c r="K180" t="str">
        <f>VLOOKUP($A180,Lcode_mapping!$D:$T,12,FALSE)</f>
        <v>Solve</v>
      </c>
      <c r="L180" t="str">
        <f>VLOOKUP($A180,Lcode_mapping!$D:$T,13,FALSE)</f>
        <v>Misc</v>
      </c>
    </row>
    <row r="181" spans="1:12" x14ac:dyDescent="0.25">
      <c r="A181" s="25" t="s">
        <v>599</v>
      </c>
      <c r="B181" t="str">
        <f>VLOOKUP(A181,Lcode_mapping!D:T,1,FALSE)</f>
        <v>FOURF CS</v>
      </c>
      <c r="C181" t="str">
        <f>VLOOKUP($A181,Lcode_mapping!$D:$T,15,FALSE)</f>
        <v>FourFitCmdCString</v>
      </c>
      <c r="D181" t="str">
        <f>VLOOKUP($A181,Lcode_mapping!$D:$T,7,FALSE)</f>
        <v>Command string used for fourfit.</v>
      </c>
      <c r="E181" t="str">
        <f>VLOOKUP($A181,Lcode_mapping!$D:$T,17,FALSE)</f>
        <v>-</v>
      </c>
      <c r="H181" t="str">
        <f t="shared" si="9"/>
        <v>FOURF CS</v>
      </c>
      <c r="I181" t="str">
        <f t="shared" si="10"/>
        <v>FourFitCmdCString</v>
      </c>
      <c r="J181" t="str">
        <f t="shared" si="11"/>
        <v>Command string used for fourfit.</v>
      </c>
      <c r="K181" t="str">
        <f>VLOOKUP($A181,Lcode_mapping!$D:$T,12,FALSE)</f>
        <v>Solve</v>
      </c>
      <c r="L181" t="str">
        <f>VLOOKUP($A181,Lcode_mapping!$D:$T,13,FALSE)</f>
        <v>Misc</v>
      </c>
    </row>
    <row r="182" spans="1:12" x14ac:dyDescent="0.25">
      <c r="A182" s="25" t="s">
        <v>1054</v>
      </c>
      <c r="B182" t="str">
        <f>VLOOKUP(A182,Lcode_mapping!D:T,1,FALSE)</f>
        <v>FOURFFIL</v>
      </c>
      <c r="C182" t="str">
        <f>VLOOKUP($A182,Lcode_mapping!$D:$T,15,FALSE)</f>
        <v>-</v>
      </c>
      <c r="D182" t="str">
        <f>VLOOKUP($A182,Lcode_mapping!$D:$T,7,FALSE)</f>
        <v>Fourfit output filename.</v>
      </c>
      <c r="E182" t="str">
        <f>VLOOKUP($A182,Lcode_mapping!$D:$T,17,FALSE)</f>
        <v>-</v>
      </c>
      <c r="H182" t="str">
        <f t="shared" si="9"/>
        <v>FOURFFIL</v>
      </c>
      <c r="I182" t="str">
        <f t="shared" si="10"/>
        <v>FOURFFIL</v>
      </c>
      <c r="J182" t="str">
        <f t="shared" si="11"/>
        <v>Fourfit output filename.</v>
      </c>
      <c r="K182" t="str">
        <f>VLOOKUP($A182,Lcode_mapping!$D:$T,12,FALSE)</f>
        <v>Observables</v>
      </c>
      <c r="L182" t="str">
        <f>VLOOKUP($A182,Lcode_mapping!$D:$T,13,FALSE)</f>
        <v>CorrInfo_bX</v>
      </c>
    </row>
    <row r="183" spans="1:12" x14ac:dyDescent="0.25">
      <c r="A183" s="25" t="s">
        <v>1064</v>
      </c>
      <c r="B183" t="str">
        <f>VLOOKUP(A183,Lcode_mapping!D:T,1,FALSE)</f>
        <v>FOURFFXS</v>
      </c>
      <c r="C183" t="str">
        <f>VLOOKUP($A183,Lcode_mapping!$D:$T,15,FALSE)</f>
        <v>-</v>
      </c>
      <c r="D183" t="str">
        <f>VLOOKUP($A183,Lcode_mapping!$D:$T,7,FALSE)</f>
        <v>Fourfit output filename S-band</v>
      </c>
      <c r="E183" t="str">
        <f>VLOOKUP($A183,Lcode_mapping!$D:$T,17,FALSE)</f>
        <v>-</v>
      </c>
      <c r="H183" t="str">
        <f t="shared" si="9"/>
        <v>FOURFFXS</v>
      </c>
      <c r="I183" t="str">
        <f t="shared" si="10"/>
        <v>FOURFFXS</v>
      </c>
      <c r="J183" t="str">
        <f t="shared" si="11"/>
        <v>Fourfit output filename S-band</v>
      </c>
      <c r="K183" t="str">
        <f>VLOOKUP($A183,Lcode_mapping!$D:$T,12,FALSE)</f>
        <v>Observables</v>
      </c>
      <c r="L183" t="str">
        <f>VLOOKUP($A183,Lcode_mapping!$D:$T,13,FALSE)</f>
        <v>CorrInfo_bX</v>
      </c>
    </row>
    <row r="184" spans="1:12" x14ac:dyDescent="0.25">
      <c r="A184" s="25" t="s">
        <v>1034</v>
      </c>
      <c r="B184" t="str">
        <f>VLOOKUP(A184,Lcode_mapping!D:T,1,FALSE)</f>
        <v>FOURFUTC</v>
      </c>
      <c r="C184" t="str">
        <f>VLOOKUP($A184,Lcode_mapping!$D:$T,15,FALSE)</f>
        <v>-</v>
      </c>
      <c r="D184" t="str">
        <f>VLOOKUP($A184,Lcode_mapping!$D:$T,7,FALSE)</f>
        <v>Fourfit processing time YMDHMS.</v>
      </c>
      <c r="E184" t="str">
        <f>VLOOKUP($A184,Lcode_mapping!$D:$T,17,FALSE)</f>
        <v>-</v>
      </c>
      <c r="H184" t="str">
        <f t="shared" si="9"/>
        <v>FOURFUTC</v>
      </c>
      <c r="I184" t="str">
        <f t="shared" si="10"/>
        <v>FOURFUTC</v>
      </c>
      <c r="J184" t="str">
        <f t="shared" si="11"/>
        <v>Fourfit processing time YMDHMS.</v>
      </c>
      <c r="K184" t="str">
        <f>VLOOKUP($A184,Lcode_mapping!$D:$T,12,FALSE)</f>
        <v>Observables</v>
      </c>
      <c r="L184" t="str">
        <f>VLOOKUP($A184,Lcode_mapping!$D:$T,13,FALSE)</f>
        <v>CorrInfo_bX</v>
      </c>
    </row>
    <row r="185" spans="1:12" x14ac:dyDescent="0.25">
      <c r="A185" s="25" t="s">
        <v>1036</v>
      </c>
      <c r="B185" t="str">
        <f>VLOOKUP(A185,Lcode_mapping!D:T,1,FALSE)</f>
        <v>FOURFVER</v>
      </c>
      <c r="C185" t="str">
        <f>VLOOKUP($A185,Lcode_mapping!$D:$T,15,FALSE)</f>
        <v>-</v>
      </c>
      <c r="D185" t="str">
        <f>VLOOKUP($A185,Lcode_mapping!$D:$T,7,FALSE)</f>
        <v>Fourfit version number.</v>
      </c>
      <c r="E185" t="str">
        <f>VLOOKUP($A185,Lcode_mapping!$D:$T,17,FALSE)</f>
        <v>-</v>
      </c>
      <c r="H185" t="str">
        <f t="shared" si="9"/>
        <v>FOURFVER</v>
      </c>
      <c r="I185" t="str">
        <f t="shared" si="10"/>
        <v>FOURFVER</v>
      </c>
      <c r="J185" t="str">
        <f t="shared" si="11"/>
        <v>Fourfit version number.</v>
      </c>
      <c r="K185" t="str">
        <f>VLOOKUP($A185,Lcode_mapping!$D:$T,12,FALSE)</f>
        <v>Observables</v>
      </c>
      <c r="L185" t="str">
        <f>VLOOKUP($A185,Lcode_mapping!$D:$T,13,FALSE)</f>
        <v>CorrInfo_bX</v>
      </c>
    </row>
    <row r="186" spans="1:12" x14ac:dyDescent="0.25">
      <c r="A186" s="25" t="s">
        <v>1056</v>
      </c>
      <c r="B186" t="str">
        <f>VLOOKUP(A186,Lcode_mapping!D:T,1,FALSE)</f>
        <v>FRNGERR</v>
      </c>
      <c r="C186" t="str">
        <f>VLOOKUP($A186,Lcode_mapping!$D:$T,15,FALSE)</f>
        <v>-</v>
      </c>
      <c r="D186" t="str">
        <f>VLOOKUP($A186,Lcode_mapping!$D:$T,7,FALSE)</f>
        <v>Fourfit error flag blank=OK.</v>
      </c>
      <c r="E186" t="str">
        <f>VLOOKUP($A186,Lcode_mapping!$D:$T,17,FALSE)</f>
        <v>-</v>
      </c>
      <c r="H186" t="str">
        <f t="shared" si="9"/>
        <v>FRNGERR</v>
      </c>
      <c r="I186" t="str">
        <f t="shared" si="10"/>
        <v>FRNGERR</v>
      </c>
      <c r="J186" t="str">
        <f t="shared" si="11"/>
        <v>Fourfit error flag blank=OK.</v>
      </c>
      <c r="K186" t="str">
        <f>VLOOKUP($A186,Lcode_mapping!$D:$T,12,FALSE)</f>
        <v>Observables</v>
      </c>
      <c r="L186" t="str">
        <f>VLOOKUP($A186,Lcode_mapping!$D:$T,13,FALSE)</f>
        <v>CorrInfo_bX</v>
      </c>
    </row>
    <row r="187" spans="1:12" x14ac:dyDescent="0.25">
      <c r="A187" s="25" t="s">
        <v>418</v>
      </c>
      <c r="B187" t="str">
        <f>VLOOKUP(A187,Lcode_mapping!D:T,1,FALSE)</f>
        <v>FROTDLAY</v>
      </c>
      <c r="C187" t="str">
        <f>VLOOKUP($A187,Lcode_mapping!$D:$T,15,FALSE)</f>
        <v>-</v>
      </c>
      <c r="D187" t="str">
        <f>VLOOKUP($A187,Lcode_mapping!$D:$T,7,FALSE)</f>
        <v>Delay due to rel. feed rotation.</v>
      </c>
      <c r="E187" t="str">
        <f>VLOOKUP($A187,Lcode_mapping!$D:$T,17,FALSE)</f>
        <v>-</v>
      </c>
      <c r="H187" t="str">
        <f t="shared" si="9"/>
        <v>FROTDLAY</v>
      </c>
      <c r="I187" t="str">
        <f t="shared" si="10"/>
        <v>FROTDLAY</v>
      </c>
      <c r="J187" t="str">
        <f t="shared" si="11"/>
        <v>Delay due to rel. feed rotation.</v>
      </c>
      <c r="K187" t="str">
        <f>VLOOKUP($A187,Lcode_mapping!$D:$T,12,FALSE)</f>
        <v>OBSOLETE</v>
      </c>
      <c r="L187" t="str">
        <f>VLOOKUP($A187,Lcode_mapping!$D:$T,13,FALSE)</f>
        <v>-</v>
      </c>
    </row>
    <row r="188" spans="1:12" x14ac:dyDescent="0.25">
      <c r="A188" s="25" t="s">
        <v>1058</v>
      </c>
      <c r="B188" t="str">
        <f>VLOOKUP(A188,Lcode_mapping!D:T,1,FALSE)</f>
        <v>FRQGROUP</v>
      </c>
      <c r="C188" t="str">
        <f>VLOOKUP($A188,Lcode_mapping!$D:$T,15,FALSE)</f>
        <v>-</v>
      </c>
      <c r="D188" t="str">
        <f>VLOOKUP($A188,Lcode_mapping!$D:$T,7,FALSE)</f>
        <v>Frequency group code.</v>
      </c>
      <c r="E188" t="str">
        <f>VLOOKUP($A188,Lcode_mapping!$D:$T,17,FALSE)</f>
        <v>-</v>
      </c>
      <c r="H188" t="str">
        <f t="shared" si="9"/>
        <v>FRQGROUP</v>
      </c>
      <c r="I188" t="str">
        <f t="shared" si="10"/>
        <v>FRQGROUP</v>
      </c>
      <c r="J188" t="str">
        <f t="shared" si="11"/>
        <v>Frequency group code.</v>
      </c>
      <c r="K188" t="str">
        <f>VLOOKUP($A188,Lcode_mapping!$D:$T,12,FALSE)</f>
        <v>Observables</v>
      </c>
      <c r="L188" t="str">
        <f>VLOOKUP($A188,Lcode_mapping!$D:$T,13,FALSE)</f>
        <v>CorrInfo_bX</v>
      </c>
    </row>
    <row r="189" spans="1:12" x14ac:dyDescent="0.25">
      <c r="A189" s="25" t="s">
        <v>499</v>
      </c>
      <c r="B189" t="str">
        <f>VLOOKUP(A189,Lcode_mapping!D:T,1,FALSE)</f>
        <v>FUT1 INF</v>
      </c>
      <c r="C189" t="str">
        <f>VLOOKUP($A189,Lcode_mapping!$D:$T,15,FALSE)</f>
        <v>UT1ArrayInfo</v>
      </c>
      <c r="D189" t="str">
        <f>VLOOKUP($A189,Lcode_mapping!$D:$T,7,FALSE)</f>
        <v>Final Value TAI-UT1 array descrp</v>
      </c>
      <c r="E189" t="str">
        <f>VLOOKUP($A189,Lcode_mapping!$D:$T,17,FALSE)</f>
        <v>Array: (FJD of start, spacing in days, number points, Scaling (should be 1))</v>
      </c>
      <c r="H189" t="str">
        <f t="shared" si="9"/>
        <v>FUT1 INF</v>
      </c>
      <c r="I189" t="str">
        <f t="shared" si="10"/>
        <v>UT1ArrayInfo</v>
      </c>
      <c r="J189" t="str">
        <f t="shared" si="11"/>
        <v>Array: (FJD of start, spacing in days, number points, Scaling (should be 1))</v>
      </c>
      <c r="K189" t="str">
        <f>VLOOKUP($A189,Lcode_mapping!$D:$T,12,FALSE)</f>
        <v>Solve</v>
      </c>
      <c r="L189" t="str">
        <f>VLOOKUP($A189,Lcode_mapping!$D:$T,13,FALSE)</f>
        <v>CalcERP</v>
      </c>
    </row>
    <row r="190" spans="1:12" x14ac:dyDescent="0.25">
      <c r="A190" s="25" t="s">
        <v>501</v>
      </c>
      <c r="B190" t="str">
        <f>VLOOKUP(A190,Lcode_mapping!D:T,1,FALSE)</f>
        <v>FUT1 PTS</v>
      </c>
      <c r="C190" t="str">
        <f>VLOOKUP($A190,Lcode_mapping!$D:$T,15,FALSE)</f>
        <v>UT1Values</v>
      </c>
      <c r="D190" t="str">
        <f>VLOOKUP($A190,Lcode_mapping!$D:$T,7,FALSE)</f>
        <v>Final Value TAI-UT1 data points.</v>
      </c>
      <c r="E190" t="str">
        <f>VLOOKUP($A190,Lcode_mapping!$D:$T,17,FALSE)</f>
        <v>-</v>
      </c>
      <c r="H190" t="str">
        <f t="shared" si="9"/>
        <v>FUT1 PTS</v>
      </c>
      <c r="I190" t="str">
        <f t="shared" si="10"/>
        <v>UT1Values</v>
      </c>
      <c r="J190" t="str">
        <f t="shared" si="11"/>
        <v>Final Value TAI-UT1 data points.</v>
      </c>
      <c r="K190" t="str">
        <f>VLOOKUP($A190,Lcode_mapping!$D:$T,12,FALSE)</f>
        <v>Solve</v>
      </c>
      <c r="L190" t="str">
        <f>VLOOKUP($A190,Lcode_mapping!$D:$T,13,FALSE)</f>
        <v>CalcERP</v>
      </c>
    </row>
    <row r="191" spans="1:12" x14ac:dyDescent="0.25">
      <c r="A191" s="25" t="s">
        <v>659</v>
      </c>
      <c r="B191" t="str">
        <f>VLOOKUP(A191,Lcode_mapping!D:T,1,FALSE)</f>
        <v>FUT1TEXT</v>
      </c>
      <c r="C191" t="str">
        <f>VLOOKUP($A191,Lcode_mapping!$D:$T,15,FALSE)</f>
        <v>UT1Origin</v>
      </c>
      <c r="D191" t="str">
        <f>VLOOKUP($A191,Lcode_mapping!$D:$T,7,FALSE)</f>
        <v>Final Value TAI-UT1 origin text.</v>
      </c>
      <c r="E191" t="str">
        <f>VLOOKUP($A191,Lcode_mapping!$D:$T,17,FALSE)</f>
        <v>-</v>
      </c>
      <c r="H191" t="str">
        <f t="shared" si="9"/>
        <v>FUT1TEXT</v>
      </c>
      <c r="I191" t="str">
        <f t="shared" si="10"/>
        <v>UT1Origin</v>
      </c>
      <c r="J191" t="str">
        <f t="shared" si="11"/>
        <v>Final Value TAI-UT1 origin text.</v>
      </c>
      <c r="K191" t="str">
        <f>VLOOKUP($A191,Lcode_mapping!$D:$T,12,FALSE)</f>
        <v>Solve</v>
      </c>
      <c r="L191" t="str">
        <f>VLOOKUP($A191,Lcode_mapping!$D:$T,13,FALSE)</f>
        <v>CalcERP</v>
      </c>
    </row>
    <row r="192" spans="1:12" x14ac:dyDescent="0.25">
      <c r="A192" s="25" t="s">
        <v>515</v>
      </c>
      <c r="B192" t="str">
        <f>VLOOKUP(A192,Lcode_mapping!D:T,1,FALSE)</f>
        <v>FWOB INF</v>
      </c>
      <c r="C192" t="str">
        <f>VLOOKUP($A192,Lcode_mapping!$D:$T,15,FALSE)</f>
        <v>WobArrayInfo</v>
      </c>
      <c r="D192" t="str">
        <f>VLOOKUP($A192,Lcode_mapping!$D:$T,7,FALSE)</f>
        <v>Final Value wobble array descr.</v>
      </c>
      <c r="E192" t="str">
        <f>VLOOKUP($A192,Lcode_mapping!$D:$T,17,FALSE)</f>
        <v xml:space="preserve">Array: (FJD of start, spacing in days, number points) </v>
      </c>
      <c r="H192" t="str">
        <f t="shared" si="9"/>
        <v>FWOB INF</v>
      </c>
      <c r="I192" t="str">
        <f t="shared" si="10"/>
        <v>WobArrayInfo</v>
      </c>
      <c r="J192" t="str">
        <f t="shared" si="11"/>
        <v xml:space="preserve">Array: (FJD of start, spacing in days, number points) </v>
      </c>
      <c r="K192" t="str">
        <f>VLOOKUP($A192,Lcode_mapping!$D:$T,12,FALSE)</f>
        <v>Solve</v>
      </c>
      <c r="L192" t="str">
        <f>VLOOKUP($A192,Lcode_mapping!$D:$T,13,FALSE)</f>
        <v>CalcERP</v>
      </c>
    </row>
    <row r="193" spans="1:12" x14ac:dyDescent="0.25">
      <c r="A193" s="25" t="s">
        <v>669</v>
      </c>
      <c r="B193" t="str">
        <f>VLOOKUP(A193,Lcode_mapping!D:T,1,FALSE)</f>
        <v>FWOBTEXT</v>
      </c>
      <c r="C193" t="str">
        <f>VLOOKUP($A193,Lcode_mapping!$D:$T,15,FALSE)</f>
        <v>WobbleOrigin</v>
      </c>
      <c r="D193" t="str">
        <f>VLOOKUP($A193,Lcode_mapping!$D:$T,7,FALSE)</f>
        <v>Final Value wobble origin text.</v>
      </c>
      <c r="E193" t="str">
        <f>VLOOKUP($A193,Lcode_mapping!$D:$T,17,FALSE)</f>
        <v>-</v>
      </c>
      <c r="H193" t="str">
        <f t="shared" si="9"/>
        <v>FWOBTEXT</v>
      </c>
      <c r="I193" t="str">
        <f t="shared" si="10"/>
        <v>WobbleOrigin</v>
      </c>
      <c r="J193" t="str">
        <f t="shared" si="11"/>
        <v>Final Value wobble origin text.</v>
      </c>
      <c r="K193" t="str">
        <f>VLOOKUP($A193,Lcode_mapping!$D:$T,12,FALSE)</f>
        <v>Solve</v>
      </c>
      <c r="L193" t="str">
        <f>VLOOKUP($A193,Lcode_mapping!$D:$T,13,FALSE)</f>
        <v>CalcERP</v>
      </c>
    </row>
    <row r="194" spans="1:12" x14ac:dyDescent="0.25">
      <c r="A194" s="25" t="s">
        <v>517</v>
      </c>
      <c r="B194" t="str">
        <f>VLOOKUP(A194,Lcode_mapping!D:T,1,FALSE)</f>
        <v>FWOBX&amp;YT</v>
      </c>
      <c r="C194" t="str">
        <f>VLOOKUP($A194,Lcode_mapping!$D:$T,15,FALSE)</f>
        <v>WobValues</v>
      </c>
      <c r="D194" t="str">
        <f>VLOOKUP($A194,Lcode_mapping!$D:$T,7,FALSE)</f>
        <v>Final wobble X Y component value</v>
      </c>
      <c r="E194" t="str">
        <f>VLOOKUP($A194,Lcode_mapping!$D:$T,17,FALSE)</f>
        <v>-</v>
      </c>
      <c r="H194" t="str">
        <f t="shared" si="9"/>
        <v>FWOBX&amp;YT</v>
      </c>
      <c r="I194" t="str">
        <f t="shared" si="10"/>
        <v>WobValues</v>
      </c>
      <c r="J194" t="str">
        <f t="shared" si="11"/>
        <v>Final wobble X Y component value</v>
      </c>
      <c r="K194" t="str">
        <f>VLOOKUP($A194,Lcode_mapping!$D:$T,12,FALSE)</f>
        <v>Solve</v>
      </c>
      <c r="L194" t="str">
        <f>VLOOKUP($A194,Lcode_mapping!$D:$T,13,FALSE)</f>
        <v>CalcERP</v>
      </c>
    </row>
    <row r="195" spans="1:12" x14ac:dyDescent="0.25">
      <c r="A195" s="25" t="s">
        <v>463</v>
      </c>
      <c r="B195" t="str">
        <f>VLOOKUP(A195,Lcode_mapping!D:T,1,FALSE)</f>
        <v>GAUSS</v>
      </c>
      <c r="C195" t="str">
        <f>VLOOKUP($A195,Lcode_mapping!$D:$T,15,FALSE)</f>
        <v>-</v>
      </c>
      <c r="D195" t="str">
        <f>VLOOKUP($A195,Lcode_mapping!$D:$T,7,FALSE)</f>
        <v>Gauss's constant (rad).</v>
      </c>
      <c r="E195" t="str">
        <f>VLOOKUP($A195,Lcode_mapping!$D:$T,17,FALSE)</f>
        <v>-</v>
      </c>
      <c r="H195" t="str">
        <f t="shared" si="9"/>
        <v>GAUSS</v>
      </c>
      <c r="I195" t="str">
        <f t="shared" si="10"/>
        <v>GAUSS</v>
      </c>
      <c r="J195" t="str">
        <f t="shared" si="11"/>
        <v>Gauss's constant (rad).</v>
      </c>
      <c r="K195" t="str">
        <f>VLOOKUP($A195,Lcode_mapping!$D:$T,12,FALSE)</f>
        <v>OBSOLETE</v>
      </c>
      <c r="L195" t="str">
        <f>VLOOKUP($A195,Lcode_mapping!$D:$T,13,FALSE)</f>
        <v>-</v>
      </c>
    </row>
    <row r="196" spans="1:12" x14ac:dyDescent="0.25">
      <c r="A196" s="25" t="s">
        <v>1004</v>
      </c>
      <c r="B196" t="str">
        <f>VLOOKUP(A196,Lcode_mapping!D:T,1,FALSE)</f>
        <v>GC MBD</v>
      </c>
      <c r="C196" t="str">
        <f>VLOOKUP($A196,Lcode_mapping!$D:$T,15,FALSE)</f>
        <v>GeocMBD</v>
      </c>
      <c r="D196" t="str">
        <f>VLOOKUP($A196,Lcode_mapping!$D:$T,7,FALSE)</f>
        <v>Tot geocenter group delay (sec).</v>
      </c>
      <c r="E196" t="str">
        <f>VLOOKUP($A196,Lcode_mapping!$D:$T,17,FALSE)</f>
        <v>-</v>
      </c>
      <c r="H196" t="str">
        <f t="shared" si="9"/>
        <v>GC MBD</v>
      </c>
      <c r="I196" t="str">
        <f t="shared" si="10"/>
        <v>GeocMBD</v>
      </c>
      <c r="J196" t="str">
        <f t="shared" si="11"/>
        <v>Tot geocenter group delay (sec).</v>
      </c>
      <c r="K196" t="str">
        <f>VLOOKUP($A196,Lcode_mapping!$D:$T,12,FALSE)</f>
        <v>Observables</v>
      </c>
      <c r="L196" t="str">
        <f>VLOOKUP($A196,Lcode_mapping!$D:$T,13,FALSE)</f>
        <v>CorrInfo_bX</v>
      </c>
    </row>
    <row r="197" spans="1:12" x14ac:dyDescent="0.25">
      <c r="A197" s="25" t="s">
        <v>749</v>
      </c>
      <c r="B197" t="str">
        <f>VLOOKUP(A197,Lcode_mapping!D:T,1,FALSE)</f>
        <v>GC PHASE</v>
      </c>
      <c r="C197" t="str">
        <f>VLOOKUP($A197,Lcode_mapping!$D:$T,15,FALSE)</f>
        <v>GeocPhase</v>
      </c>
      <c r="D197" t="str">
        <f>VLOOKUP($A197,Lcode_mapping!$D:$T,7,FALSE)</f>
        <v>Tot phase ref to cen of Earth.</v>
      </c>
      <c r="E197" t="str">
        <f>VLOOKUP($A197,Lcode_mapping!$D:$T,17,FALSE)</f>
        <v>-</v>
      </c>
      <c r="H197" t="str">
        <f t="shared" si="9"/>
        <v>GC PHASE</v>
      </c>
      <c r="I197" t="str">
        <f t="shared" si="10"/>
        <v>GeocPhase</v>
      </c>
      <c r="J197" t="str">
        <f t="shared" si="11"/>
        <v>Tot phase ref to cen of Earth.</v>
      </c>
      <c r="K197" t="str">
        <f>VLOOKUP($A197,Lcode_mapping!$D:$T,12,FALSE)</f>
        <v>Observables</v>
      </c>
      <c r="L197" t="str">
        <f>VLOOKUP($A197,Lcode_mapping!$D:$T,13,FALSE)</f>
        <v>CorrInfo_bX</v>
      </c>
    </row>
    <row r="198" spans="1:12" x14ac:dyDescent="0.25">
      <c r="A198" s="25" t="s">
        <v>1006</v>
      </c>
      <c r="B198" t="str">
        <f>VLOOKUP(A198,Lcode_mapping!D:T,1,FALSE)</f>
        <v>GC RATE</v>
      </c>
      <c r="C198" t="str">
        <f>VLOOKUP($A198,Lcode_mapping!$D:$T,15,FALSE)</f>
        <v>GeocRate</v>
      </c>
      <c r="D198" t="str">
        <f>VLOOKUP($A198,Lcode_mapping!$D:$T,7,FALSE)</f>
        <v>Tot geocenter delay rate (s/s).</v>
      </c>
      <c r="E198" t="str">
        <f>VLOOKUP($A198,Lcode_mapping!$D:$T,17,FALSE)</f>
        <v>-</v>
      </c>
      <c r="H198" t="str">
        <f t="shared" si="9"/>
        <v>GC RATE</v>
      </c>
      <c r="I198" t="str">
        <f t="shared" si="10"/>
        <v>GeocRate</v>
      </c>
      <c r="J198" t="str">
        <f t="shared" si="11"/>
        <v>Tot geocenter delay rate (s/s).</v>
      </c>
      <c r="K198" t="str">
        <f>VLOOKUP($A198,Lcode_mapping!$D:$T,12,FALSE)</f>
        <v>Observables</v>
      </c>
      <c r="L198" t="str">
        <f>VLOOKUP($A198,Lcode_mapping!$D:$T,13,FALSE)</f>
        <v>CorrInfo_bX</v>
      </c>
    </row>
    <row r="199" spans="1:12" x14ac:dyDescent="0.25">
      <c r="A199" s="25" t="s">
        <v>1008</v>
      </c>
      <c r="B199" t="str">
        <f>VLOOKUP(A199,Lcode_mapping!D:T,1,FALSE)</f>
        <v>GC SBD</v>
      </c>
      <c r="C199" t="str">
        <f>VLOOKUP($A199,Lcode_mapping!$D:$T,15,FALSE)</f>
        <v>GeocSBD</v>
      </c>
      <c r="D199" t="str">
        <f>VLOOKUP($A199,Lcode_mapping!$D:$T,7,FALSE)</f>
        <v>Tot geocenter sbd delay (sec).</v>
      </c>
      <c r="E199" t="str">
        <f>VLOOKUP($A199,Lcode_mapping!$D:$T,17,FALSE)</f>
        <v>-</v>
      </c>
      <c r="H199" t="str">
        <f t="shared" si="9"/>
        <v>GC SBD</v>
      </c>
      <c r="I199" t="str">
        <f t="shared" si="10"/>
        <v>GeocSBD</v>
      </c>
      <c r="J199" t="str">
        <f t="shared" si="11"/>
        <v>Tot geocenter sbd delay (sec).</v>
      </c>
      <c r="K199" t="str">
        <f>VLOOKUP($A199,Lcode_mapping!$D:$T,12,FALSE)</f>
        <v>Observables</v>
      </c>
      <c r="L199" t="str">
        <f>VLOOKUP($A199,Lcode_mapping!$D:$T,13,FALSE)</f>
        <v>CorrInfo_bX</v>
      </c>
    </row>
    <row r="200" spans="1:12" x14ac:dyDescent="0.25">
      <c r="A200" s="25" t="s">
        <v>1010</v>
      </c>
      <c r="B200" t="str">
        <f>VLOOKUP(A200,Lcode_mapping!D:T,1,FALSE)</f>
        <v>GCRESPHS</v>
      </c>
      <c r="C200" t="str">
        <f>VLOOKUP($A200,Lcode_mapping!$D:$T,15,FALSE)</f>
        <v>GeocResidPhase</v>
      </c>
      <c r="D200" t="str">
        <f>VLOOKUP($A200,Lcode_mapping!$D:$T,7,FALSE)</f>
        <v>Resid phs corrected to cen of E.</v>
      </c>
      <c r="E200" t="str">
        <f>VLOOKUP($A200,Lcode_mapping!$D:$T,17,FALSE)</f>
        <v>-</v>
      </c>
      <c r="H200" t="str">
        <f t="shared" si="9"/>
        <v>GCRESPHS</v>
      </c>
      <c r="I200" t="str">
        <f t="shared" si="10"/>
        <v>GeocResidPhase</v>
      </c>
      <c r="J200" t="str">
        <f t="shared" si="11"/>
        <v>Resid phs corrected to cen of E.</v>
      </c>
      <c r="K200" t="str">
        <f>VLOOKUP($A200,Lcode_mapping!$D:$T,12,FALSE)</f>
        <v>Observables</v>
      </c>
      <c r="L200" t="str">
        <f>VLOOKUP($A200,Lcode_mapping!$D:$T,13,FALSE)</f>
        <v>CorrInfo_bX</v>
      </c>
    </row>
    <row r="201" spans="1:12" x14ac:dyDescent="0.25">
      <c r="A201" s="25" t="s">
        <v>469</v>
      </c>
      <c r="B201" t="str">
        <f>VLOOKUP(A201,Lcode_mapping!D:T,1,FALSE)</f>
        <v>GMEARTH</v>
      </c>
      <c r="C201" t="str">
        <f>VLOOKUP($A201,Lcode_mapping!$D:$T,15,FALSE)</f>
        <v>-</v>
      </c>
      <c r="D201" t="str">
        <f>VLOOKUP($A201,Lcode_mapping!$D:$T,7,FALSE)</f>
        <v>GM of the Earth (m^3/sec^2).</v>
      </c>
      <c r="E201" t="str">
        <f>VLOOKUP($A201,Lcode_mapping!$D:$T,17,FALSE)</f>
        <v>-</v>
      </c>
      <c r="H201" t="str">
        <f t="shared" si="9"/>
        <v>GMEARTH</v>
      </c>
      <c r="I201" t="str">
        <f t="shared" si="10"/>
        <v>GMEARTH</v>
      </c>
      <c r="J201" t="str">
        <f t="shared" si="11"/>
        <v>GM of the Earth (m^3/sec^2).</v>
      </c>
      <c r="K201" t="str">
        <f>VLOOKUP($A201,Lcode_mapping!$D:$T,12,FALSE)</f>
        <v>OBSOLETE</v>
      </c>
      <c r="L201" t="str">
        <f>VLOOKUP($A201,Lcode_mapping!$D:$T,13,FALSE)</f>
        <v>-</v>
      </c>
    </row>
    <row r="202" spans="1:12" x14ac:dyDescent="0.25">
      <c r="A202" s="25" t="s">
        <v>471</v>
      </c>
      <c r="B202" t="str">
        <f>VLOOKUP(A202,Lcode_mapping!D:T,1,FALSE)</f>
        <v>GMMOON</v>
      </c>
      <c r="C202" t="str">
        <f>VLOOKUP($A202,Lcode_mapping!$D:$T,15,FALSE)</f>
        <v>-</v>
      </c>
      <c r="D202" t="str">
        <f>VLOOKUP($A202,Lcode_mapping!$D:$T,7,FALSE)</f>
        <v>GM of the Moon (m^3/sec^2).</v>
      </c>
      <c r="E202" t="str">
        <f>VLOOKUP($A202,Lcode_mapping!$D:$T,17,FALSE)</f>
        <v>-</v>
      </c>
      <c r="H202" t="str">
        <f t="shared" si="9"/>
        <v>GMMOON</v>
      </c>
      <c r="I202" t="str">
        <f t="shared" si="10"/>
        <v>GMMOON</v>
      </c>
      <c r="J202" t="str">
        <f t="shared" si="11"/>
        <v>GM of the Moon (m^3/sec^2).</v>
      </c>
      <c r="K202" t="str">
        <f>VLOOKUP($A202,Lcode_mapping!$D:$T,12,FALSE)</f>
        <v>OBSOLETE</v>
      </c>
      <c r="L202" t="str">
        <f>VLOOKUP($A202,Lcode_mapping!$D:$T,13,FALSE)</f>
        <v>-</v>
      </c>
    </row>
    <row r="203" spans="1:12" x14ac:dyDescent="0.25">
      <c r="A203" s="25" t="s">
        <v>467</v>
      </c>
      <c r="B203" t="str">
        <f>VLOOKUP(A203,Lcode_mapping!D:T,1,FALSE)</f>
        <v>GMSUN</v>
      </c>
      <c r="C203" t="str">
        <f>VLOOKUP($A203,Lcode_mapping!$D:$T,15,FALSE)</f>
        <v>-</v>
      </c>
      <c r="D203" t="str">
        <f>VLOOKUP($A203,Lcode_mapping!$D:$T,7,FALSE)</f>
        <v>GM of the Sun (m^3/sec^2).</v>
      </c>
      <c r="E203" t="str">
        <f>VLOOKUP($A203,Lcode_mapping!$D:$T,17,FALSE)</f>
        <v>-</v>
      </c>
      <c r="H203" t="str">
        <f t="shared" si="9"/>
        <v>GMSUN</v>
      </c>
      <c r="I203" t="str">
        <f t="shared" si="10"/>
        <v>GMSUN</v>
      </c>
      <c r="J203" t="str">
        <f t="shared" si="11"/>
        <v>GM of the Sun (m^3/sec^2).</v>
      </c>
      <c r="K203" t="str">
        <f>VLOOKUP($A203,Lcode_mapping!$D:$T,12,FALSE)</f>
        <v>OBSOLETE</v>
      </c>
      <c r="L203" t="str">
        <f>VLOOKUP($A203,Lcode_mapping!$D:$T,13,FALSE)</f>
        <v>-</v>
      </c>
    </row>
    <row r="204" spans="1:12" x14ac:dyDescent="0.25">
      <c r="A204" s="25" t="s">
        <v>751</v>
      </c>
      <c r="B204" t="str">
        <f>VLOOKUP(A204,Lcode_mapping!D:T,1,FALSE)</f>
        <v>GPDLAMBG</v>
      </c>
      <c r="C204" t="str">
        <f>VLOOKUP($A204,Lcode_mapping!$D:$T,15,FALSE)</f>
        <v>AmbigSize</v>
      </c>
      <c r="D204" t="str">
        <f>VLOOKUP($A204,Lcode_mapping!$D:$T,7,FALSE)</f>
        <v>Group delay ambiguity (sec).</v>
      </c>
      <c r="E204" t="str">
        <f>VLOOKUP($A204,Lcode_mapping!$D:$T,17,FALSE)</f>
        <v>Group delay ambiguity spacing</v>
      </c>
      <c r="H204" t="str">
        <f t="shared" si="9"/>
        <v>GPDLAMBG</v>
      </c>
      <c r="I204" t="str">
        <f t="shared" si="10"/>
        <v>AmbigSize</v>
      </c>
      <c r="J204" t="str">
        <f t="shared" si="11"/>
        <v>Group delay ambiguity spacing</v>
      </c>
      <c r="K204" t="str">
        <f>VLOOKUP($A204,Lcode_mapping!$D:$T,12,FALSE)</f>
        <v>Observables</v>
      </c>
      <c r="L204" t="str">
        <f>VLOOKUP($A204,Lcode_mapping!$D:$T,13,FALSE)</f>
        <v>AmbigSize_bX</v>
      </c>
    </row>
    <row r="205" spans="1:12" x14ac:dyDescent="0.25">
      <c r="A205" s="25" t="s">
        <v>888</v>
      </c>
      <c r="B205" t="str">
        <f>VLOOKUP(A205,Lcode_mapping!D:T,1,FALSE)</f>
        <v>GRIONFRQ</v>
      </c>
      <c r="C205" t="str">
        <f>VLOOKUP($A205,Lcode_mapping!$D:$T,15,FALSE)</f>
        <v>FreqGroupIono</v>
      </c>
      <c r="D205" t="str">
        <f>VLOOKUP($A205,Lcode_mapping!$D:$T,7,FALSE)</f>
        <v>Effective ion.frq for gr.del MHz</v>
      </c>
      <c r="E205" t="str">
        <f>VLOOKUP($A205,Lcode_mapping!$D:$T,17,FALSE)</f>
        <v>Effective Group Delay Ionospheric Frequency</v>
      </c>
      <c r="H205" t="str">
        <f t="shared" si="9"/>
        <v>GRIONFRQ</v>
      </c>
      <c r="I205" t="str">
        <f t="shared" si="10"/>
        <v>FreqGroupIono</v>
      </c>
      <c r="J205" t="str">
        <f t="shared" si="11"/>
        <v>Effective Group Delay Ionospheric Frequency</v>
      </c>
      <c r="K205" t="str">
        <f>VLOOKUP($A205,Lcode_mapping!$D:$T,12,FALSE)</f>
        <v>ObsDerived</v>
      </c>
      <c r="L205" t="str">
        <f>VLOOKUP($A205,Lcode_mapping!$D:$T,13,FALSE)</f>
        <v>EffFreq_bX</v>
      </c>
    </row>
    <row r="206" spans="1:12" x14ac:dyDescent="0.25">
      <c r="A206" s="25" t="s">
        <v>753</v>
      </c>
      <c r="B206" t="str">
        <f>VLOOKUP(A206,Lcode_mapping!D:T,1,FALSE)</f>
        <v>GROBSDEL</v>
      </c>
      <c r="C206" t="str">
        <f>VLOOKUP($A206,Lcode_mapping!$D:$T,15,FALSE)</f>
        <v>GroupDelay</v>
      </c>
      <c r="D206" t="str">
        <f>VLOOKUP($A206,Lcode_mapping!$D:$T,7,FALSE)</f>
        <v>Observed group delay in sec.</v>
      </c>
      <c r="E206" t="str">
        <f>VLOOKUP($A206,Lcode_mapping!$D:$T,17,FALSE)</f>
        <v>-</v>
      </c>
      <c r="H206" t="str">
        <f t="shared" si="9"/>
        <v>GROBSDEL</v>
      </c>
      <c r="I206" t="str">
        <f t="shared" si="10"/>
        <v>GroupDelay</v>
      </c>
      <c r="J206" t="str">
        <f t="shared" si="11"/>
        <v>Observed group delay in sec.</v>
      </c>
      <c r="K206" t="str">
        <f>VLOOKUP($A206,Lcode_mapping!$D:$T,12,FALSE)</f>
        <v>OBSOLETE</v>
      </c>
      <c r="L206" t="str">
        <f>VLOOKUP($A206,Lcode_mapping!$D:$T,13,FALSE)</f>
        <v>-</v>
      </c>
    </row>
    <row r="207" spans="1:12" x14ac:dyDescent="0.25">
      <c r="A207" s="25" t="s">
        <v>922</v>
      </c>
      <c r="B207" t="str">
        <f>VLOOKUP(A207,Lcode_mapping!D:T,1,FALSE)</f>
        <v>GRPAMB_S</v>
      </c>
      <c r="C207" t="str">
        <f>VLOOKUP($A207,Lcode_mapping!$D:$T,15,FALSE)</f>
        <v>AmbigSize</v>
      </c>
      <c r="D207" t="str">
        <f>VLOOKUP($A207,Lcode_mapping!$D:$T,7,FALSE)</f>
        <v>Group delay ambiguity for S-band</v>
      </c>
      <c r="E207" t="str">
        <f>VLOOKUP($A207,Lcode_mapping!$D:$T,17,FALSE)</f>
        <v>Group delay ambiguity spacing</v>
      </c>
      <c r="H207" t="str">
        <f t="shared" si="9"/>
        <v>GRPAMB_S</v>
      </c>
      <c r="I207" t="str">
        <f t="shared" si="10"/>
        <v>AmbigSize</v>
      </c>
      <c r="J207" t="str">
        <f t="shared" si="11"/>
        <v>Group delay ambiguity spacing</v>
      </c>
      <c r="K207" t="str">
        <f>VLOOKUP($A207,Lcode_mapping!$D:$T,12,FALSE)</f>
        <v>Observables</v>
      </c>
      <c r="L207" t="str">
        <f>VLOOKUP($A207,Lcode_mapping!$D:$T,13,FALSE)</f>
        <v>AmbigSize_bS</v>
      </c>
    </row>
    <row r="208" spans="1:12" x14ac:dyDescent="0.25">
      <c r="A208" s="25" t="s">
        <v>457</v>
      </c>
      <c r="B208" t="str">
        <f>VLOOKUP(A208,Lcode_mapping!D:T,1,FALSE)</f>
        <v>HALF PI</v>
      </c>
      <c r="C208" t="str">
        <f>VLOOKUP($A208,Lcode_mapping!$D:$T,15,FALSE)</f>
        <v>-</v>
      </c>
      <c r="D208" t="str">
        <f>VLOOKUP($A208,Lcode_mapping!$D:$T,7,FALSE)</f>
        <v>Half pi - to 17 digits accuracy.</v>
      </c>
      <c r="E208" t="str">
        <f>VLOOKUP($A208,Lcode_mapping!$D:$T,17,FALSE)</f>
        <v>-</v>
      </c>
      <c r="H208" t="str">
        <f t="shared" si="9"/>
        <v>HALF PI</v>
      </c>
      <c r="I208" t="str">
        <f t="shared" si="10"/>
        <v>HALF PI</v>
      </c>
      <c r="J208" t="str">
        <f t="shared" si="11"/>
        <v>Half pi - to 17 digits accuracy.</v>
      </c>
      <c r="K208" t="str">
        <f>VLOOKUP($A208,Lcode_mapping!$D:$T,12,FALSE)</f>
        <v>OBSOLETE</v>
      </c>
      <c r="L208" t="str">
        <f>VLOOKUP($A208,Lcode_mapping!$D:$T,13,FALSE)</f>
        <v>-</v>
      </c>
    </row>
    <row r="209" spans="1:12" x14ac:dyDescent="0.25">
      <c r="A209" s="25" t="s">
        <v>1012</v>
      </c>
      <c r="B209" t="str">
        <f>VLOOKUP(A209,Lcode_mapping!D:T,1,FALSE)</f>
        <v>IDELAY</v>
      </c>
      <c r="C209" t="str">
        <f>VLOOKUP($A209,Lcode_mapping!$D:$T,15,FALSE)</f>
        <v>-</v>
      </c>
      <c r="D209" t="str">
        <f>VLOOKUP($A209,Lcode_mapping!$D:$T,7,FALSE)</f>
        <v>Corel instrumental delay (sec).</v>
      </c>
      <c r="E209" t="str">
        <f>VLOOKUP($A209,Lcode_mapping!$D:$T,17,FALSE)</f>
        <v>-</v>
      </c>
      <c r="H209" t="str">
        <f t="shared" si="9"/>
        <v>IDELAY</v>
      </c>
      <c r="I209" t="str">
        <f t="shared" si="10"/>
        <v>IDELAY</v>
      </c>
      <c r="J209" t="str">
        <f t="shared" si="11"/>
        <v>Corel instrumental delay (sec).</v>
      </c>
      <c r="K209" t="str">
        <f>VLOOKUP($A209,Lcode_mapping!$D:$T,12,FALSE)</f>
        <v>Observables</v>
      </c>
      <c r="L209" t="str">
        <f>VLOOKUP($A209,Lcode_mapping!$D:$T,13,FALSE)</f>
        <v>CorrInfo_bX</v>
      </c>
    </row>
    <row r="210" spans="1:12" x14ac:dyDescent="0.25">
      <c r="A210" s="25" t="s">
        <v>1014</v>
      </c>
      <c r="B210" t="str">
        <f>VLOOKUP(A210,Lcode_mapping!D:T,1,FALSE)</f>
        <v>INCOH2</v>
      </c>
      <c r="C210" t="str">
        <f>VLOOKUP($A210,Lcode_mapping!$D:$T,15,FALSE)</f>
        <v>-</v>
      </c>
      <c r="D210" t="str">
        <f>VLOOKUP($A210,Lcode_mapping!$D:$T,7,FALSE)</f>
        <v>Incoh amp from FRNGE plot segs.</v>
      </c>
      <c r="E210" t="str">
        <f>VLOOKUP($A210,Lcode_mapping!$D:$T,17,FALSE)</f>
        <v>-</v>
      </c>
      <c r="H210" t="str">
        <f t="shared" si="9"/>
        <v>INCOH2</v>
      </c>
      <c r="I210" t="str">
        <f t="shared" si="10"/>
        <v>INCOH2</v>
      </c>
      <c r="J210" t="str">
        <f t="shared" si="11"/>
        <v>Incoh amp from FRNGE plot segs.</v>
      </c>
      <c r="K210" t="str">
        <f>VLOOKUP($A210,Lcode_mapping!$D:$T,12,FALSE)</f>
        <v>Observables</v>
      </c>
      <c r="L210" t="str">
        <f>VLOOKUP($A210,Lcode_mapping!$D:$T,13,FALSE)</f>
        <v>CorrInfo_bX</v>
      </c>
    </row>
    <row r="211" spans="1:12" x14ac:dyDescent="0.25">
      <c r="A211" s="25" t="s">
        <v>1016</v>
      </c>
      <c r="B211" t="str">
        <f>VLOOKUP(A211,Lcode_mapping!D:T,1,FALSE)</f>
        <v>INCOHAMP</v>
      </c>
      <c r="C211" t="str">
        <f>VLOOKUP($A211,Lcode_mapping!$D:$T,15,FALSE)</f>
        <v>-</v>
      </c>
      <c r="D211" t="str">
        <f>VLOOKUP($A211,Lcode_mapping!$D:$T,7,FALSE)</f>
        <v>Fr. amp from incoh int of chan.</v>
      </c>
      <c r="E211" t="str">
        <f>VLOOKUP($A211,Lcode_mapping!$D:$T,17,FALSE)</f>
        <v>-</v>
      </c>
      <c r="H211" t="str">
        <f t="shared" si="9"/>
        <v>INCOHAMP</v>
      </c>
      <c r="I211" t="str">
        <f t="shared" si="10"/>
        <v>INCOHAMP</v>
      </c>
      <c r="J211" t="str">
        <f t="shared" si="11"/>
        <v>Fr. amp from incoh int of chan.</v>
      </c>
      <c r="K211" t="str">
        <f>VLOOKUP($A211,Lcode_mapping!$D:$T,12,FALSE)</f>
        <v>Observables</v>
      </c>
      <c r="L211" t="str">
        <f>VLOOKUP($A211,Lcode_mapping!$D:$T,13,FALSE)</f>
        <v>CorrInfo_bX</v>
      </c>
    </row>
    <row r="212" spans="1:12" x14ac:dyDescent="0.25">
      <c r="A212" s="25" t="s">
        <v>1038</v>
      </c>
      <c r="B212" t="str">
        <f>VLOOKUP(A212,Lcode_mapping!D:T,1,FALSE)</f>
        <v>INDEXNUM</v>
      </c>
      <c r="C212" t="str">
        <f>VLOOKUP($A212,Lcode_mapping!$D:$T,15,FALSE)</f>
        <v>-</v>
      </c>
      <c r="D212" t="str">
        <f>VLOOKUP($A212,Lcode_mapping!$D:$T,7,FALSE)</f>
        <v>Corel index numbers by sb freq.</v>
      </c>
      <c r="E212" t="str">
        <f>VLOOKUP($A212,Lcode_mapping!$D:$T,17,FALSE)</f>
        <v>-</v>
      </c>
      <c r="H212" t="str">
        <f t="shared" si="9"/>
        <v>INDEXNUM</v>
      </c>
      <c r="I212" t="str">
        <f t="shared" si="10"/>
        <v>INDEXNUM</v>
      </c>
      <c r="J212" t="str">
        <f t="shared" si="11"/>
        <v>Corel index numbers by sb freq.</v>
      </c>
      <c r="K212" t="str">
        <f>VLOOKUP($A212,Lcode_mapping!$D:$T,12,FALSE)</f>
        <v>Observables</v>
      </c>
      <c r="L212" t="str">
        <f>VLOOKUP($A212,Lcode_mapping!$D:$T,13,FALSE)</f>
        <v>CorrInfo_bX</v>
      </c>
    </row>
    <row r="213" spans="1:12" x14ac:dyDescent="0.25">
      <c r="A213" s="25" t="s">
        <v>556</v>
      </c>
      <c r="B213" t="str">
        <f>VLOOKUP(A213,Lcode_mapping!D:T,1,FALSE)</f>
        <v>INTERVAL</v>
      </c>
      <c r="C213" t="str">
        <f>VLOOKUP($A213,Lcode_mapping!$D:$T,15,FALSE)</f>
        <v>iUTCInterval</v>
      </c>
      <c r="D213" t="str">
        <f>VLOOKUP($A213,Lcode_mapping!$D:$T,7,FALSE)</f>
        <v>First last UTC tag in input file</v>
      </c>
      <c r="E213" t="str">
        <f>VLOOKUP($A213,Lcode_mapping!$D:$T,17,FALSE)</f>
        <v xml:space="preserve">First and last UTC time tag in input file. </v>
      </c>
      <c r="H213" t="str">
        <f t="shared" si="9"/>
        <v>INTERVAL</v>
      </c>
      <c r="I213" t="str">
        <f t="shared" si="10"/>
        <v>iUTCInterval</v>
      </c>
      <c r="J213" t="str">
        <f t="shared" si="11"/>
        <v xml:space="preserve">First and last UTC time tag in input file. </v>
      </c>
      <c r="K213" t="str">
        <f>VLOOKUP($A213,Lcode_mapping!$D:$T,12,FALSE)</f>
        <v>-</v>
      </c>
      <c r="L213" t="str">
        <f>VLOOKUP($A213,Lcode_mapping!$D:$T,13,FALSE)</f>
        <v>Head</v>
      </c>
    </row>
    <row r="214" spans="1:12" x14ac:dyDescent="0.25">
      <c r="A214" s="25" t="s">
        <v>554</v>
      </c>
      <c r="B214" t="str">
        <f>VLOOKUP(A214,Lcode_mapping!D:T,1,FALSE)</f>
        <v>INTRVAL4</v>
      </c>
      <c r="C214" t="str">
        <f>VLOOKUP($A214,Lcode_mapping!$D:$T,15,FALSE)</f>
        <v>iUTCInterval</v>
      </c>
      <c r="D214" t="str">
        <f>VLOOKUP($A214,Lcode_mapping!$D:$T,7,FALSE)</f>
        <v>First last UTC tag  4 digit year</v>
      </c>
      <c r="E214" t="str">
        <f>VLOOKUP($A214,Lcode_mapping!$D:$T,17,FALSE)</f>
        <v xml:space="preserve">First and last UTC time tag in input file. </v>
      </c>
      <c r="H214" t="str">
        <f t="shared" si="9"/>
        <v>INTRVAL4</v>
      </c>
      <c r="I214" t="str">
        <f t="shared" si="10"/>
        <v>iUTCInterval</v>
      </c>
      <c r="J214" t="str">
        <f t="shared" si="11"/>
        <v xml:space="preserve">First and last UTC time tag in input file. </v>
      </c>
      <c r="K214" t="str">
        <f>VLOOKUP($A214,Lcode_mapping!$D:$T,12,FALSE)</f>
        <v>-</v>
      </c>
      <c r="L214" t="str">
        <f>VLOOKUP($A214,Lcode_mapping!$D:$T,13,FALSE)</f>
        <v>Head</v>
      </c>
    </row>
    <row r="215" spans="1:12" x14ac:dyDescent="0.25">
      <c r="A215" s="25" t="s">
        <v>966</v>
      </c>
      <c r="B215" t="str">
        <f>VLOOKUP(A215,Lcode_mapping!D:T,1,FALSE)</f>
        <v>ION CODE</v>
      </c>
      <c r="C215" t="str">
        <f>VLOOKUP($A215,Lcode_mapping!$D:$T,15,FALSE)</f>
        <v>IonCode</v>
      </c>
      <c r="D215" t="str">
        <f>VLOOKUP($A215,Lcode_mapping!$D:$T,7,FALSE)</f>
        <v>Ion corr code. -1=no good  0=OK</v>
      </c>
      <c r="E215" t="str">
        <f>VLOOKUP($A215,Lcode_mapping!$D:$T,17,FALSE)</f>
        <v>-</v>
      </c>
      <c r="H215" t="str">
        <f t="shared" si="9"/>
        <v>ION CODE</v>
      </c>
      <c r="I215" t="str">
        <f t="shared" si="10"/>
        <v>IonCode</v>
      </c>
      <c r="J215" t="str">
        <f t="shared" si="11"/>
        <v>Ion corr code. -1=no good  0=OK</v>
      </c>
      <c r="K215" t="str">
        <f>VLOOKUP($A215,Lcode_mapping!$D:$T,12,FALSE)</f>
        <v>Solve</v>
      </c>
      <c r="L215" t="str">
        <f>VLOOKUP($A215,Lcode_mapping!$D:$T,13,FALSE)</f>
        <v>Ion_bX</v>
      </c>
    </row>
    <row r="216" spans="1:12" x14ac:dyDescent="0.25">
      <c r="A216" s="25" t="s">
        <v>892</v>
      </c>
      <c r="B216" t="str">
        <f>VLOOKUP(A216,Lcode_mapping!D:T,1,FALSE)</f>
        <v>ION CORR</v>
      </c>
      <c r="C216" t="str">
        <f>VLOOKUP($A216,Lcode_mapping!$D:$T,15,FALSE)</f>
        <v>Cal-SlantPathIonoGroup</v>
      </c>
      <c r="D216" t="str">
        <f>VLOOKUP($A216,Lcode_mapping!$D:$T,7,FALSE)</f>
        <v>Ion correction. Add to theo. sec</v>
      </c>
      <c r="E216" t="str">
        <f>VLOOKUP($A216,Lcode_mapping!$D:$T,17,FALSE)</f>
        <v>-</v>
      </c>
      <c r="H216" t="str">
        <f t="shared" ref="H216:H279" si="12">A216</f>
        <v>ION CORR</v>
      </c>
      <c r="I216" t="str">
        <f t="shared" ref="I216:I279" si="13">IF(C216="-",B216,C216)</f>
        <v>Cal-SlantPathIonoGroup</v>
      </c>
      <c r="J216" t="str">
        <f t="shared" ref="J216:J279" si="14">IF(E216="-",D216,E216)</f>
        <v>Ion correction. Add to theo. sec</v>
      </c>
      <c r="K216" t="str">
        <f>VLOOKUP($A216,Lcode_mapping!$D:$T,12,FALSE)</f>
        <v>ObsDerived</v>
      </c>
      <c r="L216" t="str">
        <f>VLOOKUP($A216,Lcode_mapping!$D:$T,13,FALSE)</f>
        <v>Cal-SlantPathIonoGroup_bX</v>
      </c>
    </row>
    <row r="217" spans="1:12" x14ac:dyDescent="0.25">
      <c r="A217" s="25" t="s">
        <v>968</v>
      </c>
      <c r="B217" t="str">
        <f>VLOOKUP(A217,Lcode_mapping!D:T,1,FALSE)</f>
        <v>ION_BITS</v>
      </c>
      <c r="C217" t="str">
        <f>VLOOKUP($A217,Lcode_mapping!$D:$T,15,FALSE)</f>
        <v>IonoBits</v>
      </c>
      <c r="D217" t="str">
        <f>VLOOKUP($A217,Lcode_mapping!$D:$T,7,FALSE)</f>
        <v>ICORR for full ion tracking.</v>
      </c>
      <c r="E217" t="str">
        <f>VLOOKUP($A217,Lcode_mapping!$D:$T,17,FALSE)</f>
        <v>-</v>
      </c>
      <c r="H217" t="str">
        <f t="shared" si="12"/>
        <v>ION_BITS</v>
      </c>
      <c r="I217" t="str">
        <f t="shared" si="13"/>
        <v>IonoBits</v>
      </c>
      <c r="J217" t="str">
        <f t="shared" si="14"/>
        <v>ICORR for full ion tracking.</v>
      </c>
      <c r="K217" t="str">
        <f>VLOOKUP($A217,Lcode_mapping!$D:$T,12,FALSE)</f>
        <v>Solve</v>
      </c>
      <c r="L217" t="str">
        <f>VLOOKUP($A217,Lcode_mapping!$D:$T,13,FALSE)</f>
        <v>IonoBits</v>
      </c>
    </row>
    <row r="218" spans="1:12" x14ac:dyDescent="0.25">
      <c r="A218" s="25" t="s">
        <v>67</v>
      </c>
      <c r="B218" t="str">
        <f>VLOOKUP(A218,Lcode_mapping!D:T,1,FALSE)</f>
        <v>IONFACTR</v>
      </c>
      <c r="C218" t="str">
        <f>VLOOKUP($A218,Lcode_mapping!$D:$T,15,FALSE)</f>
        <v>-</v>
      </c>
      <c r="D218" t="str">
        <f>VLOOKUP($A218,Lcode_mapping!$D:$T,7,FALSE)</f>
        <v>S/X DIFFERENCE ION SCALING FACTO</v>
      </c>
      <c r="E218" t="str">
        <f>VLOOKUP($A218,Lcode_mapping!$D:$T,17,FALSE)</f>
        <v>-</v>
      </c>
      <c r="H218" t="str">
        <f t="shared" si="12"/>
        <v>IONFACTR</v>
      </c>
      <c r="I218" t="str">
        <f t="shared" si="13"/>
        <v>IONFACTR</v>
      </c>
      <c r="J218" t="str">
        <f t="shared" si="14"/>
        <v>S/X DIFFERENCE ION SCALING FACTO</v>
      </c>
      <c r="K218" t="str">
        <f>VLOOKUP($A218,Lcode_mapping!$D:$T,12,FALSE)</f>
        <v>OBSOLETE</v>
      </c>
      <c r="L218" t="str">
        <f>VLOOKUP($A218,Lcode_mapping!$D:$T,13,FALSE)</f>
        <v>-</v>
      </c>
    </row>
    <row r="219" spans="1:12" x14ac:dyDescent="0.25">
      <c r="A219" s="25" t="s">
        <v>1224</v>
      </c>
      <c r="B219" t="str">
        <f>VLOOKUP(A219,Lcode_mapping!D:T,1,FALSE)</f>
        <v>IONPCORR</v>
      </c>
      <c r="C219" t="str">
        <f>VLOOKUP($A219,Lcode_mapping!$D:$T,15,FALSE)</f>
        <v>Cal-SlantPathIonoPhase</v>
      </c>
      <c r="D219" t="str">
        <f>VLOOKUP($A219,Lcode_mapping!$D:$T,7,FALSE)</f>
        <v>Phase Corr Iono</v>
      </c>
      <c r="E219" t="str">
        <f>VLOOKUP($A219,Lcode_mapping!$D:$T,17,FALSE)</f>
        <v>-</v>
      </c>
      <c r="H219" t="str">
        <f t="shared" si="12"/>
        <v>IONPCORR</v>
      </c>
      <c r="I219" t="str">
        <f t="shared" si="13"/>
        <v>Cal-SlantPathIonoPhase</v>
      </c>
      <c r="J219" t="str">
        <f t="shared" si="14"/>
        <v>Phase Corr Iono</v>
      </c>
      <c r="K219" t="str">
        <f>VLOOKUP($A219,Lcode_mapping!$D:$T,12,FALSE)</f>
        <v>ObsDerived</v>
      </c>
      <c r="L219" t="str">
        <f>VLOOKUP($A219,Lcode_mapping!$D:$T,13,FALSE)</f>
        <v>Cal-SlantPathIonoPhase_bX</v>
      </c>
    </row>
    <row r="220" spans="1:12" x14ac:dyDescent="0.25">
      <c r="A220" s="25" t="s">
        <v>894</v>
      </c>
      <c r="B220" t="str">
        <f>VLOOKUP(A220,Lcode_mapping!D:T,1,FALSE)</f>
        <v>IONRMS</v>
      </c>
      <c r="C220" t="str">
        <f>VLOOKUP($A220,Lcode_mapping!$D:$T,15,FALSE)</f>
        <v>Cal-SlantPathIonoGroupSigma</v>
      </c>
      <c r="D220" t="str">
        <f>VLOOKUP($A220,Lcode_mapping!$D:$T,7,FALSE)</f>
        <v>Ion correction to sigma. sec</v>
      </c>
      <c r="E220" t="str">
        <f>VLOOKUP($A220,Lcode_mapping!$D:$T,17,FALSE)</f>
        <v>-</v>
      </c>
      <c r="H220" t="str">
        <f t="shared" si="12"/>
        <v>IONRMS</v>
      </c>
      <c r="I220" t="str">
        <f t="shared" si="13"/>
        <v>Cal-SlantPathIonoGroupSigma</v>
      </c>
      <c r="J220" t="str">
        <f t="shared" si="14"/>
        <v>Ion correction to sigma. sec</v>
      </c>
      <c r="K220" t="str">
        <f>VLOOKUP($A220,Lcode_mapping!$D:$T,12,FALSE)</f>
        <v>ObsDerived</v>
      </c>
      <c r="L220" t="str">
        <f>VLOOKUP($A220,Lcode_mapping!$D:$T,13,FALSE)</f>
        <v>Cal-SlantPathIonoGroup_bX</v>
      </c>
    </row>
    <row r="221" spans="1:12" x14ac:dyDescent="0.25">
      <c r="A221" s="25" t="s">
        <v>36</v>
      </c>
      <c r="B221" t="str">
        <f>VLOOKUP(A221,Lcode_mapping!D:T,1,FALSE)</f>
        <v>IONRMSPH</v>
      </c>
      <c r="C221" t="str">
        <f>VLOOKUP($A221,Lcode_mapping!$D:$T,15,FALSE)</f>
        <v>Cal-SlantPathIonoPhaseSigma</v>
      </c>
      <c r="D221" t="str">
        <f>VLOOKUP($A221,Lcode_mapping!$D:$T,7,FALSE)</f>
        <v>Phase Corr RMS</v>
      </c>
      <c r="E221" t="str">
        <f>VLOOKUP($A221,Lcode_mapping!$D:$T,17,FALSE)</f>
        <v>-</v>
      </c>
      <c r="H221" t="str">
        <f t="shared" si="12"/>
        <v>IONRMSPH</v>
      </c>
      <c r="I221" t="str">
        <f t="shared" si="13"/>
        <v>Cal-SlantPathIonoPhaseSigma</v>
      </c>
      <c r="J221" t="str">
        <f t="shared" si="14"/>
        <v>Phase Corr RMS</v>
      </c>
      <c r="K221" t="str">
        <f>VLOOKUP($A221,Lcode_mapping!$D:$T,12,FALSE)</f>
        <v>ObsDerived</v>
      </c>
      <c r="L221" t="str">
        <f>VLOOKUP($A221,Lcode_mapping!$D:$T,13,FALSE)</f>
        <v>Cal-SlantPathIonoPhase_bX</v>
      </c>
    </row>
    <row r="222" spans="1:12" x14ac:dyDescent="0.25">
      <c r="A222" s="25" t="s">
        <v>1371</v>
      </c>
      <c r="B222" t="str">
        <f>VLOOKUP(A222,Lcode_mapping!D:T,1,FALSE)</f>
        <v>JUL DATE</v>
      </c>
      <c r="C222" t="str">
        <f>VLOOKUP($A222,Lcode_mapping!$D:$T,15,FALSE)</f>
        <v>-</v>
      </c>
      <c r="D222" t="str">
        <f>VLOOKUP($A222,Lcode_mapping!$D:$T,7,FALSE)</f>
        <v>Julian date at midnight.</v>
      </c>
      <c r="E222" t="str">
        <f>VLOOKUP($A222,Lcode_mapping!$D:$T,17,FALSE)</f>
        <v>-</v>
      </c>
      <c r="H222" t="str">
        <f t="shared" si="12"/>
        <v>JUL DATE</v>
      </c>
      <c r="I222" t="str">
        <f t="shared" si="13"/>
        <v>JUL DATE</v>
      </c>
      <c r="J222" t="str">
        <f t="shared" si="14"/>
        <v>Julian date at midnight.</v>
      </c>
      <c r="K222" t="str">
        <f>VLOOKUP($A222,Lcode_mapping!$D:$T,12,FALSE)</f>
        <v>OBSOLETE</v>
      </c>
      <c r="L222" t="str">
        <f>VLOOKUP($A222,Lcode_mapping!$D:$T,13,FALSE)</f>
        <v>-</v>
      </c>
    </row>
    <row r="223" spans="1:12" x14ac:dyDescent="0.25">
      <c r="A223" s="25" t="s">
        <v>220</v>
      </c>
      <c r="B223" t="str">
        <f>VLOOKUP(A223,Lcode_mapping!D:T,1,FALSE)</f>
        <v>LIMSTOPS</v>
      </c>
      <c r="C223" t="str">
        <f>VLOOKUP($A223,Lcode_mapping!$D:$T,15,FALSE)</f>
        <v>-</v>
      </c>
      <c r="D223" t="str">
        <f>VLOOKUP($A223,Lcode_mapping!$D:$T,7,FALSE)</f>
        <v>Antenna limit stops (deg).</v>
      </c>
      <c r="E223" t="str">
        <f>VLOOKUP($A223,Lcode_mapping!$D:$T,17,FALSE)</f>
        <v>-</v>
      </c>
      <c r="H223" t="str">
        <f t="shared" si="12"/>
        <v>LIMSTOPS</v>
      </c>
      <c r="I223" t="str">
        <f t="shared" si="13"/>
        <v>LIMSTOPS</v>
      </c>
      <c r="J223" t="str">
        <f t="shared" si="14"/>
        <v>Antenna limit stops (deg).</v>
      </c>
      <c r="K223" t="str">
        <f>VLOOKUP($A223,Lcode_mapping!$D:$T,12,FALSE)</f>
        <v>OBSOLETE</v>
      </c>
      <c r="L223" t="str">
        <f>VLOOKUP($A223,Lcode_mapping!$D:$T,13,FALSE)</f>
        <v>-</v>
      </c>
    </row>
    <row r="224" spans="1:12" x14ac:dyDescent="0.25">
      <c r="A224" s="25" t="s">
        <v>755</v>
      </c>
      <c r="B224" t="str">
        <f>VLOOKUP(A224,Lcode_mapping!D:T,1,FALSE)</f>
        <v>LO FREQ</v>
      </c>
      <c r="C224" t="str">
        <f>VLOOKUP($A224,Lcode_mapping!$D:$T,15,FALSE)</f>
        <v>LOFreq</v>
      </c>
      <c r="D224" t="str">
        <f>VLOOKUP($A224,Lcode_mapping!$D:$T,7,FALSE)</f>
        <v>LO frequencies per cha/sta MHz.</v>
      </c>
      <c r="E224" t="str">
        <f>VLOOKUP($A224,Lcode_mapping!$D:$T,17,FALSE)</f>
        <v>-</v>
      </c>
      <c r="H224" t="str">
        <f t="shared" si="12"/>
        <v>LO FREQ</v>
      </c>
      <c r="I224" t="str">
        <f t="shared" si="13"/>
        <v>LOFreq</v>
      </c>
      <c r="J224" t="str">
        <f t="shared" si="14"/>
        <v>LO frequencies per cha/sta MHz.</v>
      </c>
      <c r="K224" t="str">
        <f>VLOOKUP($A224,Lcode_mapping!$D:$T,12,FALSE)</f>
        <v>Observables</v>
      </c>
      <c r="L224" t="str">
        <f>VLOOKUP($A224,Lcode_mapping!$D:$T,13,FALSE)</f>
        <v>CorrInfo_bX</v>
      </c>
    </row>
    <row r="225" spans="1:12" x14ac:dyDescent="0.25">
      <c r="A225" s="25" t="s">
        <v>316</v>
      </c>
      <c r="B225" t="str">
        <f>VLOOKUP(A225,Lcode_mapping!D:T,1,FALSE)</f>
        <v>MARI.ATM</v>
      </c>
      <c r="C225" t="str">
        <f>VLOOKUP($A225,Lcode_mapping!$D:$T,15,FALSE)</f>
        <v>-</v>
      </c>
      <c r="D225" t="str">
        <f>VLOOKUP($A225,Lcode_mapping!$D:$T,7,FALSE)</f>
        <v>Marini ATM Model</v>
      </c>
      <c r="E225" t="str">
        <f>VLOOKUP($A225,Lcode_mapping!$D:$T,17,FALSE)</f>
        <v>-</v>
      </c>
      <c r="H225" t="str">
        <f t="shared" si="12"/>
        <v>MARI.ATM</v>
      </c>
      <c r="I225" t="str">
        <f t="shared" si="13"/>
        <v>MARI.ATM</v>
      </c>
      <c r="J225" t="str">
        <f t="shared" si="14"/>
        <v>Marini ATM Model</v>
      </c>
      <c r="K225" t="str">
        <f>VLOOKUP($A225,Lcode_mapping!$D:$T,12,FALSE)</f>
        <v>OBSOLETE</v>
      </c>
      <c r="L225" t="str">
        <f>VLOOKUP($A225,Lcode_mapping!$D:$T,13,FALSE)</f>
        <v>-</v>
      </c>
    </row>
    <row r="226" spans="1:12" x14ac:dyDescent="0.25">
      <c r="A226" s="25" t="s">
        <v>318</v>
      </c>
      <c r="B226" t="str">
        <f>VLOOKUP(A226,Lcode_mapping!D:T,1,FALSE)</f>
        <v>MARI.DRY</v>
      </c>
      <c r="C226" t="str">
        <f>VLOOKUP($A226,Lcode_mapping!$D:$T,15,FALSE)</f>
        <v>-</v>
      </c>
      <c r="D226" t="str">
        <f>VLOOKUP($A226,Lcode_mapping!$D:$T,7,FALSE)</f>
        <v>Dry Marini atmosphere</v>
      </c>
      <c r="E226" t="str">
        <f>VLOOKUP($A226,Lcode_mapping!$D:$T,17,FALSE)</f>
        <v>-</v>
      </c>
      <c r="H226" t="str">
        <f t="shared" si="12"/>
        <v>MARI.DRY</v>
      </c>
      <c r="I226" t="str">
        <f t="shared" si="13"/>
        <v>MARI.DRY</v>
      </c>
      <c r="J226" t="str">
        <f t="shared" si="14"/>
        <v>Dry Marini atmosphere</v>
      </c>
      <c r="K226" t="str">
        <f>VLOOKUP($A226,Lcode_mapping!$D:$T,12,FALSE)</f>
        <v>OBSOLETE</v>
      </c>
      <c r="L226" t="str">
        <f>VLOOKUP($A226,Lcode_mapping!$D:$T,13,FALSE)</f>
        <v>-</v>
      </c>
    </row>
    <row r="227" spans="1:12" x14ac:dyDescent="0.25">
      <c r="A227" s="25" t="s">
        <v>410</v>
      </c>
      <c r="B227" t="str">
        <f>VLOOKUP(A227,Lcode_mapping!D:T,1,FALSE)</f>
        <v>MARI.WET</v>
      </c>
      <c r="C227" t="str">
        <f>VLOOKUP($A227,Lcode_mapping!$D:$T,15,FALSE)</f>
        <v>-</v>
      </c>
      <c r="D227" t="str">
        <f>VLOOKUP($A227,Lcode_mapping!$D:$T,7,FALSE)</f>
        <v>WET COMP OF MARI</v>
      </c>
      <c r="E227" t="str">
        <f>VLOOKUP($A227,Lcode_mapping!$D:$T,17,FALSE)</f>
        <v>-</v>
      </c>
      <c r="H227" t="str">
        <f t="shared" si="12"/>
        <v>MARI.WET</v>
      </c>
      <c r="I227" t="str">
        <f t="shared" si="13"/>
        <v>MARI.WET</v>
      </c>
      <c r="J227" t="str">
        <f t="shared" si="14"/>
        <v>WET COMP OF MARI</v>
      </c>
      <c r="K227" t="str">
        <f>VLOOKUP($A227,Lcode_mapping!$D:$T,12,FALSE)</f>
        <v>OBSOLETE</v>
      </c>
      <c r="L227" t="str">
        <f>VLOOKUP($A227,Lcode_mapping!$D:$T,13,FALSE)</f>
        <v>-</v>
      </c>
    </row>
    <row r="228" spans="1:12" x14ac:dyDescent="0.25">
      <c r="A228" s="25" t="s">
        <v>160</v>
      </c>
      <c r="B228" t="str">
        <f>VLOOKUP(A228,Lcode_mapping!D:T,1,FALSE)</f>
        <v>MARISTAT</v>
      </c>
      <c r="C228" t="str">
        <f>VLOOKUP($A228,Lcode_mapping!$D:$T,15,FALSE)</f>
        <v>-</v>
      </c>
      <c r="D228" t="str">
        <f>VLOOKUP($A228,Lcode_mapping!$D:$T,7,FALSE)</f>
        <v>Stations with Marini calib</v>
      </c>
      <c r="E228" t="str">
        <f>VLOOKUP($A228,Lcode_mapping!$D:$T,17,FALSE)</f>
        <v>-</v>
      </c>
      <c r="H228" t="str">
        <f t="shared" si="12"/>
        <v>MARISTAT</v>
      </c>
      <c r="I228" t="str">
        <f t="shared" si="13"/>
        <v>MARISTAT</v>
      </c>
      <c r="J228" t="str">
        <f t="shared" si="14"/>
        <v>Stations with Marini calib</v>
      </c>
      <c r="K228" t="str">
        <f>VLOOKUP($A228,Lcode_mapping!$D:$T,12,FALSE)</f>
        <v>OBSOLETE</v>
      </c>
      <c r="L228" t="str">
        <f>VLOOKUP($A228,Lcode_mapping!$D:$T,13,FALSE)</f>
        <v>-</v>
      </c>
    </row>
    <row r="229" spans="1:12" x14ac:dyDescent="0.25">
      <c r="A229" s="25" t="s">
        <v>722</v>
      </c>
      <c r="B229" t="str">
        <f>VLOOKUP(A229,Lcode_mapping!D:T,1,FALSE)</f>
        <v>MCALNAMS</v>
      </c>
      <c r="C229" t="str">
        <f>VLOOKUP($A229,Lcode_mapping!$D:$T,15,FALSE)</f>
        <v>-</v>
      </c>
      <c r="D229" t="str">
        <f>VLOOKUP($A229,Lcode_mapping!$D:$T,7,FALSE)</f>
        <v>Mode calibrations names</v>
      </c>
      <c r="E229" t="str">
        <f>VLOOKUP($A229,Lcode_mapping!$D:$T,17,FALSE)</f>
        <v>-</v>
      </c>
      <c r="H229" t="str">
        <f t="shared" si="12"/>
        <v>MCALNAMS</v>
      </c>
      <c r="I229" t="str">
        <f t="shared" si="13"/>
        <v>MCALNAMS</v>
      </c>
      <c r="J229" t="str">
        <f t="shared" si="14"/>
        <v>Mode calibrations names</v>
      </c>
      <c r="K229" t="str">
        <f>VLOOKUP($A229,Lcode_mapping!$D:$T,12,FALSE)</f>
        <v>OBSOLETE</v>
      </c>
      <c r="L229" t="str">
        <f>VLOOKUP($A229,Lcode_mapping!$D:$T,13,FALSE)</f>
        <v>-</v>
      </c>
    </row>
    <row r="230" spans="1:12" x14ac:dyDescent="0.25">
      <c r="A230" s="25" t="s">
        <v>584</v>
      </c>
      <c r="B230" t="str">
        <f>VLOOKUP(A230,Lcode_mapping!D:T,1,FALSE)</f>
        <v>MCALSTAT</v>
      </c>
      <c r="C230" t="str">
        <f>VLOOKUP($A230,Lcode_mapping!$D:$T,15,FALSE)</f>
        <v>-</v>
      </c>
      <c r="D230" t="str">
        <f>VLOOKUP($A230,Lcode_mapping!$D:$T,7,FALSE)</f>
        <v>Mode calibrations status</v>
      </c>
      <c r="E230" t="str">
        <f>VLOOKUP($A230,Lcode_mapping!$D:$T,17,FALSE)</f>
        <v>-</v>
      </c>
      <c r="H230" t="str">
        <f t="shared" si="12"/>
        <v>MCALSTAT</v>
      </c>
      <c r="I230" t="str">
        <f t="shared" si="13"/>
        <v>MCALSTAT</v>
      </c>
      <c r="J230" t="str">
        <f t="shared" si="14"/>
        <v>Mode calibrations status</v>
      </c>
      <c r="K230" t="str">
        <f>VLOOKUP($A230,Lcode_mapping!$D:$T,12,FALSE)</f>
        <v>OBSOLETE</v>
      </c>
      <c r="L230" t="str">
        <f>VLOOKUP($A230,Lcode_mapping!$D:$T,13,FALSE)</f>
        <v>-</v>
      </c>
    </row>
    <row r="231" spans="1:12" x14ac:dyDescent="0.25">
      <c r="A231" s="25" t="s">
        <v>523</v>
      </c>
      <c r="B231" t="str">
        <f>VLOOKUP(A231,Lcode_mapping!D:T,1,FALSE)</f>
        <v>MEANCABL</v>
      </c>
      <c r="C231" t="str">
        <f>VLOOKUP($A231,Lcode_mapping!$D:$T,15,FALSE)</f>
        <v>-</v>
      </c>
      <c r="D231" t="str">
        <f>VLOOKUP($A231,Lcode_mapping!$D:$T,7,FALSE)</f>
        <v>Mean cable calibration (seconds)</v>
      </c>
      <c r="E231" t="str">
        <f>VLOOKUP($A231,Lcode_mapping!$D:$T,17,FALSE)</f>
        <v>-</v>
      </c>
      <c r="H231" t="str">
        <f t="shared" si="12"/>
        <v>MEANCABL</v>
      </c>
      <c r="I231" t="str">
        <f t="shared" si="13"/>
        <v>MEANCABL</v>
      </c>
      <c r="J231" t="str">
        <f t="shared" si="14"/>
        <v>Mean cable calibration (seconds)</v>
      </c>
      <c r="K231" t="str">
        <f>VLOOKUP($A231,Lcode_mapping!$D:$T,12,FALSE)</f>
        <v>OBSOLETE</v>
      </c>
      <c r="L231" t="str">
        <f>VLOOKUP($A231,Lcode_mapping!$D:$T,13,FALSE)</f>
        <v>-</v>
      </c>
    </row>
    <row r="232" spans="1:12" x14ac:dyDescent="0.25">
      <c r="A232" s="25" t="s">
        <v>859</v>
      </c>
      <c r="B232" t="str">
        <f>VLOOKUP(A232,Lcode_mapping!D:T,1,FALSE)</f>
        <v>MOONDATA</v>
      </c>
      <c r="C232" t="str">
        <f>VLOOKUP($A232,Lcode_mapping!$D:$T,15,FALSE)</f>
        <v>MoonXYZ</v>
      </c>
      <c r="D232" t="str">
        <f>VLOOKUP($A232,Lcode_mapping!$D:$T,7,FALSE)</f>
        <v>Lunar geocentric coordinates.</v>
      </c>
      <c r="E232" t="str">
        <f>VLOOKUP($A232,Lcode_mapping!$D:$T,17,FALSE)</f>
        <v>-</v>
      </c>
      <c r="H232" t="str">
        <f t="shared" si="12"/>
        <v>MOONDATA</v>
      </c>
      <c r="I232" t="str">
        <f t="shared" si="13"/>
        <v>MoonXYZ</v>
      </c>
      <c r="J232" t="str">
        <f t="shared" si="14"/>
        <v>Lunar geocentric coordinates.</v>
      </c>
      <c r="K232" t="str">
        <f>VLOOKUP($A232,Lcode_mapping!$D:$T,12,FALSE)</f>
        <v>Scan</v>
      </c>
      <c r="L232" t="str">
        <f>VLOOKUP($A232,Lcode_mapping!$D:$T,13,FALSE)</f>
        <v>Ephemeris_kDE405JPL</v>
      </c>
    </row>
    <row r="233" spans="1:12" x14ac:dyDescent="0.25">
      <c r="A233" s="25" t="s">
        <v>1225</v>
      </c>
      <c r="B233" t="str">
        <f>VLOOKUP(A233,Lcode_mapping!D:T,1,FALSE)</f>
        <v>NB DELAY</v>
      </c>
      <c r="C233" t="str">
        <f>VLOOKUP($A233,Lcode_mapping!$D:$T,15,FALSE)</f>
        <v>-</v>
      </c>
      <c r="D233" t="str">
        <f>VLOOKUP($A233,Lcode_mapping!$D:$T,7,FALSE)</f>
        <v>Single band delay (microsec).</v>
      </c>
      <c r="E233" t="str">
        <f>VLOOKUP($A233,Lcode_mapping!$D:$T,17,FALSE)</f>
        <v>-</v>
      </c>
      <c r="H233" t="str">
        <f t="shared" si="12"/>
        <v>NB DELAY</v>
      </c>
      <c r="I233" t="str">
        <f t="shared" si="13"/>
        <v>NB DELAY</v>
      </c>
      <c r="J233" t="str">
        <f t="shared" si="14"/>
        <v>Single band delay (microsec).</v>
      </c>
      <c r="K233" t="str">
        <f>VLOOKUP($A233,Lcode_mapping!$D:$T,12,FALSE)</f>
        <v>OBSOLETE</v>
      </c>
      <c r="L233" t="str">
        <f>VLOOKUP($A233,Lcode_mapping!$D:$T,13,FALSE)</f>
        <v>-</v>
      </c>
    </row>
    <row r="234" spans="1:12" x14ac:dyDescent="0.25">
      <c r="A234" s="25" t="s">
        <v>797</v>
      </c>
      <c r="B234" t="str">
        <f>VLOOKUP(A234,Lcode_mapping!D:T,1,FALSE)</f>
        <v>NDRYCONT</v>
      </c>
      <c r="C234" t="str">
        <f>VLOOKUP($A234,Lcode_mapping!$D:$T,15,FALSE)</f>
        <v>Cal-SlantPathTropDry</v>
      </c>
      <c r="D234" t="str">
        <f>VLOOKUP($A234,Lcode_mapping!$D:$T,7,FALSE)</f>
        <v>Nhmf (dry) atm. contribution</v>
      </c>
      <c r="E234" t="str">
        <f>VLOOKUP($A234,Lcode_mapping!$D:$T,17,FALSE)</f>
        <v>-</v>
      </c>
      <c r="H234" t="str">
        <f t="shared" si="12"/>
        <v>NDRYCONT</v>
      </c>
      <c r="I234" t="str">
        <f t="shared" si="13"/>
        <v>Cal-SlantPathTropDry</v>
      </c>
      <c r="J234" t="str">
        <f t="shared" si="14"/>
        <v>Nhmf (dry) atm. contribution</v>
      </c>
      <c r="K234" t="str">
        <f>VLOOKUP($A234,Lcode_mapping!$D:$T,12,FALSE)</f>
        <v>-</v>
      </c>
      <c r="L234" t="str">
        <f>VLOOKUP($A234,Lcode_mapping!$D:$T,13,FALSE)</f>
        <v>Cal-SlantPathTropDry_kNMF</v>
      </c>
    </row>
    <row r="235" spans="1:12" x14ac:dyDescent="0.25">
      <c r="A235" s="25" t="s">
        <v>793</v>
      </c>
      <c r="B235" t="str">
        <f>VLOOKUP(A235,Lcode_mapping!D:T,1,FALSE)</f>
        <v>NDRYPART</v>
      </c>
      <c r="C235" t="str">
        <f>VLOOKUP($A235,Lcode_mapping!$D:$T,15,FALSE)</f>
        <v>Part-ZenithPathTropDry</v>
      </c>
      <c r="D235" t="str">
        <f>VLOOKUP($A235,Lcode_mapping!$D:$T,7,FALSE)</f>
        <v>Nhmf2 dry partial deriv. def.</v>
      </c>
      <c r="E235" t="str">
        <f>VLOOKUP($A235,Lcode_mapping!$D:$T,17,FALSE)</f>
        <v>-</v>
      </c>
      <c r="H235" t="str">
        <f t="shared" si="12"/>
        <v>NDRYPART</v>
      </c>
      <c r="I235" t="str">
        <f t="shared" si="13"/>
        <v>Part-ZenithPathTropDry</v>
      </c>
      <c r="J235" t="str">
        <f t="shared" si="14"/>
        <v>Nhmf2 dry partial deriv. def.</v>
      </c>
      <c r="K235" t="str">
        <f>VLOOKUP($A235,Lcode_mapping!$D:$T,12,FALSE)</f>
        <v>-</v>
      </c>
      <c r="L235" t="str">
        <f>VLOOKUP($A235,Lcode_mapping!$D:$T,13,FALSE)</f>
        <v>Part-ZenithPathTropDry_kNMF</v>
      </c>
    </row>
    <row r="236" spans="1:12" x14ac:dyDescent="0.25">
      <c r="A236" s="25" t="s">
        <v>801</v>
      </c>
      <c r="B236" t="str">
        <f>VLOOKUP(A236,Lcode_mapping!D:T,1,FALSE)</f>
        <v>NGRADPAR</v>
      </c>
      <c r="C236" t="str">
        <f>VLOOKUP($A236,Lcode_mapping!$D:$T,15,FALSE)</f>
        <v>Part-HorizonGrad</v>
      </c>
      <c r="D236" t="str">
        <f>VLOOKUP($A236,Lcode_mapping!$D:$T,7,FALSE)</f>
        <v>Niell dry atm. gradient partials</v>
      </c>
      <c r="E236" t="str">
        <f>VLOOKUP($A236,Lcode_mapping!$D:$T,17,FALSE)</f>
        <v>-</v>
      </c>
      <c r="H236" t="str">
        <f t="shared" si="12"/>
        <v>NGRADPAR</v>
      </c>
      <c r="I236" t="str">
        <f t="shared" si="13"/>
        <v>Part-HorizonGrad</v>
      </c>
      <c r="J236" t="str">
        <f t="shared" si="14"/>
        <v>Niell dry atm. gradient partials</v>
      </c>
      <c r="K236" t="str">
        <f>VLOOKUP($A236,Lcode_mapping!$D:$T,12,FALSE)</f>
        <v>-</v>
      </c>
      <c r="L236" t="str">
        <f>VLOOKUP($A236,Lcode_mapping!$D:$T,13,FALSE)</f>
        <v>Part-HorizonGrad_kNMF</v>
      </c>
    </row>
    <row r="237" spans="1:12" x14ac:dyDescent="0.25">
      <c r="A237" s="25" t="s">
        <v>546</v>
      </c>
      <c r="B237" t="str">
        <f>VLOOKUP(A237,Lcode_mapping!D:T,1,FALSE)</f>
        <v>NLAGS</v>
      </c>
      <c r="C237" t="str">
        <f>VLOOKUP($A237,Lcode_mapping!$D:$T,15,FALSE)</f>
        <v>NumLagsUsed</v>
      </c>
      <c r="D237" t="str">
        <f>VLOOKUP($A237,Lcode_mapping!$D:$T,7,FALSE)</f>
        <v>Num of lags used for correlation</v>
      </c>
      <c r="E237" t="str">
        <f>VLOOKUP($A237,Lcode_mapping!$D:$T,17,FALSE)</f>
        <v>-</v>
      </c>
      <c r="H237" t="str">
        <f t="shared" si="12"/>
        <v>NLAGS</v>
      </c>
      <c r="I237" t="str">
        <f t="shared" si="13"/>
        <v>NumLagsUsed</v>
      </c>
      <c r="J237" t="str">
        <f t="shared" si="14"/>
        <v>Num of lags used for correlation</v>
      </c>
      <c r="K237" t="str">
        <f>VLOOKUP($A237,Lcode_mapping!$D:$T,12,FALSE)</f>
        <v>Solve</v>
      </c>
      <c r="L237" t="str">
        <f>VLOOKUP($A237,Lcode_mapping!$D:$T,13,FALSE)</f>
        <v>Misc</v>
      </c>
    </row>
    <row r="238" spans="1:12" x14ac:dyDescent="0.25">
      <c r="A238" s="25" t="s">
        <v>950</v>
      </c>
      <c r="B238" t="str">
        <f>VLOOKUP(A238,Lcode_mapping!D:T,1,FALSE)</f>
        <v>NO.OF AP</v>
      </c>
      <c r="C238" t="str">
        <f>VLOOKUP($A238,Lcode_mapping!$D:$T,15,FALSE)</f>
        <v>NumAp</v>
      </c>
      <c r="D238" t="str">
        <f>VLOOKUP($A238,Lcode_mapping!$D:$T,7,FALSE)</f>
        <v># of AP by sideband and channel.</v>
      </c>
      <c r="E238" t="str">
        <f>VLOOKUP($A238,Lcode_mapping!$D:$T,17,FALSE)</f>
        <v>-</v>
      </c>
      <c r="H238" t="str">
        <f t="shared" si="12"/>
        <v>NO.OF AP</v>
      </c>
      <c r="I238" t="str">
        <f t="shared" si="13"/>
        <v>NumAp</v>
      </c>
      <c r="J238" t="str">
        <f t="shared" si="14"/>
        <v># of AP by sideband and channel.</v>
      </c>
      <c r="K238" t="str">
        <f>VLOOKUP($A238,Lcode_mapping!$D:$T,12,FALSE)</f>
        <v>Observables</v>
      </c>
      <c r="L238" t="str">
        <f>VLOOKUP($A238,Lcode_mapping!$D:$T,13,FALSE)</f>
        <v>CorrInfo_bX</v>
      </c>
    </row>
    <row r="239" spans="1:12" x14ac:dyDescent="0.25">
      <c r="A239" s="25" t="s">
        <v>730</v>
      </c>
      <c r="B239" t="str">
        <f>VLOOKUP(A239,Lcode_mapping!D:T,1,FALSE)</f>
        <v>NUM4 OBS</v>
      </c>
      <c r="C239" t="str">
        <f>VLOOKUP($A239,Lcode_mapping!$D:$T,15,FALSE)</f>
        <v>NumObs</v>
      </c>
      <c r="D239" t="str">
        <f>VLOOKUP($A239,Lcode_mapping!$D:$T,7,FALSE)</f>
        <v>Number of observations (I*4)</v>
      </c>
      <c r="E239" t="str">
        <f>VLOOKUP($A239,Lcode_mapping!$D:$T,17,FALSE)</f>
        <v>-</v>
      </c>
      <c r="H239" t="str">
        <f t="shared" si="12"/>
        <v>NUM4 OBS</v>
      </c>
      <c r="I239" t="str">
        <f t="shared" si="13"/>
        <v>NumObs</v>
      </c>
      <c r="J239" t="str">
        <f t="shared" si="14"/>
        <v>Number of observations (I*4)</v>
      </c>
      <c r="K239" t="str">
        <f>VLOOKUP($A239,Lcode_mapping!$D:$T,12,FALSE)</f>
        <v>-</v>
      </c>
      <c r="L239" t="str">
        <f>VLOOKUP($A239,Lcode_mapping!$D:$T,13,FALSE)</f>
        <v>Head</v>
      </c>
    </row>
    <row r="240" spans="1:12" x14ac:dyDescent="0.25">
      <c r="A240" s="25" t="s">
        <v>552</v>
      </c>
      <c r="B240" t="str">
        <f>VLOOKUP(A240,Lcode_mapping!D:T,1,FALSE)</f>
        <v>NUMB OBS</v>
      </c>
      <c r="C240" t="str">
        <f>VLOOKUP($A240,Lcode_mapping!$D:$T,15,FALSE)</f>
        <v>NumObs</v>
      </c>
      <c r="D240" t="str">
        <f>VLOOKUP($A240,Lcode_mapping!$D:$T,7,FALSE)</f>
        <v>Number of observations in file.</v>
      </c>
      <c r="E240" t="str">
        <f>VLOOKUP($A240,Lcode_mapping!$D:$T,17,FALSE)</f>
        <v>-</v>
      </c>
      <c r="H240" t="str">
        <f t="shared" si="12"/>
        <v>NUMB OBS</v>
      </c>
      <c r="I240" t="str">
        <f t="shared" si="13"/>
        <v>NumObs</v>
      </c>
      <c r="J240" t="str">
        <f t="shared" si="14"/>
        <v>Number of observations in file.</v>
      </c>
      <c r="K240" t="str">
        <f>VLOOKUP($A240,Lcode_mapping!$D:$T,12,FALSE)</f>
        <v>-</v>
      </c>
      <c r="L240" t="str">
        <f>VLOOKUP($A240,Lcode_mapping!$D:$T,13,FALSE)</f>
        <v>Head</v>
      </c>
    </row>
    <row r="241" spans="1:12" x14ac:dyDescent="0.25">
      <c r="A241" s="25" t="s">
        <v>631</v>
      </c>
      <c r="B241" t="str">
        <f>VLOOKUP(A241,Lcode_mapping!D:T,1,FALSE)</f>
        <v>NUT CFLG</v>
      </c>
      <c r="C241" t="str">
        <f>VLOOKUP($A241,Lcode_mapping!$D:$T,15,FALSE)</f>
        <v>NutationControl</v>
      </c>
      <c r="D241" t="str">
        <f>VLOOKUP($A241,Lcode_mapping!$D:$T,7,FALSE)</f>
        <v>Nutation flow control mess def.</v>
      </c>
      <c r="E241" t="str">
        <f>VLOOKUP($A241,Lcode_mapping!$D:$T,17,FALSE)</f>
        <v>-</v>
      </c>
      <c r="H241" t="str">
        <f t="shared" si="12"/>
        <v>NUT CFLG</v>
      </c>
      <c r="I241" t="str">
        <f t="shared" si="13"/>
        <v>NutationControl</v>
      </c>
      <c r="J241" t="str">
        <f t="shared" si="14"/>
        <v>Nutation flow control mess def.</v>
      </c>
      <c r="K241" t="str">
        <f>VLOOKUP($A241,Lcode_mapping!$D:$T,12,FALSE)</f>
        <v>Solve</v>
      </c>
      <c r="L241" t="str">
        <f>VLOOKUP($A241,Lcode_mapping!$D:$T,13,FALSE)</f>
        <v>CalcInfo</v>
      </c>
    </row>
    <row r="242" spans="1:12" x14ac:dyDescent="0.25">
      <c r="A242" s="25" t="s">
        <v>629</v>
      </c>
      <c r="B242" t="str">
        <f>VLOOKUP(A242,Lcode_mapping!D:T,1,FALSE)</f>
        <v>NUT MESS</v>
      </c>
      <c r="C242" t="str">
        <f>VLOOKUP($A242,Lcode_mapping!$D:$T,15,FALSE)</f>
        <v>NutationMessage</v>
      </c>
      <c r="D242" t="str">
        <f>VLOOKUP($A242,Lcode_mapping!$D:$T,7,FALSE)</f>
        <v>Nutation message definition</v>
      </c>
      <c r="E242" t="str">
        <f>VLOOKUP($A242,Lcode_mapping!$D:$T,17,FALSE)</f>
        <v>-</v>
      </c>
      <c r="H242" t="str">
        <f t="shared" si="12"/>
        <v>NUT MESS</v>
      </c>
      <c r="I242" t="str">
        <f t="shared" si="13"/>
        <v>NutationMessage</v>
      </c>
      <c r="J242" t="str">
        <f t="shared" si="14"/>
        <v>Nutation message definition</v>
      </c>
      <c r="K242" t="str">
        <f>VLOOKUP($A242,Lcode_mapping!$D:$T,12,FALSE)</f>
        <v>Solve</v>
      </c>
      <c r="L242" t="str">
        <f>VLOOKUP($A242,Lcode_mapping!$D:$T,13,FALSE)</f>
        <v>CalcInfo</v>
      </c>
    </row>
    <row r="243" spans="1:12" x14ac:dyDescent="0.25">
      <c r="A243" s="25" t="s">
        <v>304</v>
      </c>
      <c r="B243" t="str">
        <f>VLOOKUP(A243,Lcode_mapping!D:T,1,FALSE)</f>
        <v>NUT PART</v>
      </c>
      <c r="C243" t="str">
        <f>VLOOKUP($A243,Lcode_mapping!$D:$T,15,FALSE)</f>
        <v>Part-NutationEQX</v>
      </c>
      <c r="D243" t="str">
        <f>VLOOKUP($A243,Lcode_mapping!$D:$T,7,FALSE)</f>
        <v>Pre Calc10 Nuation Partial</v>
      </c>
      <c r="E243" t="str">
        <f>VLOOKUP($A243,Lcode_mapping!$D:$T,17,FALSE)</f>
        <v>-</v>
      </c>
      <c r="H243" t="str">
        <f t="shared" si="12"/>
        <v>NUT PART</v>
      </c>
      <c r="I243" t="str">
        <f t="shared" si="13"/>
        <v>Part-NutationEQX</v>
      </c>
      <c r="J243" t="str">
        <f t="shared" si="14"/>
        <v>Pre Calc10 Nuation Partial</v>
      </c>
      <c r="K243" t="str">
        <f>VLOOKUP($A243,Lcode_mapping!$D:$T,12,FALSE)</f>
        <v>ObsPart</v>
      </c>
      <c r="L243" t="str">
        <f>VLOOKUP($A243,Lcode_mapping!$D:$T,13,FALSE)</f>
        <v>Part-Nutation_kpreCalc10</v>
      </c>
    </row>
    <row r="244" spans="1:12" x14ac:dyDescent="0.25">
      <c r="A244" s="25" t="s">
        <v>823</v>
      </c>
      <c r="B244" t="str">
        <f>VLOOKUP(A244,Lcode_mapping!D:T,1,FALSE)</f>
        <v>NUT WAHR</v>
      </c>
      <c r="C244" t="str">
        <f>VLOOKUP($A244,Lcode_mapping!$D:$T,15,FALSE)</f>
        <v>NutationEQX</v>
      </c>
      <c r="D244" t="str">
        <f>VLOOKUP($A244,Lcode_mapping!$D:$T,7,FALSE)</f>
        <v>Wahr nut vals  - Dpsi Deps&amp;rates</v>
      </c>
      <c r="E244" t="str">
        <f>VLOOKUP($A244,Lcode_mapping!$D:$T,17,FALSE)</f>
        <v>-</v>
      </c>
      <c r="H244" t="str">
        <f t="shared" si="12"/>
        <v>NUT WAHR</v>
      </c>
      <c r="I244" t="str">
        <f t="shared" si="13"/>
        <v>NutationEQX</v>
      </c>
      <c r="J244" t="str">
        <f t="shared" si="14"/>
        <v>Wahr nut vals  - Dpsi Deps&amp;rates</v>
      </c>
      <c r="K244" t="str">
        <f>VLOOKUP($A244,Lcode_mapping!$D:$T,12,FALSE)</f>
        <v>Scan</v>
      </c>
      <c r="L244" t="str">
        <f>VLOOKUP($A244,Lcode_mapping!$D:$T,13,FALSE)</f>
        <v>NutationEQX_kWahr</v>
      </c>
    </row>
    <row r="245" spans="1:12" x14ac:dyDescent="0.25">
      <c r="A245" s="25" t="s">
        <v>926</v>
      </c>
      <c r="B245" t="str">
        <f>VLOOKUP(A245,Lcode_mapping!D:T,1,FALSE)</f>
        <v>NUT2000A</v>
      </c>
      <c r="C245" t="str">
        <f>VLOOKUP($A245,Lcode_mapping!$D:$T,15,FALSE)</f>
        <v>NutationEQX</v>
      </c>
      <c r="D245" t="str">
        <f>VLOOKUP($A245,Lcode_mapping!$D:$T,7,FALSE)</f>
        <v>IAU200A Nut. - Dpsi  Deps  Rates</v>
      </c>
      <c r="E245" t="str">
        <f>VLOOKUP($A245,Lcode_mapping!$D:$T,17,FALSE)</f>
        <v>IAU2000A Nut. - Dpsi  Deps  Rates</v>
      </c>
      <c r="H245" t="str">
        <f t="shared" si="12"/>
        <v>NUT2000A</v>
      </c>
      <c r="I245" t="str">
        <f t="shared" si="13"/>
        <v>NutationEQX</v>
      </c>
      <c r="J245" t="str">
        <f t="shared" si="14"/>
        <v>IAU2000A Nut. - Dpsi  Deps  Rates</v>
      </c>
      <c r="K245" t="str">
        <f>VLOOKUP($A245,Lcode_mapping!$D:$T,12,FALSE)</f>
        <v>Scan</v>
      </c>
      <c r="L245" t="str">
        <f>VLOOKUP($A245,Lcode_mapping!$D:$T,13,FALSE)</f>
        <v>NutationEQX_kIAU2000</v>
      </c>
    </row>
    <row r="246" spans="1:12" x14ac:dyDescent="0.25">
      <c r="A246" s="25" t="s">
        <v>932</v>
      </c>
      <c r="B246" t="str">
        <f>VLOOKUP(A246,Lcode_mapping!D:T,1,FALSE)</f>
        <v>NUT2000P</v>
      </c>
      <c r="C246" t="str">
        <f>VLOOKUP($A246,Lcode_mapping!$D:$T,15,FALSE)</f>
        <v>Part-NutationEQX</v>
      </c>
      <c r="D246" t="str">
        <f>VLOOKUP($A246,Lcode_mapping!$D:$T,7,FALSE)</f>
        <v>IAU2000A Nutation Psi Eps Partls</v>
      </c>
      <c r="E246" t="str">
        <f>VLOOKUP($A246,Lcode_mapping!$D:$T,17,FALSE)</f>
        <v>-</v>
      </c>
      <c r="H246" t="str">
        <f t="shared" si="12"/>
        <v>NUT2000P</v>
      </c>
      <c r="I246" t="str">
        <f t="shared" si="13"/>
        <v>Part-NutationEQX</v>
      </c>
      <c r="J246" t="str">
        <f t="shared" si="14"/>
        <v>IAU2000A Nutation Psi Eps Partls</v>
      </c>
      <c r="K246" t="str">
        <f>VLOOKUP($A246,Lcode_mapping!$D:$T,12,FALSE)</f>
        <v>ObsPart</v>
      </c>
      <c r="L246" t="str">
        <f>VLOOKUP($A246,Lcode_mapping!$D:$T,13,FALSE)</f>
        <v>Part-NutationEQX_kIAU2000</v>
      </c>
    </row>
    <row r="247" spans="1:12" x14ac:dyDescent="0.25">
      <c r="A247" s="25" t="s">
        <v>930</v>
      </c>
      <c r="B247" t="str">
        <f>VLOOKUP(A247,Lcode_mapping!D:T,1,FALSE)</f>
        <v>NUT2KXYP</v>
      </c>
      <c r="C247" t="str">
        <f>VLOOKUP($A247,Lcode_mapping!$D:$T,15,FALSE)</f>
        <v>Part-NutationNRO</v>
      </c>
      <c r="D247" t="str">
        <f>VLOOKUP($A247,Lcode_mapping!$D:$T,7,FALSE)</f>
        <v>IAU2000A Nutation X Y Partials</v>
      </c>
      <c r="E247" t="str">
        <f>VLOOKUP($A247,Lcode_mapping!$D:$T,17,FALSE)</f>
        <v>-</v>
      </c>
      <c r="H247" t="str">
        <f t="shared" si="12"/>
        <v>NUT2KXYP</v>
      </c>
      <c r="I247" t="str">
        <f t="shared" si="13"/>
        <v>Part-NutationNRO</v>
      </c>
      <c r="J247" t="str">
        <f t="shared" si="14"/>
        <v>IAU2000A Nutation X Y Partials</v>
      </c>
      <c r="K247" t="str">
        <f>VLOOKUP($A247,Lcode_mapping!$D:$T,12,FALSE)</f>
        <v>ObsPart</v>
      </c>
      <c r="L247" t="str">
        <f>VLOOKUP($A247,Lcode_mapping!$D:$T,13,FALSE)</f>
        <v>Part-NutationNRO_kIAU2000</v>
      </c>
    </row>
    <row r="248" spans="1:12" x14ac:dyDescent="0.25">
      <c r="A248" s="25" t="s">
        <v>928</v>
      </c>
      <c r="B248" t="str">
        <f>VLOOKUP(A248,Lcode_mapping!D:T,1,FALSE)</f>
        <v>NUT2KXYS</v>
      </c>
      <c r="C248" t="str">
        <f>VLOOKUP($A248,Lcode_mapping!$D:$T,15,FALSE)</f>
        <v>NutationNRO</v>
      </c>
      <c r="D248" t="str">
        <f>VLOOKUP($A248,Lcode_mapping!$D:$T,7,FALSE)</f>
        <v>CIP Coordinates X Y S  and Rates</v>
      </c>
      <c r="E248" t="str">
        <f>VLOOKUP($A248,Lcode_mapping!$D:$T,17,FALSE)</f>
        <v>-</v>
      </c>
      <c r="H248" t="str">
        <f t="shared" si="12"/>
        <v>NUT2KXYS</v>
      </c>
      <c r="I248" t="str">
        <f t="shared" si="13"/>
        <v>NutationNRO</v>
      </c>
      <c r="J248" t="str">
        <f t="shared" si="14"/>
        <v>CIP Coordinates X Y S  and Rates</v>
      </c>
      <c r="K248" t="str">
        <f>VLOOKUP($A248,Lcode_mapping!$D:$T,12,FALSE)</f>
        <v>Scan</v>
      </c>
      <c r="L248" t="str">
        <f>VLOOKUP($A248,Lcode_mapping!$D:$T,13,FALSE)</f>
        <v>NutationNRO_kIAU2000</v>
      </c>
    </row>
    <row r="249" spans="1:12" x14ac:dyDescent="0.25">
      <c r="A249" s="25" t="s">
        <v>799</v>
      </c>
      <c r="B249" t="str">
        <f>VLOOKUP(A249,Lcode_mapping!D:T,1,FALSE)</f>
        <v>NWETCONT</v>
      </c>
      <c r="C249" t="str">
        <f>VLOOKUP($A249,Lcode_mapping!$D:$T,15,FALSE)</f>
        <v>Cal-SlantPathTropWet</v>
      </c>
      <c r="D249" t="str">
        <f>VLOOKUP($A249,Lcode_mapping!$D:$T,7,FALSE)</f>
        <v>Whmf (wet) atm. contribution</v>
      </c>
      <c r="E249" t="str">
        <f>VLOOKUP($A249,Lcode_mapping!$D:$T,17,FALSE)</f>
        <v>-</v>
      </c>
      <c r="H249" t="str">
        <f t="shared" si="12"/>
        <v>NWETCONT</v>
      </c>
      <c r="I249" t="str">
        <f t="shared" si="13"/>
        <v>Cal-SlantPathTropWet</v>
      </c>
      <c r="J249" t="str">
        <f t="shared" si="14"/>
        <v>Whmf (wet) atm. contribution</v>
      </c>
      <c r="K249" t="str">
        <f>VLOOKUP($A249,Lcode_mapping!$D:$T,12,FALSE)</f>
        <v>-</v>
      </c>
      <c r="L249" t="str">
        <f>VLOOKUP($A249,Lcode_mapping!$D:$T,13,FALSE)</f>
        <v>Cal-SlantPathTropWet_kNMF</v>
      </c>
    </row>
    <row r="250" spans="1:12" x14ac:dyDescent="0.25">
      <c r="A250" s="25" t="s">
        <v>795</v>
      </c>
      <c r="B250" t="str">
        <f>VLOOKUP(A250,Lcode_mapping!D:T,1,FALSE)</f>
        <v>NWETPART</v>
      </c>
      <c r="C250" t="str">
        <f>VLOOKUP($A250,Lcode_mapping!$D:$T,15,FALSE)</f>
        <v>Part-ZenithPathTropWet</v>
      </c>
      <c r="D250" t="str">
        <f>VLOOKUP($A250,Lcode_mapping!$D:$T,7,FALSE)</f>
        <v>Whmf2 wet partial deriv. def.</v>
      </c>
      <c r="E250" t="str">
        <f>VLOOKUP($A250,Lcode_mapping!$D:$T,17,FALSE)</f>
        <v>NMF Wet Partial</v>
      </c>
      <c r="H250" t="str">
        <f t="shared" si="12"/>
        <v>NWETPART</v>
      </c>
      <c r="I250" t="str">
        <f t="shared" si="13"/>
        <v>Part-ZenithPathTropWet</v>
      </c>
      <c r="J250" t="str">
        <f t="shared" si="14"/>
        <v>NMF Wet Partial</v>
      </c>
      <c r="K250" t="str">
        <f>VLOOKUP($A250,Lcode_mapping!$D:$T,12,FALSE)</f>
        <v>-</v>
      </c>
      <c r="L250" t="str">
        <f>VLOOKUP($A250,Lcode_mapping!$D:$T,13,FALSE)</f>
        <v>Part-ZenithPathTropWet_kNMF</v>
      </c>
    </row>
    <row r="251" spans="1:12" x14ac:dyDescent="0.25">
      <c r="A251" s="25" t="s">
        <v>586</v>
      </c>
      <c r="B251" t="str">
        <f>VLOOKUP(A251,Lcode_mapping!D:T,1,FALSE)</f>
        <v>OBCLFLGS</v>
      </c>
      <c r="C251" t="str">
        <f>VLOOKUP($A251,Lcode_mapping!$D:$T,15,FALSE)</f>
        <v>ObsCalFlag</v>
      </c>
      <c r="D251" t="str">
        <f>VLOOKUP($A251,Lcode_mapping!$D:$T,7,FALSE)</f>
        <v>Standard contribs configuration</v>
      </c>
      <c r="E251" t="str">
        <f>VLOOKUP($A251,Lcode_mapping!$D:$T,17,FALSE)</f>
        <v>Bit set indicate that calibration is recommended.</v>
      </c>
      <c r="H251" t="str">
        <f t="shared" si="12"/>
        <v>OBCLFLGS</v>
      </c>
      <c r="I251" t="str">
        <f t="shared" si="13"/>
        <v>ObsCalFlag</v>
      </c>
      <c r="J251" t="str">
        <f t="shared" si="14"/>
        <v>Bit set indicate that calibration is recommended.</v>
      </c>
      <c r="K251" t="str">
        <f>VLOOKUP($A251,Lcode_mapping!$D:$T,12,FALSE)</f>
        <v>Solve</v>
      </c>
      <c r="L251" t="str">
        <f>VLOOKUP($A251,Lcode_mapping!$D:$T,13,FALSE)</f>
        <v>CalibrationSetup</v>
      </c>
    </row>
    <row r="252" spans="1:12" x14ac:dyDescent="0.25">
      <c r="A252" s="25" t="s">
        <v>724</v>
      </c>
      <c r="B252" t="str">
        <f>VLOOKUP(A252,Lcode_mapping!D:T,1,FALSE)</f>
        <v>OBCLLIST</v>
      </c>
      <c r="C252" t="str">
        <f>VLOOKUP($A252,Lcode_mapping!$D:$T,15,FALSE)</f>
        <v>ObsCalList</v>
      </c>
      <c r="D252" t="str">
        <f>VLOOKUP($A252,Lcode_mapping!$D:$T,7,FALSE)</f>
        <v>Key to standard contribs config</v>
      </c>
      <c r="E252" t="str">
        <f>VLOOKUP($A252,Lcode_mapping!$D:$T,17,FALSE)</f>
        <v>Available obs dependent calibrations (poletide, earthdide, …)</v>
      </c>
      <c r="H252" t="str">
        <f t="shared" si="12"/>
        <v>OBCLLIST</v>
      </c>
      <c r="I252" t="str">
        <f t="shared" si="13"/>
        <v>ObsCalList</v>
      </c>
      <c r="J252" t="str">
        <f t="shared" si="14"/>
        <v>Available obs dependent calibrations (poletide, earthdide, …)</v>
      </c>
      <c r="K252" t="str">
        <f>VLOOKUP($A252,Lcode_mapping!$D:$T,12,FALSE)</f>
        <v>Solve</v>
      </c>
      <c r="L252" t="str">
        <f>VLOOKUP($A252,Lcode_mapping!$D:$T,13,FALSE)</f>
        <v>CalibrationSetup</v>
      </c>
    </row>
    <row r="253" spans="1:12" x14ac:dyDescent="0.25">
      <c r="A253" s="25" t="s">
        <v>400</v>
      </c>
      <c r="B253" t="str">
        <f>VLOOKUP(A253,Lcode_mapping!D:T,1,FALSE)</f>
        <v>O-C RES</v>
      </c>
      <c r="C253" t="str">
        <f>VLOOKUP($A253,Lcode_mapping!$D:$T,15,FALSE)</f>
        <v>-</v>
      </c>
      <c r="D253" t="str">
        <f>VLOOKUP($A253,Lcode_mapping!$D:$T,7,FALSE)</f>
        <v>DELAY RATE RESIDUALS(s, s per s)</v>
      </c>
      <c r="E253" t="str">
        <f>VLOOKUP($A253,Lcode_mapping!$D:$T,17,FALSE)</f>
        <v>-</v>
      </c>
      <c r="H253" t="str">
        <f t="shared" si="12"/>
        <v>O-C RES</v>
      </c>
      <c r="I253" t="str">
        <f t="shared" si="13"/>
        <v>O-C RES</v>
      </c>
      <c r="J253" t="str">
        <f t="shared" si="14"/>
        <v>DELAY RATE RESIDUALS(s, s per s)</v>
      </c>
      <c r="K253" t="str">
        <f>VLOOKUP($A253,Lcode_mapping!$D:$T,12,FALSE)</f>
        <v>OBSOLETE</v>
      </c>
      <c r="L253" t="str">
        <f>VLOOKUP($A253,Lcode_mapping!$D:$T,13,FALSE)</f>
        <v>-</v>
      </c>
    </row>
    <row r="254" spans="1:12" x14ac:dyDescent="0.25">
      <c r="A254" s="25" t="s">
        <v>244</v>
      </c>
      <c r="B254" t="str">
        <f>VLOOKUP(A254,Lcode_mapping!D:T,1,FALSE)</f>
        <v>OCAMP EW</v>
      </c>
      <c r="C254" t="str">
        <f>VLOOKUP($A254,Lcode_mapping!$D:$T,15,FALSE)</f>
        <v>OceanAmpEW</v>
      </c>
      <c r="D254" t="str">
        <f>VLOOKUP($A254,Lcode_mapping!$D:$T,7,FALSE)</f>
        <v>Ocean amp. E-W component(meters)</v>
      </c>
      <c r="E254" t="str">
        <f>VLOOKUP($A254,Lcode_mapping!$D:$T,17,FALSE)</f>
        <v>-</v>
      </c>
      <c r="H254" t="str">
        <f t="shared" si="12"/>
        <v>OCAMP EW</v>
      </c>
      <c r="I254" t="str">
        <f t="shared" si="13"/>
        <v>OceanAmpEW</v>
      </c>
      <c r="J254" t="str">
        <f t="shared" si="14"/>
        <v>Ocean amp. E-W component(meters)</v>
      </c>
      <c r="K254" t="str">
        <f>VLOOKUP($A254,Lcode_mapping!$D:$T,12,FALSE)</f>
        <v>Solve</v>
      </c>
      <c r="L254" t="str">
        <f>VLOOKUP($A254,Lcode_mapping!$D:$T,13,FALSE)</f>
        <v>CalcInfo</v>
      </c>
    </row>
    <row r="255" spans="1:12" x14ac:dyDescent="0.25">
      <c r="A255" s="25" t="s">
        <v>246</v>
      </c>
      <c r="B255" t="str">
        <f>VLOOKUP(A255,Lcode_mapping!D:T,1,FALSE)</f>
        <v>OCAMP NS</v>
      </c>
      <c r="C255" t="str">
        <f>VLOOKUP($A255,Lcode_mapping!$D:$T,15,FALSE)</f>
        <v>OceanAmpNS</v>
      </c>
      <c r="D255" t="str">
        <f>VLOOKUP($A255,Lcode_mapping!$D:$T,7,FALSE)</f>
        <v>Ocean amp. N-S component(meters)</v>
      </c>
      <c r="E255" t="str">
        <f>VLOOKUP($A255,Lcode_mapping!$D:$T,17,FALSE)</f>
        <v>-</v>
      </c>
      <c r="H255" t="str">
        <f t="shared" si="12"/>
        <v>OCAMP NS</v>
      </c>
      <c r="I255" t="str">
        <f t="shared" si="13"/>
        <v>OceanAmpNS</v>
      </c>
      <c r="J255" t="str">
        <f t="shared" si="14"/>
        <v>Ocean amp. N-S component(meters)</v>
      </c>
      <c r="K255" t="str">
        <f>VLOOKUP($A255,Lcode_mapping!$D:$T,12,FALSE)</f>
        <v>Solve</v>
      </c>
      <c r="L255" t="str">
        <f>VLOOKUP($A255,Lcode_mapping!$D:$T,13,FALSE)</f>
        <v>CalcInfo</v>
      </c>
    </row>
    <row r="256" spans="1:12" x14ac:dyDescent="0.25">
      <c r="A256" s="25" t="s">
        <v>242</v>
      </c>
      <c r="B256" t="str">
        <f>VLOOKUP(A256,Lcode_mapping!D:T,1,FALSE)</f>
        <v>OCAMP RD</v>
      </c>
      <c r="C256" t="str">
        <f>VLOOKUP($A256,Lcode_mapping!$D:$T,15,FALSE)</f>
        <v>OceanAmpUp</v>
      </c>
      <c r="D256" t="str">
        <f>VLOOKUP($A256,Lcode_mapping!$D:$T,7,FALSE)</f>
        <v>Ocean amp. radial comp.-meters.</v>
      </c>
      <c r="E256" t="str">
        <f>VLOOKUP($A256,Lcode_mapping!$D:$T,17,FALSE)</f>
        <v>-</v>
      </c>
      <c r="H256" t="str">
        <f t="shared" si="12"/>
        <v>OCAMP RD</v>
      </c>
      <c r="I256" t="str">
        <f t="shared" si="13"/>
        <v>OceanAmpUp</v>
      </c>
      <c r="J256" t="str">
        <f t="shared" si="14"/>
        <v>Ocean amp. radial comp.-meters.</v>
      </c>
      <c r="K256" t="str">
        <f>VLOOKUP($A256,Lcode_mapping!$D:$T,12,FALSE)</f>
        <v>Solve</v>
      </c>
      <c r="L256" t="str">
        <f>VLOOKUP($A256,Lcode_mapping!$D:$T,13,FALSE)</f>
        <v>CalcInfo</v>
      </c>
    </row>
    <row r="257" spans="1:12" x14ac:dyDescent="0.25">
      <c r="A257" s="25" t="s">
        <v>435</v>
      </c>
      <c r="B257" t="str">
        <f>VLOOKUP(A257,Lcode_mapping!D:T,1,FALSE)</f>
        <v>OCCUPNUM</v>
      </c>
      <c r="C257" t="str">
        <f>VLOOKUP($A257,Lcode_mapping!$D:$T,15,FALSE)</f>
        <v>-</v>
      </c>
      <c r="D257" t="str">
        <f>VLOOKUP($A257,Lcode_mapping!$D:$T,7,FALSE)</f>
        <v xml:space="preserve">Site Occupation Number. </v>
      </c>
      <c r="E257" t="str">
        <f>VLOOKUP($A257,Lcode_mapping!$D:$T,17,FALSE)</f>
        <v>-</v>
      </c>
      <c r="H257" t="str">
        <f t="shared" si="12"/>
        <v>OCCUPNUM</v>
      </c>
      <c r="I257" t="str">
        <f t="shared" si="13"/>
        <v>OCCUPNUM</v>
      </c>
      <c r="J257" t="str">
        <f t="shared" si="14"/>
        <v xml:space="preserve">Site Occupation Number. </v>
      </c>
      <c r="K257" t="str">
        <f>VLOOKUP($A257,Lcode_mapping!$D:$T,12,FALSE)</f>
        <v>Observables</v>
      </c>
      <c r="L257" t="str">
        <f>VLOOKUP($A257,Lcode_mapping!$D:$T,13,FALSE)</f>
        <v>CorrInfo_bX</v>
      </c>
    </row>
    <row r="258" spans="1:12" x14ac:dyDescent="0.25">
      <c r="A258" s="25" t="s">
        <v>635</v>
      </c>
      <c r="B258" t="str">
        <f>VLOOKUP(A258,Lcode_mapping!D:T,1,FALSE)</f>
        <v>OCE CFLG</v>
      </c>
      <c r="C258" t="str">
        <f>VLOOKUP($A258,Lcode_mapping!$D:$T,15,FALSE)</f>
        <v>OceanControl</v>
      </c>
      <c r="D258" t="str">
        <f>VLOOKUP($A258,Lcode_mapping!$D:$T,7,FALSE)</f>
        <v>Ocean load flow control mess def</v>
      </c>
      <c r="E258" t="str">
        <f>VLOOKUP($A258,Lcode_mapping!$D:$T,17,FALSE)</f>
        <v>-</v>
      </c>
      <c r="H258" t="str">
        <f t="shared" si="12"/>
        <v>OCE CFLG</v>
      </c>
      <c r="I258" t="str">
        <f t="shared" si="13"/>
        <v>OceanControl</v>
      </c>
      <c r="J258" t="str">
        <f t="shared" si="14"/>
        <v>Ocean load flow control mess def</v>
      </c>
      <c r="K258" t="str">
        <f>VLOOKUP($A258,Lcode_mapping!$D:$T,12,FALSE)</f>
        <v>Solve</v>
      </c>
      <c r="L258" t="str">
        <f>VLOOKUP($A258,Lcode_mapping!$D:$T,13,FALSE)</f>
        <v>CalcInfo</v>
      </c>
    </row>
    <row r="259" spans="1:12" x14ac:dyDescent="0.25">
      <c r="A259" s="25" t="s">
        <v>635</v>
      </c>
      <c r="B259" t="str">
        <f>VLOOKUP(A259,Lcode_mapping!D:T,1,FALSE)</f>
        <v>OCE CFLG</v>
      </c>
      <c r="C259" t="str">
        <f>VLOOKUP($A259,Lcode_mapping!$D:$T,15,FALSE)</f>
        <v>OceanControl</v>
      </c>
      <c r="D259" t="str">
        <f>VLOOKUP($A259,Lcode_mapping!$D:$T,7,FALSE)</f>
        <v>Ocean load flow control mess def</v>
      </c>
      <c r="E259" t="str">
        <f>VLOOKUP($A259,Lcode_mapping!$D:$T,17,FALSE)</f>
        <v>-</v>
      </c>
      <c r="H259" t="str">
        <f t="shared" si="12"/>
        <v>OCE CFLG</v>
      </c>
      <c r="I259" t="str">
        <f t="shared" si="13"/>
        <v>OceanControl</v>
      </c>
      <c r="J259" t="str">
        <f t="shared" si="14"/>
        <v>Ocean load flow control mess def</v>
      </c>
      <c r="K259" t="str">
        <f>VLOOKUP($A259,Lcode_mapping!$D:$T,12,FALSE)</f>
        <v>Solve</v>
      </c>
      <c r="L259" t="str">
        <f>VLOOKUP($A259,Lcode_mapping!$D:$T,13,FALSE)</f>
        <v>CalcInfo</v>
      </c>
    </row>
    <row r="260" spans="1:12" x14ac:dyDescent="0.25">
      <c r="A260" s="25" t="s">
        <v>635</v>
      </c>
      <c r="B260" t="str">
        <f>VLOOKUP(A260,Lcode_mapping!D:T,1,FALSE)</f>
        <v>OCE CFLG</v>
      </c>
      <c r="C260" t="str">
        <f>VLOOKUP($A260,Lcode_mapping!$D:$T,15,FALSE)</f>
        <v>OceanControl</v>
      </c>
      <c r="D260" t="str">
        <f>VLOOKUP($A260,Lcode_mapping!$D:$T,7,FALSE)</f>
        <v>Ocean load flow control mess def</v>
      </c>
      <c r="E260" t="str">
        <f>VLOOKUP($A260,Lcode_mapping!$D:$T,17,FALSE)</f>
        <v>-</v>
      </c>
      <c r="H260" t="str">
        <f t="shared" si="12"/>
        <v>OCE CFLG</v>
      </c>
      <c r="I260" t="str">
        <f t="shared" si="13"/>
        <v>OceanControl</v>
      </c>
      <c r="J260" t="str">
        <f t="shared" si="14"/>
        <v>Ocean load flow control mess def</v>
      </c>
      <c r="K260" t="str">
        <f>VLOOKUP($A260,Lcode_mapping!$D:$T,12,FALSE)</f>
        <v>Solve</v>
      </c>
      <c r="L260" t="str">
        <f>VLOOKUP($A260,Lcode_mapping!$D:$T,13,FALSE)</f>
        <v>CalcInfo</v>
      </c>
    </row>
    <row r="261" spans="1:12" x14ac:dyDescent="0.25">
      <c r="A261" s="25" t="s">
        <v>827</v>
      </c>
      <c r="B261" t="str">
        <f>VLOOKUP(A261,Lcode_mapping!D:T,1,FALSE)</f>
        <v>OCE CONT</v>
      </c>
      <c r="C261" t="str">
        <f>VLOOKUP($A261,Lcode_mapping!$D:$T,15,FALSE)</f>
        <v>Cal-OceanLoad</v>
      </c>
      <c r="D261" t="str">
        <f>VLOOKUP($A261,Lcode_mapping!$D:$T,7,FALSE)</f>
        <v>Ocean loading contributions def.</v>
      </c>
      <c r="E261" t="str">
        <f>VLOOKUP($A261,Lcode_mapping!$D:$T,17,FALSE)</f>
        <v>Obs dependent ocean loading</v>
      </c>
      <c r="H261" t="str">
        <f t="shared" si="12"/>
        <v>OCE CONT</v>
      </c>
      <c r="I261" t="str">
        <f t="shared" si="13"/>
        <v>Cal-OceanLoad</v>
      </c>
      <c r="J261" t="str">
        <f t="shared" si="14"/>
        <v>Obs dependent ocean loading</v>
      </c>
      <c r="K261" t="str">
        <f>VLOOKUP($A261,Lcode_mapping!$D:$T,12,FALSE)</f>
        <v>ObsCalTheo</v>
      </c>
      <c r="L261" t="str">
        <f>VLOOKUP($A261,Lcode_mapping!$D:$T,13,FALSE)</f>
        <v>Cal-OceanLoad</v>
      </c>
    </row>
    <row r="262" spans="1:12" x14ac:dyDescent="0.25">
      <c r="A262" s="25" t="s">
        <v>829</v>
      </c>
      <c r="B262" t="str">
        <f>VLOOKUP(A262,Lcode_mapping!D:T,1,FALSE)</f>
        <v>OCE DELD</v>
      </c>
      <c r="C262" t="str">
        <f>VLOOKUP($A262,Lcode_mapping!$D:$T,15,FALSE)</f>
        <v>Dis-OceanLoad</v>
      </c>
      <c r="D262" t="str">
        <f>VLOOKUP($A262,Lcode_mapping!$D:$T,7,FALSE)</f>
        <v>Ocean load site depndnt displace</v>
      </c>
      <c r="E262" t="str">
        <f>VLOOKUP($A262,Lcode_mapping!$D:$T,17,FALSE)</f>
        <v>-</v>
      </c>
      <c r="H262" t="str">
        <f t="shared" si="12"/>
        <v>OCE DELD</v>
      </c>
      <c r="I262" t="str">
        <f t="shared" si="13"/>
        <v>Dis-OceanLoad</v>
      </c>
      <c r="J262" t="str">
        <f t="shared" si="14"/>
        <v>Ocean load site depndnt displace</v>
      </c>
      <c r="K262" t="str">
        <f>VLOOKUP($A262,Lcode_mapping!$D:$T,12,FALSE)</f>
        <v>-</v>
      </c>
      <c r="L262" t="str">
        <f>VLOOKUP($A262,Lcode_mapping!$D:$T,13,FALSE)</f>
        <v>Dis-OceanLoad</v>
      </c>
    </row>
    <row r="263" spans="1:12" x14ac:dyDescent="0.25">
      <c r="A263" s="25" t="s">
        <v>831</v>
      </c>
      <c r="B263" t="str">
        <f>VLOOKUP(A263,Lcode_mapping!D:T,1,FALSE)</f>
        <v>OCE HORZ</v>
      </c>
      <c r="C263" t="str">
        <f>VLOOKUP($A263,Lcode_mapping!$D:$T,15,FALSE)</f>
        <v>Cal-StationOceanLoadHoriz</v>
      </c>
      <c r="D263" t="str">
        <f>VLOOKUP($A263,Lcode_mapping!$D:$T,7,FALSE)</f>
        <v>Site-dep ocean cont - horizontal</v>
      </c>
      <c r="E263" t="str">
        <f>VLOOKUP($A263,Lcode_mapping!$D:$T,17,FALSE)</f>
        <v>-</v>
      </c>
      <c r="H263" t="str">
        <f t="shared" si="12"/>
        <v>OCE HORZ</v>
      </c>
      <c r="I263" t="str">
        <f t="shared" si="13"/>
        <v>Cal-StationOceanLoadHoriz</v>
      </c>
      <c r="J263" t="str">
        <f t="shared" si="14"/>
        <v>Site-dep ocean cont - horizontal</v>
      </c>
      <c r="K263" t="str">
        <f>VLOOKUP($A263,Lcode_mapping!$D:$T,12,FALSE)</f>
        <v>-</v>
      </c>
      <c r="L263" t="str">
        <f>VLOOKUP($A263,Lcode_mapping!$D:$T,13,FALSE)</f>
        <v>Cal-StationOceanLoad</v>
      </c>
    </row>
    <row r="264" spans="1:12" x14ac:dyDescent="0.25">
      <c r="A264" s="25" t="s">
        <v>633</v>
      </c>
      <c r="B264" t="str">
        <f>VLOOKUP(A264,Lcode_mapping!D:T,1,FALSE)</f>
        <v>OCE MESS</v>
      </c>
      <c r="C264" t="str">
        <f>VLOOKUP($A264,Lcode_mapping!$D:$T,15,FALSE)</f>
        <v>OceanMessage</v>
      </c>
      <c r="D264" t="str">
        <f>VLOOKUP($A264,Lcode_mapping!$D:$T,7,FALSE)</f>
        <v>Ocean loading message definition</v>
      </c>
      <c r="E264" t="str">
        <f>VLOOKUP($A264,Lcode_mapping!$D:$T,17,FALSE)</f>
        <v>-</v>
      </c>
      <c r="H264" t="str">
        <f t="shared" si="12"/>
        <v>OCE MESS</v>
      </c>
      <c r="I264" t="str">
        <f t="shared" si="13"/>
        <v>OceanMessage</v>
      </c>
      <c r="J264" t="str">
        <f t="shared" si="14"/>
        <v>Ocean loading message definition</v>
      </c>
      <c r="K264" t="str">
        <f>VLOOKUP($A264,Lcode_mapping!$D:$T,12,FALSE)</f>
        <v>Solve</v>
      </c>
      <c r="L264" t="str">
        <f>VLOOKUP($A264,Lcode_mapping!$D:$T,13,FALSE)</f>
        <v>CalcInfo</v>
      </c>
    </row>
    <row r="265" spans="1:12" x14ac:dyDescent="0.25">
      <c r="A265" s="25" t="s">
        <v>645</v>
      </c>
      <c r="B265" t="str">
        <f>VLOOKUP(A265,Lcode_mapping!D:T,1,FALSE)</f>
        <v>OCE STAT</v>
      </c>
      <c r="C265" t="str">
        <f>VLOOKUP($A265,Lcode_mapping!$D:$T,15,FALSE)</f>
        <v>OceanStationsFlag</v>
      </c>
      <c r="D265" t="str">
        <f>VLOOKUP($A265,Lcode_mapping!$D:$T,7,FALSE)</f>
        <v>Ocean loading station status.</v>
      </c>
      <c r="E265" t="str">
        <f>VLOOKUP($A265,Lcode_mapping!$D:$T,17,FALSE)</f>
        <v>-</v>
      </c>
      <c r="H265" t="str">
        <f t="shared" si="12"/>
        <v>OCE STAT</v>
      </c>
      <c r="I265" t="str">
        <f t="shared" si="13"/>
        <v>OceanStationsFlag</v>
      </c>
      <c r="J265" t="str">
        <f t="shared" si="14"/>
        <v>Ocean loading station status.</v>
      </c>
      <c r="K265" t="str">
        <f>VLOOKUP($A265,Lcode_mapping!$D:$T,12,FALSE)</f>
        <v>Solve</v>
      </c>
      <c r="L265" t="str">
        <f>VLOOKUP($A265,Lcode_mapping!$D:$T,13,FALSE)</f>
        <v>CalcInfo</v>
      </c>
    </row>
    <row r="266" spans="1:12" x14ac:dyDescent="0.25">
      <c r="A266" s="25" t="s">
        <v>645</v>
      </c>
      <c r="B266" t="str">
        <f>VLOOKUP(A266,Lcode_mapping!D:T,1,FALSE)</f>
        <v>OCE STAT</v>
      </c>
      <c r="C266" t="str">
        <f>VLOOKUP($A266,Lcode_mapping!$D:$T,15,FALSE)</f>
        <v>OceanStationsFlag</v>
      </c>
      <c r="D266" t="str">
        <f>VLOOKUP($A266,Lcode_mapping!$D:$T,7,FALSE)</f>
        <v>Ocean loading station status.</v>
      </c>
      <c r="E266" t="str">
        <f>VLOOKUP($A266,Lcode_mapping!$D:$T,17,FALSE)</f>
        <v>-</v>
      </c>
      <c r="H266" t="str">
        <f t="shared" si="12"/>
        <v>OCE STAT</v>
      </c>
      <c r="I266" t="str">
        <f t="shared" si="13"/>
        <v>OceanStationsFlag</v>
      </c>
      <c r="J266" t="str">
        <f t="shared" si="14"/>
        <v>Ocean loading station status.</v>
      </c>
      <c r="K266" t="str">
        <f>VLOOKUP($A266,Lcode_mapping!$D:$T,12,FALSE)</f>
        <v>Solve</v>
      </c>
      <c r="L266" t="str">
        <f>VLOOKUP($A266,Lcode_mapping!$D:$T,13,FALSE)</f>
        <v>CalcInfo</v>
      </c>
    </row>
    <row r="267" spans="1:12" x14ac:dyDescent="0.25">
      <c r="A267" s="25" t="s">
        <v>645</v>
      </c>
      <c r="B267" t="str">
        <f>VLOOKUP(A267,Lcode_mapping!D:T,1,FALSE)</f>
        <v>OCE STAT</v>
      </c>
      <c r="C267" t="str">
        <f>VLOOKUP($A267,Lcode_mapping!$D:$T,15,FALSE)</f>
        <v>OceanStationsFlag</v>
      </c>
      <c r="D267" t="str">
        <f>VLOOKUP($A267,Lcode_mapping!$D:$T,7,FALSE)</f>
        <v>Ocean loading station status.</v>
      </c>
      <c r="E267" t="str">
        <f>VLOOKUP($A267,Lcode_mapping!$D:$T,17,FALSE)</f>
        <v>-</v>
      </c>
      <c r="H267" t="str">
        <f t="shared" si="12"/>
        <v>OCE STAT</v>
      </c>
      <c r="I267" t="str">
        <f t="shared" si="13"/>
        <v>OceanStationsFlag</v>
      </c>
      <c r="J267" t="str">
        <f t="shared" si="14"/>
        <v>Ocean loading station status.</v>
      </c>
      <c r="K267" t="str">
        <f>VLOOKUP($A267,Lcode_mapping!$D:$T,12,FALSE)</f>
        <v>Solve</v>
      </c>
      <c r="L267" t="str">
        <f>VLOOKUP($A267,Lcode_mapping!$D:$T,13,FALSE)</f>
        <v>CalcInfo</v>
      </c>
    </row>
    <row r="268" spans="1:12" x14ac:dyDescent="0.25">
      <c r="A268" s="25" t="s">
        <v>833</v>
      </c>
      <c r="B268" t="str">
        <f>VLOOKUP(A268,Lcode_mapping!D:T,1,FALSE)</f>
        <v>OCE VERT</v>
      </c>
      <c r="C268" t="str">
        <f>VLOOKUP($A268,Lcode_mapping!$D:$T,15,FALSE)</f>
        <v>Cal-StationOceanLoadVert</v>
      </c>
      <c r="D268" t="str">
        <f>VLOOKUP($A268,Lcode_mapping!$D:$T,7,FALSE)</f>
        <v>Site-dep ocean cont - vertical</v>
      </c>
      <c r="E268" t="str">
        <f>VLOOKUP($A268,Lcode_mapping!$D:$T,17,FALSE)</f>
        <v>-</v>
      </c>
      <c r="H268" t="str">
        <f t="shared" si="12"/>
        <v>OCE VERT</v>
      </c>
      <c r="I268" t="str">
        <f t="shared" si="13"/>
        <v>Cal-StationOceanLoadVert</v>
      </c>
      <c r="J268" t="str">
        <f t="shared" si="14"/>
        <v>Site-dep ocean cont - vertical</v>
      </c>
      <c r="K268" t="str">
        <f>VLOOKUP($A268,Lcode_mapping!$D:$T,12,FALSE)</f>
        <v>-</v>
      </c>
      <c r="L268" t="str">
        <f>VLOOKUP($A268,Lcode_mapping!$D:$T,13,FALSE)</f>
        <v>Cal-StationOceanLoad</v>
      </c>
    </row>
    <row r="269" spans="1:12" x14ac:dyDescent="0.25">
      <c r="A269" s="25" t="s">
        <v>250</v>
      </c>
      <c r="B269" t="str">
        <f>VLOOKUP(A269,Lcode_mapping!D:T,1,FALSE)</f>
        <v>OCPHS EW</v>
      </c>
      <c r="C269" t="str">
        <f>VLOOKUP($A269,Lcode_mapping!$D:$T,15,FALSE)</f>
        <v>OceanPhaseEW</v>
      </c>
      <c r="D269" t="str">
        <f>VLOOKUP($A269,Lcode_mapping!$D:$T,7,FALSE)</f>
        <v>Ocean phase E-W component (rad)</v>
      </c>
      <c r="E269" t="str">
        <f>VLOOKUP($A269,Lcode_mapping!$D:$T,17,FALSE)</f>
        <v>-</v>
      </c>
      <c r="H269" t="str">
        <f t="shared" si="12"/>
        <v>OCPHS EW</v>
      </c>
      <c r="I269" t="str">
        <f t="shared" si="13"/>
        <v>OceanPhaseEW</v>
      </c>
      <c r="J269" t="str">
        <f t="shared" si="14"/>
        <v>Ocean phase E-W component (rad)</v>
      </c>
      <c r="K269" t="str">
        <f>VLOOKUP($A269,Lcode_mapping!$D:$T,12,FALSE)</f>
        <v>Solve</v>
      </c>
      <c r="L269" t="str">
        <f>VLOOKUP($A269,Lcode_mapping!$D:$T,13,FALSE)</f>
        <v>CalcInfo</v>
      </c>
    </row>
    <row r="270" spans="1:12" x14ac:dyDescent="0.25">
      <c r="A270" s="25" t="s">
        <v>252</v>
      </c>
      <c r="B270" t="str">
        <f>VLOOKUP(A270,Lcode_mapping!D:T,1,FALSE)</f>
        <v>OCPHS NS</v>
      </c>
      <c r="C270" t="str">
        <f>VLOOKUP($A270,Lcode_mapping!$D:$T,15,FALSE)</f>
        <v>OceanPhaseNS</v>
      </c>
      <c r="D270" t="str">
        <f>VLOOKUP($A270,Lcode_mapping!$D:$T,7,FALSE)</f>
        <v>Ocean phase N-S component (rad)</v>
      </c>
      <c r="E270" t="str">
        <f>VLOOKUP($A270,Lcode_mapping!$D:$T,17,FALSE)</f>
        <v>-</v>
      </c>
      <c r="H270" t="str">
        <f t="shared" si="12"/>
        <v>OCPHS NS</v>
      </c>
      <c r="I270" t="str">
        <f t="shared" si="13"/>
        <v>OceanPhaseNS</v>
      </c>
      <c r="J270" t="str">
        <f t="shared" si="14"/>
        <v>Ocean phase N-S component (rad)</v>
      </c>
      <c r="K270" t="str">
        <f>VLOOKUP($A270,Lcode_mapping!$D:$T,12,FALSE)</f>
        <v>Solve</v>
      </c>
      <c r="L270" t="str">
        <f>VLOOKUP($A270,Lcode_mapping!$D:$T,13,FALSE)</f>
        <v>CalcInfo</v>
      </c>
    </row>
    <row r="271" spans="1:12" x14ac:dyDescent="0.25">
      <c r="A271" s="25" t="s">
        <v>248</v>
      </c>
      <c r="B271" t="str">
        <f>VLOOKUP(A271,Lcode_mapping!D:T,1,FALSE)</f>
        <v>OCPHS RD</v>
      </c>
      <c r="C271" t="str">
        <f>VLOOKUP($A271,Lcode_mapping!$D:$T,15,FALSE)</f>
        <v>OceanPhaseUp</v>
      </c>
      <c r="D271" t="str">
        <f>VLOOKUP($A271,Lcode_mapping!$D:$T,7,FALSE)</f>
        <v>Ocean phase radial comp.-radians</v>
      </c>
      <c r="E271" t="str">
        <f>VLOOKUP($A271,Lcode_mapping!$D:$T,17,FALSE)</f>
        <v>-</v>
      </c>
      <c r="H271" t="str">
        <f t="shared" si="12"/>
        <v>OCPHS RD</v>
      </c>
      <c r="I271" t="str">
        <f t="shared" si="13"/>
        <v>OceanPhaseUp</v>
      </c>
      <c r="J271" t="str">
        <f t="shared" si="14"/>
        <v>Ocean phase radial comp.-radians</v>
      </c>
      <c r="K271" t="str">
        <f>VLOOKUP($A271,Lcode_mapping!$D:$T,12,FALSE)</f>
        <v>Solve</v>
      </c>
      <c r="L271" t="str">
        <f>VLOOKUP($A271,Lcode_mapping!$D:$T,13,FALSE)</f>
        <v>CalcInfo</v>
      </c>
    </row>
    <row r="272" spans="1:12" x14ac:dyDescent="0.25">
      <c r="A272" s="25" t="s">
        <v>103</v>
      </c>
      <c r="B272" t="str">
        <f>VLOOKUP(A272,Lcode_mapping!D:T,1,FALSE)</f>
        <v>ORIGFILE</v>
      </c>
      <c r="C272" t="str">
        <f>VLOOKUP($A272,Lcode_mapping!$D:$T,15,FALSE)</f>
        <v>-</v>
      </c>
      <c r="D272" t="str">
        <f>VLOOKUP($A272,Lcode_mapping!$D:$T,7,FALSE)</f>
        <v xml:space="preserve">Original COREL file name. </v>
      </c>
      <c r="E272" t="str">
        <f>VLOOKUP($A272,Lcode_mapping!$D:$T,17,FALSE)</f>
        <v>-</v>
      </c>
      <c r="H272" t="str">
        <f t="shared" si="12"/>
        <v>ORIGFILE</v>
      </c>
      <c r="I272" t="str">
        <f t="shared" si="13"/>
        <v>ORIGFILE</v>
      </c>
      <c r="J272" t="str">
        <f t="shared" si="14"/>
        <v xml:space="preserve">Original COREL file name. </v>
      </c>
      <c r="K272" t="str">
        <f>VLOOKUP($A272,Lcode_mapping!$D:$T,12,FALSE)</f>
        <v>Observables</v>
      </c>
      <c r="L272" t="str">
        <f>VLOOKUP($A272,Lcode_mapping!$D:$T,13,FALSE)</f>
        <v>CorrInfo_bX</v>
      </c>
    </row>
    <row r="273" spans="1:12" x14ac:dyDescent="0.25">
      <c r="A273" s="25" t="s">
        <v>619</v>
      </c>
      <c r="B273" t="str">
        <f>VLOOKUP(A273,Lcode_mapping!D:T,1,FALSE)</f>
        <v>PAN MESS</v>
      </c>
      <c r="C273" t="str">
        <f>VLOOKUP($A273,Lcode_mapping!$D:$T,15,FALSE)</f>
        <v>FeedhornMessage</v>
      </c>
      <c r="D273" t="str">
        <f>VLOOKUP($A273,Lcode_mapping!$D:$T,7,FALSE)</f>
        <v>Feedhorn rot. angle mod. ident.</v>
      </c>
      <c r="E273" t="str">
        <f>VLOOKUP($A273,Lcode_mapping!$D:$T,17,FALSE)</f>
        <v>-</v>
      </c>
      <c r="H273" t="str">
        <f t="shared" si="12"/>
        <v>PAN MESS</v>
      </c>
      <c r="I273" t="str">
        <f t="shared" si="13"/>
        <v>FeedhornMessage</v>
      </c>
      <c r="J273" t="str">
        <f t="shared" si="14"/>
        <v>Feedhorn rot. angle mod. ident.</v>
      </c>
      <c r="K273" t="str">
        <f>VLOOKUP($A273,Lcode_mapping!$D:$T,12,FALSE)</f>
        <v>Solve</v>
      </c>
      <c r="L273" t="str">
        <f>VLOOKUP($A273,Lcode_mapping!$D:$T,13,FALSE)</f>
        <v>CalcInfo</v>
      </c>
    </row>
    <row r="274" spans="1:12" x14ac:dyDescent="0.25">
      <c r="A274" s="25" t="s">
        <v>811</v>
      </c>
      <c r="B274" t="str">
        <f>VLOOKUP(A274,Lcode_mapping!D:T,1,FALSE)</f>
        <v>PARANGLE</v>
      </c>
      <c r="C274" t="str">
        <f>VLOOKUP($A274,Lcode_mapping!$D:$T,15,FALSE)</f>
        <v>FeedRotation</v>
      </c>
      <c r="D274" t="str">
        <f>VLOOKUP($A274,Lcode_mapping!$D:$T,7,FALSE)</f>
        <v>Feedhorn rot. angle  ref and rem</v>
      </c>
      <c r="E274" t="str">
        <f>VLOOKUP($A274,Lcode_mapping!$D:$T,17,FALSE)</f>
        <v>Feedhorn rotation angle.</v>
      </c>
      <c r="H274" t="str">
        <f t="shared" si="12"/>
        <v>PARANGLE</v>
      </c>
      <c r="I274" t="str">
        <f t="shared" si="13"/>
        <v>FeedRotation</v>
      </c>
      <c r="J274" t="str">
        <f t="shared" si="14"/>
        <v>Feedhorn rotation angle.</v>
      </c>
      <c r="K274" t="str">
        <f>VLOOKUP($A274,Lcode_mapping!$D:$T,12,FALSE)</f>
        <v>-</v>
      </c>
      <c r="L274" t="str">
        <f>VLOOKUP($A274,Lcode_mapping!$D:$T,13,FALSE)</f>
        <v>FeedRotation</v>
      </c>
    </row>
    <row r="275" spans="1:12" x14ac:dyDescent="0.25">
      <c r="A275" s="25" t="s">
        <v>679</v>
      </c>
      <c r="B275" t="str">
        <f>VLOOKUP(A275,Lcode_mapping!D:T,1,FALSE)</f>
        <v>PEP MESS</v>
      </c>
      <c r="C275" t="str">
        <f>VLOOKUP($A275,Lcode_mapping!$D:$T,15,FALSE)</f>
        <v>PepMessage</v>
      </c>
      <c r="D275" t="str">
        <f>VLOOKUP($A275,Lcode_mapping!$D:$T,7,FALSE)</f>
        <v>PEP Utility Message Definition</v>
      </c>
      <c r="E275" t="str">
        <f>VLOOKUP($A275,Lcode_mapping!$D:$T,17,FALSE)</f>
        <v>-</v>
      </c>
      <c r="H275" t="str">
        <f t="shared" si="12"/>
        <v>PEP MESS</v>
      </c>
      <c r="I275" t="str">
        <f t="shared" si="13"/>
        <v>PepMessage</v>
      </c>
      <c r="J275" t="str">
        <f t="shared" si="14"/>
        <v>PEP Utility Message Definition</v>
      </c>
      <c r="K275" t="str">
        <f>VLOOKUP($A275,Lcode_mapping!$D:$T,12,FALSE)</f>
        <v>Solve</v>
      </c>
      <c r="L275" t="str">
        <f>VLOOKUP($A275,Lcode_mapping!$D:$T,13,FALSE)</f>
        <v>CalcInfo</v>
      </c>
    </row>
    <row r="276" spans="1:12" x14ac:dyDescent="0.25">
      <c r="A276" s="25" t="s">
        <v>757</v>
      </c>
      <c r="B276" t="str">
        <f>VLOOKUP(A276,Lcode_mapping!D:T,1,FALSE)</f>
        <v>PHASECAL</v>
      </c>
      <c r="C276" t="str">
        <f>VLOOKUP($A276,Lcode_mapping!$D:$T,15,FALSE)</f>
        <v>-</v>
      </c>
      <c r="D276" t="str">
        <f>VLOOKUP($A276,Lcode_mapping!$D:$T,7,FALSE)</f>
        <v>PC rate by sta ( us per s).</v>
      </c>
      <c r="E276" t="str">
        <f>VLOOKUP($A276,Lcode_mapping!$D:$T,17,FALSE)</f>
        <v>-</v>
      </c>
      <c r="H276" t="str">
        <f t="shared" si="12"/>
        <v>PHASECAL</v>
      </c>
      <c r="I276" t="str">
        <f t="shared" si="13"/>
        <v>PHASECAL</v>
      </c>
      <c r="J276" t="str">
        <f t="shared" si="14"/>
        <v>PC rate by sta ( us per s).</v>
      </c>
      <c r="K276" t="str">
        <f>VLOOKUP($A276,Lcode_mapping!$D:$T,12,FALSE)</f>
        <v>Observables</v>
      </c>
      <c r="L276" t="str">
        <f>VLOOKUP($A276,Lcode_mapping!$D:$T,13,FALSE)</f>
        <v>CorrInfo_bX</v>
      </c>
    </row>
    <row r="277" spans="1:12" x14ac:dyDescent="0.25">
      <c r="A277" s="25" t="s">
        <v>952</v>
      </c>
      <c r="B277" t="str">
        <f>VLOOKUP(A277,Lcode_mapping!D:T,1,FALSE)</f>
        <v>PHCALOFF</v>
      </c>
      <c r="C277" t="str">
        <f>VLOOKUP($A277,Lcode_mapping!$D:$T,15,FALSE)</f>
        <v>PhaseCalOffset</v>
      </c>
      <c r="D277" t="str">
        <f>VLOOKUP($A277,Lcode_mapping!$D:$T,7,FALSE)</f>
        <v>Phase cal offset (-18000/18000).</v>
      </c>
      <c r="E277" t="str">
        <f>VLOOKUP($A277,Lcode_mapping!$D:$T,17,FALSE)</f>
        <v>-</v>
      </c>
      <c r="H277" t="str">
        <f t="shared" si="12"/>
        <v>PHCALOFF</v>
      </c>
      <c r="I277" t="str">
        <f t="shared" si="13"/>
        <v>PhaseCalOffset</v>
      </c>
      <c r="J277" t="str">
        <f t="shared" si="14"/>
        <v>Phase cal offset (-18000/18000).</v>
      </c>
      <c r="K277" t="str">
        <f>VLOOKUP($A277,Lcode_mapping!$D:$T,12,FALSE)</f>
        <v>Observables</v>
      </c>
      <c r="L277" t="str">
        <f>VLOOKUP($A277,Lcode_mapping!$D:$T,13,FALSE)</f>
        <v>CorrInfo_bX</v>
      </c>
    </row>
    <row r="278" spans="1:12" x14ac:dyDescent="0.25">
      <c r="A278" s="25" t="s">
        <v>954</v>
      </c>
      <c r="B278" t="str">
        <f>VLOOKUP(A278,Lcode_mapping!D:T,1,FALSE)</f>
        <v>PHCALSTS</v>
      </c>
      <c r="C278" t="str">
        <f>VLOOKUP($A278,Lcode_mapping!$D:$T,15,FALSE)</f>
        <v>-</v>
      </c>
      <c r="D278" t="str">
        <f>VLOOKUP($A278,Lcode_mapping!$D:$T,7,FALSE)</f>
        <v>Phase cal status: 0/1/2 .</v>
      </c>
      <c r="E278" t="str">
        <f>VLOOKUP($A278,Lcode_mapping!$D:$T,17,FALSE)</f>
        <v>-</v>
      </c>
      <c r="H278" t="str">
        <f t="shared" si="12"/>
        <v>PHCALSTS</v>
      </c>
      <c r="I278" t="str">
        <f t="shared" si="13"/>
        <v>PHCALSTS</v>
      </c>
      <c r="J278" t="str">
        <f t="shared" si="14"/>
        <v>Phase cal status: 0/1/2 .</v>
      </c>
      <c r="K278" t="str">
        <f>VLOOKUP($A278,Lcode_mapping!$D:$T,12,FALSE)</f>
        <v>OBSOLETE</v>
      </c>
      <c r="L278" t="str">
        <f>VLOOKUP($A278,Lcode_mapping!$D:$T,13,FALSE)</f>
        <v>-</v>
      </c>
    </row>
    <row r="279" spans="1:12" x14ac:dyDescent="0.25">
      <c r="A279" s="25" t="s">
        <v>890</v>
      </c>
      <c r="B279" t="str">
        <f>VLOOKUP(A279,Lcode_mapping!D:T,1,FALSE)</f>
        <v>PHIONFRQ</v>
      </c>
      <c r="C279" t="str">
        <f>VLOOKUP($A279,Lcode_mapping!$D:$T,15,FALSE)</f>
        <v>FreqPhaseIono</v>
      </c>
      <c r="D279" t="str">
        <f>VLOOKUP($A279,Lcode_mapping!$D:$T,7,FALSE)</f>
        <v>Effective ion.frq for ph.del MHz</v>
      </c>
      <c r="E279" t="str">
        <f>VLOOKUP($A279,Lcode_mapping!$D:$T,17,FALSE)</f>
        <v>Effective Phase Delay Ionospheric Frequency</v>
      </c>
      <c r="H279" t="str">
        <f t="shared" si="12"/>
        <v>PHIONFRQ</v>
      </c>
      <c r="I279" t="str">
        <f t="shared" si="13"/>
        <v>FreqPhaseIono</v>
      </c>
      <c r="J279" t="str">
        <f t="shared" si="14"/>
        <v>Effective Phase Delay Ionospheric Frequency</v>
      </c>
      <c r="K279" t="str">
        <f>VLOOKUP($A279,Lcode_mapping!$D:$T,12,FALSE)</f>
        <v>ObsDerived</v>
      </c>
      <c r="L279" t="str">
        <f>VLOOKUP($A279,Lcode_mapping!$D:$T,13,FALSE)</f>
        <v>EffFreq_bX</v>
      </c>
    </row>
    <row r="280" spans="1:12" x14ac:dyDescent="0.25">
      <c r="A280" s="25" t="s">
        <v>1229</v>
      </c>
      <c r="B280" t="str">
        <f>VLOOKUP(A280,Lcode_mapping!D:T,1,FALSE)</f>
        <v>PHSUFLAG</v>
      </c>
      <c r="C280" t="str">
        <f>VLOOKUP($A280,Lcode_mapping!$D:$T,15,FALSE)</f>
        <v>PhaseFlag</v>
      </c>
      <c r="D280" t="str">
        <f>VLOOKUP($A280,Lcode_mapping!$D:$T,7,FALSE)</f>
        <v>Phase unweight flag</v>
      </c>
      <c r="E280" t="str">
        <f>VLOOKUP($A280,Lcode_mapping!$D:$T,17,FALSE)</f>
        <v>-</v>
      </c>
      <c r="H280" t="str">
        <f t="shared" ref="H280:H343" si="15">A280</f>
        <v>PHSUFLAG</v>
      </c>
      <c r="I280" t="str">
        <f t="shared" ref="I280:I343" si="16">IF(C280="-",B280,C280)</f>
        <v>PhaseFlag</v>
      </c>
      <c r="J280" t="str">
        <f t="shared" ref="J280:J343" si="17">IF(E280="-",D280,E280)</f>
        <v>Phase unweight flag</v>
      </c>
      <c r="K280" t="str">
        <f>VLOOKUP($A280,Lcode_mapping!$D:$T,12,FALSE)</f>
        <v>ObsEdit</v>
      </c>
      <c r="L280" t="str">
        <f>VLOOKUP($A280,Lcode_mapping!$D:$T,13,FALSE)</f>
        <v>Edit</v>
      </c>
    </row>
    <row r="281" spans="1:12" x14ac:dyDescent="0.25">
      <c r="A281" s="25" t="s">
        <v>455</v>
      </c>
      <c r="B281" t="str">
        <f>VLOOKUP(A281,Lcode_mapping!D:T,1,FALSE)</f>
        <v>PI</v>
      </c>
      <c r="C281" t="str">
        <f>VLOOKUP($A281,Lcode_mapping!$D:$T,15,FALSE)</f>
        <v>-</v>
      </c>
      <c r="D281" t="str">
        <f>VLOOKUP($A281,Lcode_mapping!$D:$T,7,FALSE)</f>
        <v>Pi - to 17 digits accuracy.</v>
      </c>
      <c r="E281" t="str">
        <f>VLOOKUP($A281,Lcode_mapping!$D:$T,17,FALSE)</f>
        <v>-</v>
      </c>
      <c r="H281" t="str">
        <f t="shared" si="15"/>
        <v>PI</v>
      </c>
      <c r="I281" t="str">
        <f t="shared" si="16"/>
        <v>PI</v>
      </c>
      <c r="J281" t="str">
        <f t="shared" si="17"/>
        <v>Pi - to 17 digits accuracy.</v>
      </c>
      <c r="K281" t="str">
        <f>VLOOKUP($A281,Lcode_mapping!$D:$T,12,FALSE)</f>
        <v>OBSOLETE</v>
      </c>
      <c r="L281" t="str">
        <f>VLOOKUP($A281,Lcode_mapping!$D:$T,13,FALSE)</f>
        <v>-</v>
      </c>
    </row>
    <row r="282" spans="1:12" x14ac:dyDescent="0.25">
      <c r="A282" s="25" t="s">
        <v>601</v>
      </c>
      <c r="B282" t="str">
        <f>VLOOKUP(A282,Lcode_mapping!D:T,1,FALSE)</f>
        <v>PI NAME</v>
      </c>
      <c r="C282" t="str">
        <f>VLOOKUP($A282,Lcode_mapping!$D:$T,15,FALSE)</f>
        <v>PrincipalInvestigator</v>
      </c>
      <c r="D282" t="str">
        <f>VLOOKUP($A282,Lcode_mapping!$D:$T,7,FALSE)</f>
        <v>Agency/contact_person/PI name.</v>
      </c>
      <c r="E282" t="str">
        <f>VLOOKUP($A282,Lcode_mapping!$D:$T,17,FALSE)</f>
        <v>-</v>
      </c>
      <c r="H282" t="str">
        <f t="shared" si="15"/>
        <v>PI NAME</v>
      </c>
      <c r="I282" t="str">
        <f t="shared" si="16"/>
        <v>PrincipalInvestigator</v>
      </c>
      <c r="J282" t="str">
        <f t="shared" si="17"/>
        <v>Agency/contact_person/PI name.</v>
      </c>
      <c r="K282" t="str">
        <f>VLOOKUP($A282,Lcode_mapping!$D:$T,12,FALSE)</f>
        <v>-</v>
      </c>
      <c r="L282" t="str">
        <f>VLOOKUP($A282,Lcode_mapping!$D:$T,13,FALSE)</f>
        <v>Head</v>
      </c>
    </row>
    <row r="283" spans="1:12" x14ac:dyDescent="0.25">
      <c r="A283" s="25" t="s">
        <v>689</v>
      </c>
      <c r="B283" t="str">
        <f>VLOOKUP(A283,Lcode_mapping!D:T,1,FALSE)</f>
        <v>PLX CFLG</v>
      </c>
      <c r="C283" t="str">
        <f>VLOOKUP($A283,Lcode_mapping!$D:$T,15,FALSE)</f>
        <v>ParallaxControl</v>
      </c>
      <c r="D283" t="str">
        <f>VLOOKUP($A283,Lcode_mapping!$D:$T,7,FALSE)</f>
        <v>Parallax flow control mess def</v>
      </c>
      <c r="E283" t="str">
        <f>VLOOKUP($A283,Lcode_mapping!$D:$T,17,FALSE)</f>
        <v>-</v>
      </c>
      <c r="H283" t="str">
        <f t="shared" si="15"/>
        <v>PLX CFLG</v>
      </c>
      <c r="I283" t="str">
        <f t="shared" si="16"/>
        <v>ParallaxControl</v>
      </c>
      <c r="J283" t="str">
        <f t="shared" si="17"/>
        <v>Parallax flow control mess def</v>
      </c>
      <c r="K283" t="str">
        <f>VLOOKUP($A283,Lcode_mapping!$D:$T,12,FALSE)</f>
        <v>Solve</v>
      </c>
      <c r="L283" t="str">
        <f>VLOOKUP($A283,Lcode_mapping!$D:$T,13,FALSE)</f>
        <v>CalcInfo</v>
      </c>
    </row>
    <row r="284" spans="1:12" x14ac:dyDescent="0.25">
      <c r="A284" s="25" t="s">
        <v>687</v>
      </c>
      <c r="B284" t="str">
        <f>VLOOKUP(A284,Lcode_mapping!D:T,1,FALSE)</f>
        <v>PLX MESS</v>
      </c>
      <c r="C284" t="str">
        <f>VLOOKUP($A284,Lcode_mapping!$D:$T,15,FALSE)</f>
        <v>ParallaxMessage</v>
      </c>
      <c r="D284" t="str">
        <f>VLOOKUP($A284,Lcode_mapping!$D:$T,7,FALSE)</f>
        <v>Parallax message definition</v>
      </c>
      <c r="E284" t="str">
        <f>VLOOKUP($A284,Lcode_mapping!$D:$T,17,FALSE)</f>
        <v>-</v>
      </c>
      <c r="H284" t="str">
        <f t="shared" si="15"/>
        <v>PLX MESS</v>
      </c>
      <c r="I284" t="str">
        <f t="shared" si="16"/>
        <v>ParallaxMessage</v>
      </c>
      <c r="J284" t="str">
        <f t="shared" si="17"/>
        <v>Parallax message definition</v>
      </c>
      <c r="K284" t="str">
        <f>VLOOKUP($A284,Lcode_mapping!$D:$T,12,FALSE)</f>
        <v>Solve</v>
      </c>
      <c r="L284" t="str">
        <f>VLOOKUP($A284,Lcode_mapping!$D:$T,13,FALSE)</f>
        <v>CalcInfo</v>
      </c>
    </row>
    <row r="285" spans="1:12" x14ac:dyDescent="0.25">
      <c r="A285" s="25" t="s">
        <v>874</v>
      </c>
      <c r="B285" t="str">
        <f>VLOOKUP(A285,Lcode_mapping!D:T,1,FALSE)</f>
        <v>PLX PART</v>
      </c>
      <c r="C285" t="str">
        <f>VLOOKUP($A285,Lcode_mapping!$D:$T,15,FALSE)</f>
        <v>Part-Parallax</v>
      </c>
      <c r="D285" t="str">
        <f>VLOOKUP($A285,Lcode_mapping!$D:$T,7,FALSE)</f>
        <v>Parallax partial deriv. def.</v>
      </c>
      <c r="E285" t="str">
        <f>VLOOKUP($A285,Lcode_mapping!$D:$T,17,FALSE)</f>
        <v>-</v>
      </c>
      <c r="H285" t="str">
        <f t="shared" si="15"/>
        <v>PLX PART</v>
      </c>
      <c r="I285" t="str">
        <f t="shared" si="16"/>
        <v>Part-Parallax</v>
      </c>
      <c r="J285" t="str">
        <f t="shared" si="17"/>
        <v>Parallax partial deriv. def.</v>
      </c>
      <c r="K285" t="str">
        <f>VLOOKUP($A285,Lcode_mapping!$D:$T,12,FALSE)</f>
        <v>ObsPart</v>
      </c>
      <c r="L285" t="str">
        <f>VLOOKUP($A285,Lcode_mapping!$D:$T,13,FALSE)</f>
        <v>Part-Parallax</v>
      </c>
    </row>
    <row r="286" spans="1:12" x14ac:dyDescent="0.25">
      <c r="A286" s="25" t="s">
        <v>876</v>
      </c>
      <c r="B286" t="str">
        <f>VLOOKUP(A286,Lcode_mapping!D:T,1,FALSE)</f>
        <v>PLX1PSEC</v>
      </c>
      <c r="C286" t="str">
        <f>VLOOKUP($A286,Lcode_mapping!$D:$T,15,FALSE)</f>
        <v>Cal-Parallax</v>
      </c>
      <c r="D286" t="str">
        <f>VLOOKUP($A286,Lcode_mapping!$D:$T,7,FALSE)</f>
        <v>Parallax partial/contr  1 parsec</v>
      </c>
      <c r="E286" t="str">
        <f>VLOOKUP($A286,Lcode_mapping!$D:$T,17,FALSE)</f>
        <v>-</v>
      </c>
      <c r="H286" t="str">
        <f t="shared" si="15"/>
        <v>PLX1PSEC</v>
      </c>
      <c r="I286" t="str">
        <f t="shared" si="16"/>
        <v>Cal-Parallax</v>
      </c>
      <c r="J286" t="str">
        <f t="shared" si="17"/>
        <v>Parallax partial/contr  1 parsec</v>
      </c>
      <c r="K286" t="str">
        <f>VLOOKUP($A286,Lcode_mapping!$D:$T,12,FALSE)</f>
        <v>ObsCalTheo</v>
      </c>
      <c r="L286" t="str">
        <f>VLOOKUP($A286,Lcode_mapping!$D:$T,13,FALSE)</f>
        <v>Cal-Parallax</v>
      </c>
    </row>
    <row r="287" spans="1:12" x14ac:dyDescent="0.25">
      <c r="A287" s="25" t="s">
        <v>851</v>
      </c>
      <c r="B287" t="str">
        <f>VLOOKUP(A287,Lcode_mapping!D:T,1,FALSE)</f>
        <v>POLAR XY</v>
      </c>
      <c r="C287" t="str">
        <f>VLOOKUP($A287,Lcode_mapping!$D:$T,15,FALSE)</f>
        <v>PolarMotion</v>
      </c>
      <c r="D287" t="str">
        <f>VLOOKUP($A287,Lcode_mapping!$D:$T,7,FALSE)</f>
        <v>Polar motion X &amp; Y for obs (rad)</v>
      </c>
      <c r="E287" t="str">
        <f>VLOOKUP($A287,Lcode_mapping!$D:$T,17,FALSE)</f>
        <v>-</v>
      </c>
      <c r="H287" t="str">
        <f t="shared" si="15"/>
        <v>POLAR XY</v>
      </c>
      <c r="I287" t="str">
        <f t="shared" si="16"/>
        <v>PolarMotion</v>
      </c>
      <c r="J287" t="str">
        <f t="shared" si="17"/>
        <v>Polar motion X &amp; Y for obs (rad)</v>
      </c>
      <c r="K287" t="str">
        <f>VLOOKUP($A287,Lcode_mapping!$D:$T,12,FALSE)</f>
        <v>Scan</v>
      </c>
      <c r="L287" t="str">
        <f>VLOOKUP($A287,Lcode_mapping!$D:$T,13,FALSE)</f>
        <v>ERPApriori</v>
      </c>
    </row>
    <row r="288" spans="1:12" x14ac:dyDescent="0.25">
      <c r="A288" s="25" t="s">
        <v>976</v>
      </c>
      <c r="B288" t="str">
        <f>VLOOKUP(A288,Lcode_mapping!D:T,1,FALSE)</f>
        <v>POLARIZ</v>
      </c>
      <c r="C288" t="str">
        <f>VLOOKUP($A288,Lcode_mapping!$D:$T,15,FALSE)</f>
        <v>Polarization</v>
      </c>
      <c r="D288" t="str">
        <f>VLOOKUP($A288,Lcode_mapping!$D:$T,7,FALSE)</f>
        <v>Polarization per sta/chan R/L.</v>
      </c>
      <c r="E288" t="str">
        <f>VLOOKUP($A288,Lcode_mapping!$D:$T,17,FALSE)</f>
        <v>-</v>
      </c>
      <c r="H288" t="str">
        <f t="shared" si="15"/>
        <v>POLARIZ</v>
      </c>
      <c r="I288" t="str">
        <f t="shared" si="16"/>
        <v>Polarization</v>
      </c>
      <c r="J288" t="str">
        <f t="shared" si="17"/>
        <v>Polarization per sta/chan R/L.</v>
      </c>
      <c r="K288" t="str">
        <f>VLOOKUP($A288,Lcode_mapping!$D:$T,12,FALSE)</f>
        <v>Observables</v>
      </c>
      <c r="L288" t="str">
        <f>VLOOKUP($A288,Lcode_mapping!$D:$T,13,FALSE)</f>
        <v>CorrInfo_bX</v>
      </c>
    </row>
    <row r="289" spans="1:12" x14ac:dyDescent="0.25">
      <c r="A289" s="25" t="s">
        <v>639</v>
      </c>
      <c r="B289" t="str">
        <f>VLOOKUP(A289,Lcode_mapping!D:T,1,FALSE)</f>
        <v>PRE CFLG</v>
      </c>
      <c r="C289" t="str">
        <f>VLOOKUP($A289,Lcode_mapping!$D:$T,15,FALSE)</f>
        <v>PrecessionControl</v>
      </c>
      <c r="D289" t="str">
        <f>VLOOKUP($A289,Lcode_mapping!$D:$T,7,FALSE)</f>
        <v>Precession flow contril mess def</v>
      </c>
      <c r="E289" t="str">
        <f>VLOOKUP($A289,Lcode_mapping!$D:$T,17,FALSE)</f>
        <v>-</v>
      </c>
      <c r="H289" t="str">
        <f t="shared" si="15"/>
        <v>PRE CFLG</v>
      </c>
      <c r="I289" t="str">
        <f t="shared" si="16"/>
        <v>PrecessionControl</v>
      </c>
      <c r="J289" t="str">
        <f t="shared" si="17"/>
        <v>Precession flow contril mess def</v>
      </c>
      <c r="K289" t="str">
        <f>VLOOKUP($A289,Lcode_mapping!$D:$T,12,FALSE)</f>
        <v>Solve</v>
      </c>
      <c r="L289" t="str">
        <f>VLOOKUP($A289,Lcode_mapping!$D:$T,13,FALSE)</f>
        <v>CalcInfo</v>
      </c>
    </row>
    <row r="290" spans="1:12" x14ac:dyDescent="0.25">
      <c r="A290" s="25" t="s">
        <v>451</v>
      </c>
      <c r="B290" t="str">
        <f>VLOOKUP(A290,Lcode_mapping!D:T,1,FALSE)</f>
        <v>PRE DATA</v>
      </c>
      <c r="C290" t="str">
        <f>VLOOKUP($A290,Lcode_mapping!$D:$T,15,FALSE)</f>
        <v>PrecessionData</v>
      </c>
      <c r="D290" t="str">
        <f>VLOOKUP($A290,Lcode_mapping!$D:$T,7,FALSE)</f>
        <v>Precession constant (asec/cent).</v>
      </c>
      <c r="E290" t="str">
        <f>VLOOKUP($A290,Lcode_mapping!$D:$T,17,FALSE)</f>
        <v>-</v>
      </c>
      <c r="H290" t="str">
        <f t="shared" si="15"/>
        <v>PRE DATA</v>
      </c>
      <c r="I290" t="str">
        <f t="shared" si="16"/>
        <v>PrecessionData</v>
      </c>
      <c r="J290" t="str">
        <f t="shared" si="17"/>
        <v>Precession constant (asec/cent).</v>
      </c>
      <c r="K290" t="str">
        <f>VLOOKUP($A290,Lcode_mapping!$D:$T,12,FALSE)</f>
        <v>Solve</v>
      </c>
      <c r="L290" t="str">
        <f>VLOOKUP($A290,Lcode_mapping!$D:$T,13,FALSE)</f>
        <v>CalcInfo</v>
      </c>
    </row>
    <row r="291" spans="1:12" x14ac:dyDescent="0.25">
      <c r="A291" s="25" t="s">
        <v>637</v>
      </c>
      <c r="B291" t="str">
        <f>VLOOKUP(A291,Lcode_mapping!D:T,1,FALSE)</f>
        <v>PRE MESS</v>
      </c>
      <c r="C291" t="str">
        <f>VLOOKUP($A291,Lcode_mapping!$D:$T,15,FALSE)</f>
        <v>PrecessionMessage</v>
      </c>
      <c r="D291" t="str">
        <f>VLOOKUP($A291,Lcode_mapping!$D:$T,7,FALSE)</f>
        <v>Precession message definition</v>
      </c>
      <c r="E291" t="str">
        <f>VLOOKUP($A291,Lcode_mapping!$D:$T,17,FALSE)</f>
        <v>-</v>
      </c>
      <c r="H291" t="str">
        <f t="shared" si="15"/>
        <v>PRE MESS</v>
      </c>
      <c r="I291" t="str">
        <f t="shared" si="16"/>
        <v>PrecessionMessage</v>
      </c>
      <c r="J291" t="str">
        <f t="shared" si="17"/>
        <v>Precession message definition</v>
      </c>
      <c r="K291" t="str">
        <f>VLOOKUP($A291,Lcode_mapping!$D:$T,12,FALSE)</f>
        <v>Solve</v>
      </c>
      <c r="L291" t="str">
        <f>VLOOKUP($A291,Lcode_mapping!$D:$T,13,FALSE)</f>
        <v>CalcInfo</v>
      </c>
    </row>
    <row r="292" spans="1:12" x14ac:dyDescent="0.25">
      <c r="A292" s="25" t="s">
        <v>835</v>
      </c>
      <c r="B292" t="str">
        <f>VLOOKUP(A292,Lcode_mapping!D:T,1,FALSE)</f>
        <v>PRE PART</v>
      </c>
      <c r="C292" t="str">
        <f>VLOOKUP($A292,Lcode_mapping!$D:$T,15,FALSE)</f>
        <v>Part-Precession</v>
      </c>
      <c r="D292" t="str">
        <f>VLOOKUP($A292,Lcode_mapping!$D:$T,7,FALSE)</f>
        <v>Precession partial deriv. def.</v>
      </c>
      <c r="E292" t="str">
        <f>VLOOKUP($A292,Lcode_mapping!$D:$T,17,FALSE)</f>
        <v>-</v>
      </c>
      <c r="H292" t="str">
        <f t="shared" si="15"/>
        <v>PRE PART</v>
      </c>
      <c r="I292" t="str">
        <f t="shared" si="16"/>
        <v>Part-Precession</v>
      </c>
      <c r="J292" t="str">
        <f t="shared" si="17"/>
        <v>Precession partial deriv. def.</v>
      </c>
      <c r="K292" t="str">
        <f>VLOOKUP($A292,Lcode_mapping!$D:$T,12,FALSE)</f>
        <v>ObsPart</v>
      </c>
      <c r="L292" t="str">
        <f>VLOOKUP($A292,Lcode_mapping!$D:$T,13,FALSE)</f>
        <v>Part-Precession</v>
      </c>
    </row>
    <row r="293" spans="1:12" x14ac:dyDescent="0.25">
      <c r="A293" s="25" t="s">
        <v>62</v>
      </c>
      <c r="B293" t="str">
        <f>VLOOKUP(A293,Lcode_mapping!D:T,1,FALSE)</f>
        <v>PROC UTC</v>
      </c>
      <c r="C293" t="str">
        <f>VLOOKUP($A293,Lcode_mapping!$D:$T,15,FALSE)</f>
        <v>UTCProc</v>
      </c>
      <c r="D293" t="str">
        <f>VLOOKUP($A293,Lcode_mapping!$D:$T,7,FALSE)</f>
        <v xml:space="preserve">YDDD of COREL by sta channel. </v>
      </c>
      <c r="E293" t="str">
        <f>VLOOKUP($A293,Lcode_mapping!$D:$T,17,FALSE)</f>
        <v>-</v>
      </c>
      <c r="H293" t="str">
        <f t="shared" si="15"/>
        <v>PROC UTC</v>
      </c>
      <c r="I293" t="str">
        <f t="shared" si="16"/>
        <v>UTCProc</v>
      </c>
      <c r="J293" t="str">
        <f t="shared" si="17"/>
        <v xml:space="preserve">YDDD of COREL by sta channel. </v>
      </c>
      <c r="K293" t="str">
        <f>VLOOKUP($A293,Lcode_mapping!$D:$T,12,FALSE)</f>
        <v>Observables</v>
      </c>
      <c r="L293" t="str">
        <f>VLOOKUP($A293,Lcode_mapping!$D:$T,13,FALSE)</f>
        <v>CorrInfo_bX</v>
      </c>
    </row>
    <row r="294" spans="1:12" x14ac:dyDescent="0.25">
      <c r="A294" s="25" t="s">
        <v>582</v>
      </c>
      <c r="B294" t="str">
        <f>VLOOKUP(A294,Lcode_mapping!D:T,1,FALSE)</f>
        <v>PRT FLAG</v>
      </c>
      <c r="C294" t="str">
        <f>VLOOKUP($A294,Lcode_mapping!$D:$T,15,FALSE)</f>
        <v>-</v>
      </c>
      <c r="D294" t="str">
        <f>VLOOKUP($A294,Lcode_mapping!$D:$T,7,FALSE)</f>
        <v>Atmosphere partial to be applied</v>
      </c>
      <c r="E294" t="str">
        <f>VLOOKUP($A294,Lcode_mapping!$D:$T,17,FALSE)</f>
        <v>-</v>
      </c>
      <c r="H294" t="str">
        <f t="shared" si="15"/>
        <v>PRT FLAG</v>
      </c>
      <c r="I294" t="str">
        <f t="shared" si="16"/>
        <v>PRT FLAG</v>
      </c>
      <c r="J294" t="str">
        <f t="shared" si="17"/>
        <v>Atmosphere partial to be applied</v>
      </c>
      <c r="K294" t="str">
        <f>VLOOKUP($A294,Lcode_mapping!$D:$T,12,FALSE)</f>
        <v>OBSOLETE</v>
      </c>
      <c r="L294" t="str">
        <f>VLOOKUP($A294,Lcode_mapping!$D:$T,13,FALSE)</f>
        <v>-</v>
      </c>
    </row>
    <row r="295" spans="1:12" x14ac:dyDescent="0.25">
      <c r="A295" s="25" t="s">
        <v>627</v>
      </c>
      <c r="B295" t="str">
        <f>VLOOKUP(A295,Lcode_mapping!D:T,1,FALSE)</f>
        <v>PTD CFLG</v>
      </c>
      <c r="C295" t="str">
        <f>VLOOKUP($A295,Lcode_mapping!$D:$T,15,FALSE)</f>
        <v>PoleTideControl</v>
      </c>
      <c r="D295" t="str">
        <f>VLOOKUP($A295,Lcode_mapping!$D:$T,7,FALSE)</f>
        <v>Pole tide flow control mess def</v>
      </c>
      <c r="E295" t="str">
        <f>VLOOKUP($A295,Lcode_mapping!$D:$T,17,FALSE)</f>
        <v>-</v>
      </c>
      <c r="H295" t="str">
        <f t="shared" si="15"/>
        <v>PTD CFLG</v>
      </c>
      <c r="I295" t="str">
        <f t="shared" si="16"/>
        <v>PoleTideControl</v>
      </c>
      <c r="J295" t="str">
        <f t="shared" si="17"/>
        <v>Pole tide flow control mess def</v>
      </c>
      <c r="K295" t="str">
        <f>VLOOKUP($A295,Lcode_mapping!$D:$T,12,FALSE)</f>
        <v>Solve</v>
      </c>
      <c r="L295" t="str">
        <f>VLOOKUP($A295,Lcode_mapping!$D:$T,13,FALSE)</f>
        <v>CalcInfo</v>
      </c>
    </row>
    <row r="296" spans="1:12" x14ac:dyDescent="0.25">
      <c r="A296" s="25" t="s">
        <v>817</v>
      </c>
      <c r="B296" t="str">
        <f>VLOOKUP(A296,Lcode_mapping!D:T,1,FALSE)</f>
        <v>PTD CONT</v>
      </c>
      <c r="C296" t="str">
        <f>VLOOKUP($A296,Lcode_mapping!$D:$T,15,FALSE)</f>
        <v>Cal-PoleTide</v>
      </c>
      <c r="D296" t="str">
        <f>VLOOKUP($A296,Lcode_mapping!$D:$T,7,FALSE)</f>
        <v>Pole tide contributions def.</v>
      </c>
      <c r="E296" t="str">
        <f>VLOOKUP($A296,Lcode_mapping!$D:$T,17,FALSE)</f>
        <v>-</v>
      </c>
      <c r="H296" t="str">
        <f t="shared" si="15"/>
        <v>PTD CONT</v>
      </c>
      <c r="I296" t="str">
        <f t="shared" si="16"/>
        <v>Cal-PoleTide</v>
      </c>
      <c r="J296" t="str">
        <f t="shared" si="17"/>
        <v>Pole tide contributions def.</v>
      </c>
      <c r="K296" t="str">
        <f>VLOOKUP($A296,Lcode_mapping!$D:$T,12,FALSE)</f>
        <v>ObsCalTheo</v>
      </c>
      <c r="L296" t="str">
        <f>VLOOKUP($A296,Lcode_mapping!$D:$T,13,FALSE)</f>
        <v>Cal-PoleTide_kIERS2003</v>
      </c>
    </row>
    <row r="297" spans="1:12" x14ac:dyDescent="0.25">
      <c r="A297" s="25" t="s">
        <v>625</v>
      </c>
      <c r="B297" t="str">
        <f>VLOOKUP(A297,Lcode_mapping!D:T,1,FALSE)</f>
        <v>PTD MESS</v>
      </c>
      <c r="C297" t="str">
        <f>VLOOKUP($A297,Lcode_mapping!$D:$T,15,FALSE)</f>
        <v>PoleTideMessage</v>
      </c>
      <c r="D297" t="str">
        <f>VLOOKUP($A297,Lcode_mapping!$D:$T,7,FALSE)</f>
        <v>Pole tide message definition</v>
      </c>
      <c r="E297" t="str">
        <f>VLOOKUP($A297,Lcode_mapping!$D:$T,17,FALSE)</f>
        <v>-</v>
      </c>
      <c r="H297" t="str">
        <f t="shared" si="15"/>
        <v>PTD MESS</v>
      </c>
      <c r="I297" t="str">
        <f t="shared" si="16"/>
        <v>PoleTideMessage</v>
      </c>
      <c r="J297" t="str">
        <f t="shared" si="17"/>
        <v>Pole tide message definition</v>
      </c>
      <c r="K297" t="str">
        <f>VLOOKUP($A297,Lcode_mapping!$D:$T,12,FALSE)</f>
        <v>Solve</v>
      </c>
      <c r="L297" t="str">
        <f>VLOOKUP($A297,Lcode_mapping!$D:$T,13,FALSE)</f>
        <v>CalcInfo</v>
      </c>
    </row>
    <row r="298" spans="1:12" x14ac:dyDescent="0.25">
      <c r="A298" s="25" t="s">
        <v>819</v>
      </c>
      <c r="B298" t="str">
        <f>VLOOKUP(A298,Lcode_mapping!D:T,1,FALSE)</f>
        <v>PTDXYPAR</v>
      </c>
      <c r="C298" t="str">
        <f>VLOOKUP($A298,Lcode_mapping!$D:$T,15,FALSE)</f>
        <v>Part-PoleTide</v>
      </c>
      <c r="D298" t="str">
        <f>VLOOKUP($A298,Lcode_mapping!$D:$T,7,FALSE)</f>
        <v>Pole Tide Partials w.r.t. X &amp; Y</v>
      </c>
      <c r="E298" t="str">
        <f>VLOOKUP($A298,Lcode_mapping!$D:$T,17,FALSE)</f>
        <v>-</v>
      </c>
      <c r="H298" t="str">
        <f t="shared" si="15"/>
        <v>PTDXYPAR</v>
      </c>
      <c r="I298" t="str">
        <f t="shared" si="16"/>
        <v>Part-PoleTide</v>
      </c>
      <c r="J298" t="str">
        <f t="shared" si="17"/>
        <v>Pole Tide Partials w.r.t. X &amp; Y</v>
      </c>
      <c r="K298" t="str">
        <f>VLOOKUP($A298,Lcode_mapping!$D:$T,12,FALSE)</f>
        <v>ObsPart</v>
      </c>
      <c r="L298" t="str">
        <f>VLOOKUP($A298,Lcode_mapping!$D:$T,13,FALSE)</f>
        <v>Part-Poletide_kIERS2006</v>
      </c>
    </row>
    <row r="299" spans="1:12" x14ac:dyDescent="0.25">
      <c r="A299" s="25" t="s">
        <v>821</v>
      </c>
      <c r="B299" t="str">
        <f>VLOOKUP(A299,Lcode_mapping!D:T,1,FALSE)</f>
        <v>PTOLDCON</v>
      </c>
      <c r="C299" t="str">
        <f>VLOOKUP($A299,Lcode_mapping!$D:$T,15,FALSE)</f>
        <v>Cal-PoleTideOldRestore</v>
      </c>
      <c r="D299" t="str">
        <f>VLOOKUP($A299,Lcode_mapping!$D:$T,7,FALSE)</f>
        <v>Old Pole Tide Restorer Contrib.</v>
      </c>
      <c r="E299" t="str">
        <f>VLOOKUP($A299,Lcode_mapping!$D:$T,17,FALSE)</f>
        <v>-</v>
      </c>
      <c r="H299" t="str">
        <f t="shared" si="15"/>
        <v>PTOLDCON</v>
      </c>
      <c r="I299" t="str">
        <f t="shared" si="16"/>
        <v>Cal-PoleTideOldRestore</v>
      </c>
      <c r="J299" t="str">
        <f t="shared" si="17"/>
        <v>Old Pole Tide Restorer Contrib.</v>
      </c>
      <c r="K299" t="str">
        <f>VLOOKUP($A299,Lcode_mapping!$D:$T,12,FALSE)</f>
        <v>ObsCalTheo</v>
      </c>
      <c r="L299" t="str">
        <f>VLOOKUP($A299,Lcode_mapping!$D:$T,13,FALSE)</f>
        <v>Cal-PoleTideOldRestore</v>
      </c>
    </row>
    <row r="300" spans="1:12" x14ac:dyDescent="0.25">
      <c r="A300" s="25" t="s">
        <v>1018</v>
      </c>
      <c r="B300" t="str">
        <f>VLOOKUP(A300,Lcode_mapping!D:T,1,FALSE)</f>
        <v>QBFACTOR</v>
      </c>
      <c r="C300" t="str">
        <f>VLOOKUP($A300,Lcode_mapping!$D:$T,15,FALSE)</f>
        <v>-</v>
      </c>
      <c r="D300" t="str">
        <f>VLOOKUP($A300,Lcode_mapping!$D:$T,7,FALSE)</f>
        <v>Measure of uniformity of data.</v>
      </c>
      <c r="E300" t="str">
        <f>VLOOKUP($A300,Lcode_mapping!$D:$T,17,FALSE)</f>
        <v>-</v>
      </c>
      <c r="H300" t="str">
        <f t="shared" si="15"/>
        <v>QBFACTOR</v>
      </c>
      <c r="I300" t="str">
        <f t="shared" si="16"/>
        <v>QBFACTOR</v>
      </c>
      <c r="J300" t="str">
        <f t="shared" si="17"/>
        <v>Measure of uniformity of data.</v>
      </c>
      <c r="K300" t="str">
        <f>VLOOKUP($A300,Lcode_mapping!$D:$T,12,FALSE)</f>
        <v>Observables</v>
      </c>
      <c r="L300" t="str">
        <f>VLOOKUP($A300,Lcode_mapping!$D:$T,13,FALSE)</f>
        <v>CorrInfo_bX</v>
      </c>
    </row>
    <row r="301" spans="1:12" x14ac:dyDescent="0.25">
      <c r="A301" s="25" t="s">
        <v>986</v>
      </c>
      <c r="B301" t="str">
        <f>VLOOKUP(A301,Lcode_mapping!D:T,1,FALSE)</f>
        <v>QCODE XS</v>
      </c>
      <c r="C301" t="str">
        <f>VLOOKUP($A301,Lcode_mapping!$D:$T,15,FALSE)</f>
        <v>QualityCode</v>
      </c>
      <c r="D301" t="str">
        <f>VLOOKUP($A301,Lcode_mapping!$D:$T,7,FALSE)</f>
        <v>Quality code  opposite band</v>
      </c>
      <c r="E301" t="str">
        <f>VLOOKUP($A301,Lcode_mapping!$D:$T,17,FALSE)</f>
        <v>FRNGE quality  index 0 --&gt; 9</v>
      </c>
      <c r="H301" t="str">
        <f t="shared" si="15"/>
        <v>QCODE XS</v>
      </c>
      <c r="I301" t="str">
        <f t="shared" si="16"/>
        <v>QualityCode</v>
      </c>
      <c r="J301" t="str">
        <f t="shared" si="17"/>
        <v>FRNGE quality  index 0 --&gt; 9</v>
      </c>
      <c r="K301" t="str">
        <f>VLOOKUP($A301,Lcode_mapping!$D:$T,12,FALSE)</f>
        <v>Observables</v>
      </c>
      <c r="L301" t="str">
        <f>VLOOKUP($A301,Lcode_mapping!$D:$T,13,FALSE)</f>
        <v>QualityCode_bS</v>
      </c>
    </row>
    <row r="302" spans="1:12" x14ac:dyDescent="0.25">
      <c r="A302" s="25" t="s">
        <v>978</v>
      </c>
      <c r="B302" t="str">
        <f>VLOOKUP(A302,Lcode_mapping!D:T,1,FALSE)</f>
        <v>QUALCODE</v>
      </c>
      <c r="C302" t="str">
        <f>VLOOKUP($A302,Lcode_mapping!$D:$T,15,FALSE)</f>
        <v>QualityCode</v>
      </c>
      <c r="D302" t="str">
        <f>VLOOKUP($A302,Lcode_mapping!$D:$T,7,FALSE)</f>
        <v>FRNGE quality  index 0 --&gt; 9.</v>
      </c>
      <c r="E302" t="str">
        <f>VLOOKUP($A302,Lcode_mapping!$D:$T,17,FALSE)</f>
        <v>FRNGE quality  index 0 --&gt; 9</v>
      </c>
      <c r="H302" t="str">
        <f t="shared" si="15"/>
        <v>QUALCODE</v>
      </c>
      <c r="I302" t="str">
        <f t="shared" si="16"/>
        <v>QualityCode</v>
      </c>
      <c r="J302" t="str">
        <f t="shared" si="17"/>
        <v>FRNGE quality  index 0 --&gt; 9</v>
      </c>
      <c r="K302" t="str">
        <f>VLOOKUP($A302,Lcode_mapping!$D:$T,12,FALSE)</f>
        <v>Observables</v>
      </c>
      <c r="L302" t="str">
        <f>VLOOKUP($A302,Lcode_mapping!$D:$T,13,FALSE)</f>
        <v>QualityCode_bX</v>
      </c>
    </row>
    <row r="303" spans="1:12" x14ac:dyDescent="0.25">
      <c r="A303" s="25" t="s">
        <v>1748</v>
      </c>
      <c r="B303" t="str">
        <f>VLOOKUP(A303,Lcode_mapping!D:T,1,FALSE)</f>
        <v>RAD ASEC</v>
      </c>
      <c r="C303" t="str">
        <f>VLOOKUP($A303,Lcode_mapping!$D:$T,15,FALSE)</f>
        <v>-</v>
      </c>
      <c r="D303" t="str">
        <f>VLOOKUP($A303,Lcode_mapping!$D:$T,7,FALSE)</f>
        <v>Radians per arc second .</v>
      </c>
      <c r="E303" t="str">
        <f>VLOOKUP($A303,Lcode_mapping!$D:$T,17,FALSE)</f>
        <v>-</v>
      </c>
      <c r="H303" t="str">
        <f t="shared" si="15"/>
        <v>RAD ASEC</v>
      </c>
      <c r="I303" t="str">
        <f t="shared" si="16"/>
        <v>RAD ASEC</v>
      </c>
      <c r="J303" t="str">
        <f t="shared" si="17"/>
        <v>Radians per arc second .</v>
      </c>
      <c r="K303" t="str">
        <f>VLOOKUP($A303,Lcode_mapping!$D:$T,12,FALSE)</f>
        <v>OBSOLETE</v>
      </c>
      <c r="L303" t="str">
        <f>VLOOKUP($A303,Lcode_mapping!$D:$T,13,FALSE)</f>
        <v>-</v>
      </c>
    </row>
    <row r="304" spans="1:12" x14ac:dyDescent="0.25">
      <c r="A304" s="25" t="s">
        <v>1746</v>
      </c>
      <c r="B304" t="str">
        <f>VLOOKUP(A304,Lcode_mapping!D:T,1,FALSE)</f>
        <v>RAD DEG</v>
      </c>
      <c r="C304" t="str">
        <f>VLOOKUP($A304,Lcode_mapping!$D:$T,15,FALSE)</f>
        <v>-</v>
      </c>
      <c r="D304" t="str">
        <f>VLOOKUP($A304,Lcode_mapping!$D:$T,7,FALSE)</f>
        <v>Radians per degree .</v>
      </c>
      <c r="E304" t="str">
        <f>VLOOKUP($A304,Lcode_mapping!$D:$T,17,FALSE)</f>
        <v>-</v>
      </c>
      <c r="H304" t="str">
        <f t="shared" si="15"/>
        <v>RAD DEG</v>
      </c>
      <c r="I304" t="str">
        <f t="shared" si="16"/>
        <v>RAD DEG</v>
      </c>
      <c r="J304" t="str">
        <f t="shared" si="17"/>
        <v>Radians per degree .</v>
      </c>
      <c r="K304" t="str">
        <f>VLOOKUP($A304,Lcode_mapping!$D:$T,12,FALSE)</f>
        <v>OBSOLETE</v>
      </c>
      <c r="L304" t="str">
        <f>VLOOKUP($A304,Lcode_mapping!$D:$T,13,FALSE)</f>
        <v>-</v>
      </c>
    </row>
    <row r="305" spans="1:12" x14ac:dyDescent="0.25">
      <c r="A305" s="25" t="s">
        <v>1749</v>
      </c>
      <c r="B305" t="str">
        <f>VLOOKUP(A305,Lcode_mapping!D:T,1,FALSE)</f>
        <v>RAD TSEC</v>
      </c>
      <c r="C305" t="str">
        <f>VLOOKUP($A305,Lcode_mapping!$D:$T,15,FALSE)</f>
        <v>-</v>
      </c>
      <c r="D305" t="str">
        <f>VLOOKUP($A305,Lcode_mapping!$D:$T,7,FALSE)</f>
        <v>Radians per time second .</v>
      </c>
      <c r="E305" t="str">
        <f>VLOOKUP($A305,Lcode_mapping!$D:$T,17,FALSE)</f>
        <v>-</v>
      </c>
      <c r="H305" t="str">
        <f t="shared" si="15"/>
        <v>RAD TSEC</v>
      </c>
      <c r="I305" t="str">
        <f t="shared" si="16"/>
        <v>RAD TSEC</v>
      </c>
      <c r="J305" t="str">
        <f t="shared" si="17"/>
        <v>Radians per time second .</v>
      </c>
      <c r="K305" t="str">
        <f>VLOOKUP($A305,Lcode_mapping!$D:$T,12,FALSE)</f>
        <v>OBSOLETE</v>
      </c>
      <c r="L305" t="str">
        <f>VLOOKUP($A305,Lcode_mapping!$D:$T,13,FALSE)</f>
        <v>-</v>
      </c>
    </row>
    <row r="306" spans="1:12" x14ac:dyDescent="0.25">
      <c r="A306" s="25" t="s">
        <v>173</v>
      </c>
      <c r="B306" t="str">
        <f>VLOOKUP(A306,Lcode_mapping!D:T,1,FALSE)</f>
        <v>RAD/ASEC</v>
      </c>
      <c r="C306" t="str">
        <f>VLOOKUP($A306,Lcode_mapping!$D:$T,15,FALSE)</f>
        <v>-</v>
      </c>
      <c r="D306" t="str">
        <f>VLOOKUP($A306,Lcode_mapping!$D:$T,7,FALSE)</f>
        <v>Radians per arc second .</v>
      </c>
      <c r="E306" t="str">
        <f>VLOOKUP($A306,Lcode_mapping!$D:$T,17,FALSE)</f>
        <v>-</v>
      </c>
      <c r="H306" t="str">
        <f t="shared" si="15"/>
        <v>RAD/ASEC</v>
      </c>
      <c r="I306" t="str">
        <f t="shared" si="16"/>
        <v>RAD/ASEC</v>
      </c>
      <c r="J306" t="str">
        <f t="shared" si="17"/>
        <v>Radians per arc second .</v>
      </c>
      <c r="K306" t="str">
        <f>VLOOKUP($A306,Lcode_mapping!$D:$T,12,FALSE)</f>
        <v>OBSOLETE</v>
      </c>
      <c r="L306" t="str">
        <f>VLOOKUP($A306,Lcode_mapping!$D:$T,13,FALSE)</f>
        <v>-</v>
      </c>
    </row>
    <row r="307" spans="1:12" x14ac:dyDescent="0.25">
      <c r="A307" s="25" t="s">
        <v>459</v>
      </c>
      <c r="B307" t="str">
        <f>VLOOKUP(A307,Lcode_mapping!D:T,1,FALSE)</f>
        <v>RAD/DEG</v>
      </c>
      <c r="C307" t="str">
        <f>VLOOKUP($A307,Lcode_mapping!$D:$T,15,FALSE)</f>
        <v>-</v>
      </c>
      <c r="D307" t="str">
        <f>VLOOKUP($A307,Lcode_mapping!$D:$T,7,FALSE)</f>
        <v>Number of radians per degree.</v>
      </c>
      <c r="E307" t="str">
        <f>VLOOKUP($A307,Lcode_mapping!$D:$T,17,FALSE)</f>
        <v>-</v>
      </c>
      <c r="H307" t="str">
        <f t="shared" si="15"/>
        <v>RAD/DEG</v>
      </c>
      <c r="I307" t="str">
        <f t="shared" si="16"/>
        <v>RAD/DEG</v>
      </c>
      <c r="J307" t="str">
        <f t="shared" si="17"/>
        <v>Number of radians per degree.</v>
      </c>
      <c r="K307" t="str">
        <f>VLOOKUP($A307,Lcode_mapping!$D:$T,12,FALSE)</f>
        <v>OBSOLETE</v>
      </c>
      <c r="L307" t="str">
        <f>VLOOKUP($A307,Lcode_mapping!$D:$T,13,FALSE)</f>
        <v>-</v>
      </c>
    </row>
    <row r="308" spans="1:12" x14ac:dyDescent="0.25">
      <c r="A308" s="25" t="s">
        <v>175</v>
      </c>
      <c r="B308" t="str">
        <f>VLOOKUP(A308,Lcode_mapping!D:T,1,FALSE)</f>
        <v>RAD/TSEC</v>
      </c>
      <c r="C308" t="str">
        <f>VLOOKUP($A308,Lcode_mapping!$D:$T,15,FALSE)</f>
        <v>-</v>
      </c>
      <c r="D308" t="str">
        <f>VLOOKUP($A308,Lcode_mapping!$D:$T,7,FALSE)</f>
        <v>Radians per time second .</v>
      </c>
      <c r="E308" t="str">
        <f>VLOOKUP($A308,Lcode_mapping!$D:$T,17,FALSE)</f>
        <v>-</v>
      </c>
      <c r="H308" t="str">
        <f t="shared" si="15"/>
        <v>RAD/TSEC</v>
      </c>
      <c r="I308" t="str">
        <f t="shared" si="16"/>
        <v>RAD/TSEC</v>
      </c>
      <c r="J308" t="str">
        <f t="shared" si="17"/>
        <v>Radians per time second .</v>
      </c>
      <c r="K308" t="str">
        <f>VLOOKUP($A308,Lcode_mapping!$D:$T,12,FALSE)</f>
        <v>OBSOLETE</v>
      </c>
      <c r="L308" t="str">
        <f>VLOOKUP($A308,Lcode_mapping!$D:$T,13,FALSE)</f>
        <v>-</v>
      </c>
    </row>
    <row r="309" spans="1:12" x14ac:dyDescent="0.25">
      <c r="A309" s="25" t="s">
        <v>1375</v>
      </c>
      <c r="B309" t="str">
        <f>VLOOKUP(A309,Lcode_mapping!D:T,1,FALSE)</f>
        <v>RAT FRQS</v>
      </c>
      <c r="C309" t="str">
        <f>VLOOKUP($A309,Lcode_mapping!$D:$T,15,FALSE)</f>
        <v>-</v>
      </c>
      <c r="D309" t="str">
        <f>VLOOKUP($A309,Lcode_mapping!$D:$T,7,FALSE)</f>
        <v>ALIAS OF REF FREQ.</v>
      </c>
      <c r="E309" t="str">
        <f>VLOOKUP($A309,Lcode_mapping!$D:$T,17,FALSE)</f>
        <v>-</v>
      </c>
      <c r="H309" t="str">
        <f t="shared" si="15"/>
        <v>RAT FRQS</v>
      </c>
      <c r="I309" t="str">
        <f t="shared" si="16"/>
        <v>RAT FRQS</v>
      </c>
      <c r="J309" t="str">
        <f t="shared" si="17"/>
        <v>ALIAS OF REF FREQ.</v>
      </c>
      <c r="K309" t="str">
        <f>VLOOKUP($A309,Lcode_mapping!$D:$T,12,FALSE)</f>
        <v>OBSOLETE</v>
      </c>
      <c r="L309" t="str">
        <f>VLOOKUP($A309,Lcode_mapping!$D:$T,13,FALSE)</f>
        <v>-</v>
      </c>
    </row>
    <row r="310" spans="1:12" x14ac:dyDescent="0.25">
      <c r="A310" s="25" t="s">
        <v>759</v>
      </c>
      <c r="B310" t="str">
        <f>VLOOKUP(A310,Lcode_mapping!D:T,1,FALSE)</f>
        <v>RAT OBSV</v>
      </c>
      <c r="C310" t="str">
        <f>VLOOKUP($A310,Lcode_mapping!$D:$T,15,FALSE)</f>
        <v>GroupRate</v>
      </c>
      <c r="D310" t="str">
        <f>VLOOKUP($A310,Lcode_mapping!$D:$T,7,FALSE)</f>
        <v>Observd delay rate (sec per sec)</v>
      </c>
      <c r="E310" t="str">
        <f>VLOOKUP($A310,Lcode_mapping!$D:$T,17,FALSE)</f>
        <v>Rate Observable</v>
      </c>
      <c r="H310" t="str">
        <f t="shared" si="15"/>
        <v>RAT OBSV</v>
      </c>
      <c r="I310" t="str">
        <f t="shared" si="16"/>
        <v>GroupRate</v>
      </c>
      <c r="J310" t="str">
        <f t="shared" si="17"/>
        <v>Rate Observable</v>
      </c>
      <c r="K310" t="str">
        <f>VLOOKUP($A310,Lcode_mapping!$D:$T,12,FALSE)</f>
        <v>Observables</v>
      </c>
      <c r="L310" t="str">
        <f>VLOOKUP($A310,Lcode_mapping!$D:$T,13,FALSE)</f>
        <v>GroupRate_bX</v>
      </c>
    </row>
    <row r="311" spans="1:12" x14ac:dyDescent="0.25">
      <c r="A311" s="25" t="s">
        <v>1430</v>
      </c>
      <c r="B311" t="str">
        <f>VLOOKUP(A311,Lcode_mapping!D:T,1,FALSE)</f>
        <v>RATOBSVM</v>
      </c>
      <c r="C311" t="str">
        <f>VLOOKUP($A311,Lcode_mapping!$D:$T,15,FALSE)</f>
        <v>-</v>
      </c>
      <c r="D311" t="str">
        <f>VLOOKUP($A311,Lcode_mapping!$D:$T,7,FALSE)</f>
        <v xml:space="preserve">Obs rate at central epoch . </v>
      </c>
      <c r="E311" t="str">
        <f>VLOOKUP($A311,Lcode_mapping!$D:$T,17,FALSE)</f>
        <v>-</v>
      </c>
      <c r="H311" t="str">
        <f t="shared" si="15"/>
        <v>RATOBSVM</v>
      </c>
      <c r="I311" t="str">
        <f t="shared" si="16"/>
        <v>RATOBSVM</v>
      </c>
      <c r="J311" t="str">
        <f t="shared" si="17"/>
        <v xml:space="preserve">Obs rate at central epoch . </v>
      </c>
      <c r="K311" t="str">
        <f>VLOOKUP($A311,Lcode_mapping!$D:$T,12,FALSE)</f>
        <v>Observables</v>
      </c>
      <c r="L311" t="str">
        <f>VLOOKUP($A311,Lcode_mapping!$D:$T,13,FALSE)</f>
        <v>CorrInfo_bX</v>
      </c>
    </row>
    <row r="312" spans="1:12" x14ac:dyDescent="0.25">
      <c r="A312" s="25" t="s">
        <v>761</v>
      </c>
      <c r="B312" t="str">
        <f>VLOOKUP(A312,Lcode_mapping!D:T,1,FALSE)</f>
        <v>RATRESID</v>
      </c>
      <c r="C312" t="str">
        <f>VLOOKUP($A312,Lcode_mapping!$D:$T,15,FALSE)</f>
        <v>-</v>
      </c>
      <c r="D312" t="str">
        <f>VLOOKUP($A312,Lcode_mapping!$D:$T,7,FALSE)</f>
        <v>Rate resid (sec per sec).</v>
      </c>
      <c r="E312" t="str">
        <f>VLOOKUP($A312,Lcode_mapping!$D:$T,17,FALSE)</f>
        <v>-</v>
      </c>
      <c r="H312" t="str">
        <f t="shared" si="15"/>
        <v>RATRESID</v>
      </c>
      <c r="I312" t="str">
        <f t="shared" si="16"/>
        <v>RATRESID</v>
      </c>
      <c r="J312" t="str">
        <f t="shared" si="17"/>
        <v>Rate resid (sec per sec).</v>
      </c>
      <c r="K312" t="str">
        <f>VLOOKUP($A312,Lcode_mapping!$D:$T,12,FALSE)</f>
        <v>Observables</v>
      </c>
      <c r="L312" t="str">
        <f>VLOOKUP($A312,Lcode_mapping!$D:$T,13,FALSE)</f>
        <v>CorrInfo_bX</v>
      </c>
    </row>
    <row r="313" spans="1:12" x14ac:dyDescent="0.25">
      <c r="A313" s="25" t="s">
        <v>763</v>
      </c>
      <c r="B313" t="str">
        <f>VLOOKUP(A313,Lcode_mapping!D:T,1,FALSE)</f>
        <v>RATSIGMA</v>
      </c>
      <c r="C313" t="str">
        <f>VLOOKUP($A313,Lcode_mapping!$D:$T,15,FALSE)</f>
        <v>GroupRateSig</v>
      </c>
      <c r="D313" t="str">
        <f>VLOOKUP($A313,Lcode_mapping!$D:$T,7,FALSE)</f>
        <v>Rate formal error(sec per sec).</v>
      </c>
      <c r="E313" t="str">
        <f>VLOOKUP($A313,Lcode_mapping!$D:$T,17,FALSE)</f>
        <v>Rate Measurement Sigma</v>
      </c>
      <c r="H313" t="str">
        <f t="shared" si="15"/>
        <v>RATSIGMA</v>
      </c>
      <c r="I313" t="str">
        <f t="shared" si="16"/>
        <v>GroupRateSig</v>
      </c>
      <c r="J313" t="str">
        <f t="shared" si="17"/>
        <v>Rate Measurement Sigma</v>
      </c>
      <c r="K313" t="str">
        <f>VLOOKUP($A313,Lcode_mapping!$D:$T,12,FALSE)</f>
        <v>Observables</v>
      </c>
      <c r="L313" t="str">
        <f>VLOOKUP($A313,Lcode_mapping!$D:$T,13,FALSE)</f>
        <v>GroupRate_bX</v>
      </c>
    </row>
    <row r="314" spans="1:12" x14ac:dyDescent="0.25">
      <c r="A314" s="25" t="s">
        <v>956</v>
      </c>
      <c r="B314" t="str">
        <f>VLOOKUP(A314,Lcode_mapping!D:T,1,FALSE)</f>
        <v>RATUFLAG</v>
      </c>
      <c r="C314" t="str">
        <f>VLOOKUP($A314,Lcode_mapping!$D:$T,15,FALSE)</f>
        <v>RateFlag</v>
      </c>
      <c r="D314" t="str">
        <f>VLOOKUP($A314,Lcode_mapping!$D:$T,7,FALSE)</f>
        <v>Delay rate unweight flag.</v>
      </c>
      <c r="E314" t="str">
        <f>VLOOKUP($A314,Lcode_mapping!$D:$T,17,FALSE)</f>
        <v>-</v>
      </c>
      <c r="H314" t="str">
        <f t="shared" si="15"/>
        <v>RATUFLAG</v>
      </c>
      <c r="I314" t="str">
        <f t="shared" si="16"/>
        <v>RateFlag</v>
      </c>
      <c r="J314" t="str">
        <f t="shared" si="17"/>
        <v>Delay rate unweight flag.</v>
      </c>
      <c r="K314" t="str">
        <f>VLOOKUP($A314,Lcode_mapping!$D:$T,12,FALSE)</f>
        <v>ObsEdit</v>
      </c>
      <c r="L314" t="str">
        <f>VLOOKUP($A314,Lcode_mapping!$D:$T,13,FALSE)</f>
        <v>Edit</v>
      </c>
    </row>
    <row r="315" spans="1:12" x14ac:dyDescent="0.25">
      <c r="A315" s="25" t="s">
        <v>603</v>
      </c>
      <c r="B315" t="str">
        <f>VLOOKUP(A315,Lcode_mapping!D:T,1,FALSE)</f>
        <v>RECMODE</v>
      </c>
      <c r="C315" t="str">
        <f>VLOOKUP($A315,Lcode_mapping!$D:$T,15,FALSE)</f>
        <v>RecordingMode</v>
      </c>
      <c r="D315" t="str">
        <f>VLOOKUP($A315,Lcode_mapping!$D:$T,7,FALSE)</f>
        <v>Recoding mode.</v>
      </c>
      <c r="E315" t="str">
        <f>VLOOKUP($A315,Lcode_mapping!$D:$T,17,FALSE)</f>
        <v>-</v>
      </c>
      <c r="H315" t="str">
        <f t="shared" si="15"/>
        <v>RECMODE</v>
      </c>
      <c r="I315" t="str">
        <f t="shared" si="16"/>
        <v>RecordingMode</v>
      </c>
      <c r="J315" t="str">
        <f t="shared" si="17"/>
        <v>Recoding mode.</v>
      </c>
      <c r="K315" t="str">
        <f>VLOOKUP($A315,Lcode_mapping!$D:$T,12,FALSE)</f>
        <v>-</v>
      </c>
      <c r="L315" t="str">
        <f>VLOOKUP($A315,Lcode_mapping!$D:$T,13,FALSE)</f>
        <v>Head</v>
      </c>
    </row>
    <row r="316" spans="1:12" x14ac:dyDescent="0.25">
      <c r="A316" s="25" t="s">
        <v>1234</v>
      </c>
      <c r="B316" t="str">
        <f>VLOOKUP(A316,Lcode_mapping!D:T,1,FALSE)</f>
        <v>RECSETUP</v>
      </c>
      <c r="C316" t="str">
        <f>VLOOKUP($A316,Lcode_mapping!$D:$T,15,FALSE)</f>
        <v>-</v>
      </c>
      <c r="D316" t="str">
        <f>VLOOKUP($A316,Lcode_mapping!$D:$T,7,FALSE)</f>
        <v xml:space="preserve">Samp rate(kHz) Frames/PP PP/AP. </v>
      </c>
      <c r="E316" t="str">
        <f>VLOOKUP($A316,Lcode_mapping!$D:$T,17,FALSE)</f>
        <v>-</v>
      </c>
      <c r="H316" t="str">
        <f t="shared" si="15"/>
        <v>RECSETUP</v>
      </c>
      <c r="I316" t="str">
        <f t="shared" si="16"/>
        <v>RECSETUP</v>
      </c>
      <c r="J316" t="str">
        <f t="shared" si="17"/>
        <v xml:space="preserve">Samp rate(kHz) Frames/PP PP/AP. </v>
      </c>
      <c r="K316" t="str">
        <f>VLOOKUP($A316,Lcode_mapping!$D:$T,12,FALSE)</f>
        <v>Observables</v>
      </c>
      <c r="L316" t="str">
        <f>VLOOKUP($A316,Lcode_mapping!$D:$T,13,FALSE)</f>
        <v>CorrInfo_bX</v>
      </c>
    </row>
    <row r="317" spans="1:12" x14ac:dyDescent="0.25">
      <c r="A317" s="25" t="s">
        <v>60</v>
      </c>
      <c r="B317" t="str">
        <f>VLOOKUP(A317,Lcode_mapping!D:T,1,FALSE)</f>
        <v>RECTRACK</v>
      </c>
      <c r="C317" t="str">
        <f>VLOOKUP($A317,Lcode_mapping!$D:$T,15,FALSE)</f>
        <v>-</v>
      </c>
      <c r="D317" t="str">
        <f>VLOOKUP($A317,Lcode_mapping!$D:$T,7,FALSE)</f>
        <v xml:space="preserve">Trk table by sta sideb channel. </v>
      </c>
      <c r="E317" t="str">
        <f>VLOOKUP($A317,Lcode_mapping!$D:$T,17,FALSE)</f>
        <v>-</v>
      </c>
      <c r="H317" t="str">
        <f t="shared" si="15"/>
        <v>RECTRACK</v>
      </c>
      <c r="I317" t="str">
        <f t="shared" si="16"/>
        <v>RECTRACK</v>
      </c>
      <c r="J317" t="str">
        <f t="shared" si="17"/>
        <v xml:space="preserve">Trk table by sta sideb channel. </v>
      </c>
      <c r="K317" t="str">
        <f>VLOOKUP($A317,Lcode_mapping!$D:$T,12,FALSE)</f>
        <v>Observables</v>
      </c>
      <c r="L317" t="str">
        <f>VLOOKUP($A317,Lcode_mapping!$D:$T,13,FALSE)</f>
        <v>CorrInfo_bX</v>
      </c>
    </row>
    <row r="318" spans="1:12" x14ac:dyDescent="0.25">
      <c r="A318" s="25" t="s">
        <v>912</v>
      </c>
      <c r="B318" t="str">
        <f>VLOOKUP(A318,Lcode_mapping!D:T,1,FALSE)</f>
        <v>REF FR_S</v>
      </c>
      <c r="C318" t="str">
        <f>VLOOKUP($A318,Lcode_mapping!$D:$T,15,FALSE)</f>
        <v>RefFreq</v>
      </c>
      <c r="D318" t="str">
        <f>VLOOKUP($A318,Lcode_mapping!$D:$T,7,FALSE)</f>
        <v>Fr to w.phase is referred S-band</v>
      </c>
      <c r="E318" t="str">
        <f>VLOOKUP($A318,Lcode_mapping!$D:$T,17,FALSE)</f>
        <v>Frequency to which phase is referenced</v>
      </c>
      <c r="H318" t="str">
        <f t="shared" si="15"/>
        <v>REF FR_S</v>
      </c>
      <c r="I318" t="str">
        <f t="shared" si="16"/>
        <v>RefFreq</v>
      </c>
      <c r="J318" t="str">
        <f t="shared" si="17"/>
        <v>Frequency to which phase is referenced</v>
      </c>
      <c r="K318" t="str">
        <f>VLOOKUP($A318,Lcode_mapping!$D:$T,12,FALSE)</f>
        <v>Observables</v>
      </c>
      <c r="L318" t="str">
        <f>VLOOKUP($A318,Lcode_mapping!$D:$T,13,FALSE)</f>
        <v>RefFreq_bS</v>
      </c>
    </row>
    <row r="319" spans="1:12" x14ac:dyDescent="0.25">
      <c r="A319" s="25" t="s">
        <v>765</v>
      </c>
      <c r="B319" t="str">
        <f>VLOOKUP(A319,Lcode_mapping!D:T,1,FALSE)</f>
        <v>REF FREQ</v>
      </c>
      <c r="C319" t="str">
        <f>VLOOKUP($A319,Lcode_mapping!$D:$T,15,FALSE)</f>
        <v>RefFreq</v>
      </c>
      <c r="D319" t="str">
        <f>VLOOKUP($A319,Lcode_mapping!$D:$T,7,FALSE)</f>
        <v>Freq to which phase is referred.</v>
      </c>
      <c r="E319" t="str">
        <f>VLOOKUP($A319,Lcode_mapping!$D:$T,17,FALSE)</f>
        <v>Frequency to which phase is referenced</v>
      </c>
      <c r="H319" t="str">
        <f t="shared" si="15"/>
        <v>REF FREQ</v>
      </c>
      <c r="I319" t="str">
        <f t="shared" si="16"/>
        <v>RefFreq</v>
      </c>
      <c r="J319" t="str">
        <f t="shared" si="17"/>
        <v>Frequency to which phase is referenced</v>
      </c>
      <c r="K319" t="str">
        <f>VLOOKUP($A319,Lcode_mapping!$D:$T,12,FALSE)</f>
        <v>Observables</v>
      </c>
      <c r="L319" t="str">
        <f>VLOOKUP($A319,Lcode_mapping!$D:$T,13,FALSE)</f>
        <v>RefFreq_bX</v>
      </c>
    </row>
    <row r="320" spans="1:12" x14ac:dyDescent="0.25">
      <c r="A320" s="25" t="s">
        <v>1020</v>
      </c>
      <c r="B320" t="str">
        <f>VLOOKUP(A320,Lcode_mapping!D:T,1,FALSE)</f>
        <v>REFCLKER</v>
      </c>
      <c r="C320" t="str">
        <f>VLOOKUP($A320,Lcode_mapping!$D:$T,15,FALSE)</f>
        <v>-</v>
      </c>
      <c r="D320" t="str">
        <f>VLOOKUP($A320,Lcode_mapping!$D:$T,7,FALSE)</f>
        <v>Ref sta clock epoch microsec.</v>
      </c>
      <c r="E320" t="str">
        <f>VLOOKUP($A320,Lcode_mapping!$D:$T,17,FALSE)</f>
        <v>-</v>
      </c>
      <c r="H320" t="str">
        <f t="shared" si="15"/>
        <v>REFCLKER</v>
      </c>
      <c r="I320" t="str">
        <f t="shared" si="16"/>
        <v>REFCLKER</v>
      </c>
      <c r="J320" t="str">
        <f t="shared" si="17"/>
        <v>Ref sta clock epoch microsec.</v>
      </c>
      <c r="K320" t="str">
        <f>VLOOKUP($A320,Lcode_mapping!$D:$T,12,FALSE)</f>
        <v>Observables</v>
      </c>
      <c r="L320" t="str">
        <f>VLOOKUP($A320,Lcode_mapping!$D:$T,13,FALSE)</f>
        <v>CorrInfo_bX</v>
      </c>
    </row>
    <row r="321" spans="1:12" x14ac:dyDescent="0.25">
      <c r="A321" s="25" t="s">
        <v>683</v>
      </c>
      <c r="B321" t="str">
        <f>VLOOKUP(A321,Lcode_mapping!D:T,1,FALSE)</f>
        <v>REL CFLG</v>
      </c>
      <c r="C321" t="str">
        <f>VLOOKUP($A321,Lcode_mapping!$D:$T,15,FALSE)</f>
        <v>RelativityControl</v>
      </c>
      <c r="D321" t="str">
        <f>VLOOKUP($A321,Lcode_mapping!$D:$T,7,FALSE)</f>
        <v>Relativisitc bending use status</v>
      </c>
      <c r="E321" t="str">
        <f>VLOOKUP($A321,Lcode_mapping!$D:$T,17,FALSE)</f>
        <v>-</v>
      </c>
      <c r="H321" t="str">
        <f t="shared" si="15"/>
        <v>REL CFLG</v>
      </c>
      <c r="I321" t="str">
        <f t="shared" si="16"/>
        <v>RelativityControl</v>
      </c>
      <c r="J321" t="str">
        <f t="shared" si="17"/>
        <v>Relativisitc bending use status</v>
      </c>
      <c r="K321" t="str">
        <f>VLOOKUP($A321,Lcode_mapping!$D:$T,12,FALSE)</f>
        <v>Solve</v>
      </c>
      <c r="L321" t="str">
        <f>VLOOKUP($A321,Lcode_mapping!$D:$T,13,FALSE)</f>
        <v>CalcInfo</v>
      </c>
    </row>
    <row r="322" spans="1:12" x14ac:dyDescent="0.25">
      <c r="A322" s="25" t="s">
        <v>453</v>
      </c>
      <c r="B322" t="str">
        <f>VLOOKUP(A322,Lcode_mapping!D:T,1,FALSE)</f>
        <v>REL DATA</v>
      </c>
      <c r="C322" t="str">
        <f>VLOOKUP($A322,Lcode_mapping!$D:$T,15,FALSE)</f>
        <v>RelativityMessage</v>
      </c>
      <c r="D322" t="str">
        <f>VLOOKUP($A322,Lcode_mapping!$D:$T,7,FALSE)</f>
        <v>Relativity mod data (gamma).</v>
      </c>
      <c r="E322" t="str">
        <f>VLOOKUP($A322,Lcode_mapping!$D:$T,17,FALSE)</f>
        <v>-</v>
      </c>
      <c r="H322" t="str">
        <f t="shared" si="15"/>
        <v>REL DATA</v>
      </c>
      <c r="I322" t="str">
        <f t="shared" si="16"/>
        <v>RelativityMessage</v>
      </c>
      <c r="J322" t="str">
        <f t="shared" si="17"/>
        <v>Relativity mod data (gamma).</v>
      </c>
      <c r="K322" t="str">
        <f>VLOOKUP($A322,Lcode_mapping!$D:$T,12,FALSE)</f>
        <v>Solve</v>
      </c>
      <c r="L322" t="str">
        <f>VLOOKUP($A322,Lcode_mapping!$D:$T,13,FALSE)</f>
        <v>CalcInfo</v>
      </c>
    </row>
    <row r="323" spans="1:12" x14ac:dyDescent="0.25">
      <c r="A323" s="25" t="s">
        <v>882</v>
      </c>
      <c r="B323" t="str">
        <f>VLOOKUP(A323,Lcode_mapping!D:T,1,FALSE)</f>
        <v>REL.HUM.</v>
      </c>
      <c r="C323" t="str">
        <f>VLOOKUP($A323,Lcode_mapping!$D:$T,15,FALSE)</f>
        <v>RelHum</v>
      </c>
      <c r="D323" t="str">
        <f>VLOOKUP($A323,Lcode_mapping!$D:$T,7,FALSE)</f>
        <v>Rel.Hum. at local WX st (50%=.5)</v>
      </c>
      <c r="E323" t="str">
        <f>VLOOKUP($A323,Lcode_mapping!$D:$T,17,FALSE)</f>
        <v>-</v>
      </c>
      <c r="H323" t="str">
        <f t="shared" si="15"/>
        <v>REL.HUM.</v>
      </c>
      <c r="I323" t="str">
        <f t="shared" si="16"/>
        <v>RelHum</v>
      </c>
      <c r="J323" t="str">
        <f t="shared" si="17"/>
        <v>Rel.Hum. at local WX st (50%=.5)</v>
      </c>
      <c r="K323" t="str">
        <f>VLOOKUP($A323,Lcode_mapping!$D:$T,12,FALSE)</f>
        <v>-</v>
      </c>
      <c r="L323" t="str">
        <f>VLOOKUP($A323,Lcode_mapping!$D:$T,13,FALSE)</f>
        <v>Met</v>
      </c>
    </row>
    <row r="324" spans="1:12" x14ac:dyDescent="0.25">
      <c r="A324" s="25" t="s">
        <v>767</v>
      </c>
      <c r="B324" t="str">
        <f>VLOOKUP(A324,Lcode_mapping!D:T,1,FALSE)</f>
        <v>RFREQ</v>
      </c>
      <c r="C324" t="str">
        <f>VLOOKUP($A324,Lcode_mapping!$D:$T,15,FALSE)</f>
        <v>ChannelFreq</v>
      </c>
      <c r="D324" t="str">
        <f>VLOOKUP($A324,Lcode_mapping!$D:$T,7,FALSE)</f>
        <v>RF freq by channel (MHz).</v>
      </c>
      <c r="E324" t="str">
        <f>VLOOKUP($A324,Lcode_mapping!$D:$T,17,FALSE)</f>
        <v>-</v>
      </c>
      <c r="H324" t="str">
        <f t="shared" si="15"/>
        <v>RFREQ</v>
      </c>
      <c r="I324" t="str">
        <f t="shared" si="16"/>
        <v>ChannelFreq</v>
      </c>
      <c r="J324" t="str">
        <f t="shared" si="17"/>
        <v>RF freq by channel (MHz).</v>
      </c>
      <c r="K324" t="str">
        <f>VLOOKUP($A324,Lcode_mapping!$D:$T,12,FALSE)</f>
        <v>Observables</v>
      </c>
      <c r="L324" t="str">
        <f>VLOOKUP($A324,Lcode_mapping!$D:$T,13,FALSE)</f>
        <v>CorrInfo_bX</v>
      </c>
    </row>
    <row r="325" spans="1:12" x14ac:dyDescent="0.25">
      <c r="A325" s="25" t="s">
        <v>509</v>
      </c>
      <c r="B325" t="str">
        <f>VLOOKUP(A325,Lcode_mapping!D:T,1,FALSE)</f>
        <v>ROTEPOCH</v>
      </c>
      <c r="C325" t="str">
        <f>VLOOKUP($A325,Lcode_mapping!$D:$T,15,FALSE)</f>
        <v>-</v>
      </c>
      <c r="D325" t="str">
        <f>VLOOKUP($A325,Lcode_mapping!$D:$T,7,FALSE)</f>
        <v>UT1 pole interp.reference epochs</v>
      </c>
      <c r="E325" t="str">
        <f>VLOOKUP($A325,Lcode_mapping!$D:$T,17,FALSE)</f>
        <v>-</v>
      </c>
      <c r="H325" t="str">
        <f t="shared" si="15"/>
        <v>ROTEPOCH</v>
      </c>
      <c r="I325" t="str">
        <f t="shared" si="16"/>
        <v>ROTEPOCH</v>
      </c>
      <c r="J325" t="str">
        <f t="shared" si="17"/>
        <v>UT1 pole interp.reference epochs</v>
      </c>
      <c r="K325" t="str">
        <f>VLOOKUP($A325,Lcode_mapping!$D:$T,12,FALSE)</f>
        <v>OBSOLETE</v>
      </c>
      <c r="L325" t="str">
        <f>VLOOKUP($A325,Lcode_mapping!$D:$T,13,FALSE)</f>
        <v>-</v>
      </c>
    </row>
    <row r="326" spans="1:12" x14ac:dyDescent="0.25">
      <c r="A326" s="25" t="s">
        <v>900</v>
      </c>
      <c r="B326" t="str">
        <f>VLOOKUP(A326,Lcode_mapping!D:T,1,FALSE)</f>
        <v>RTERR XS</v>
      </c>
      <c r="C326" t="str">
        <f>VLOOKUP($A326,Lcode_mapping!$D:$T,15,FALSE)</f>
        <v>GroupRateSig</v>
      </c>
      <c r="D326" t="str">
        <f>VLOOKUP($A326,Lcode_mapping!$D:$T,7,FALSE)</f>
        <v>Rate formal err  opposite band</v>
      </c>
      <c r="E326" t="str">
        <f>VLOOKUP($A326,Lcode_mapping!$D:$T,17,FALSE)</f>
        <v>Rate Measurement Sigma</v>
      </c>
      <c r="H326" t="str">
        <f t="shared" si="15"/>
        <v>RTERR XS</v>
      </c>
      <c r="I326" t="str">
        <f t="shared" si="16"/>
        <v>GroupRateSig</v>
      </c>
      <c r="J326" t="str">
        <f t="shared" si="17"/>
        <v>Rate Measurement Sigma</v>
      </c>
      <c r="K326" t="str">
        <f>VLOOKUP($A326,Lcode_mapping!$D:$T,12,FALSE)</f>
        <v>Observables</v>
      </c>
      <c r="L326" t="str">
        <f>VLOOKUP($A326,Lcode_mapping!$D:$T,13,FALSE)</f>
        <v>GroupRate_bS</v>
      </c>
    </row>
    <row r="327" spans="1:12" x14ac:dyDescent="0.25">
      <c r="A327" s="25" t="s">
        <v>898</v>
      </c>
      <c r="B327" t="str">
        <f>VLOOKUP(A327,Lcode_mapping!D:T,1,FALSE)</f>
        <v>RTOBS XS</v>
      </c>
      <c r="C327" t="str">
        <f>VLOOKUP($A327,Lcode_mapping!$D:$T,15,FALSE)</f>
        <v>GroupRate</v>
      </c>
      <c r="D327" t="str">
        <f>VLOOKUP($A327,Lcode_mapping!$D:$T,7,FALSE)</f>
        <v>Rate observable  opposite band</v>
      </c>
      <c r="E327" t="str">
        <f>VLOOKUP($A327,Lcode_mapping!$D:$T,17,FALSE)</f>
        <v>Rate Observable</v>
      </c>
      <c r="H327" t="str">
        <f t="shared" si="15"/>
        <v>RTOBS XS</v>
      </c>
      <c r="I327" t="str">
        <f t="shared" si="16"/>
        <v>GroupRate</v>
      </c>
      <c r="J327" t="str">
        <f t="shared" si="17"/>
        <v>Rate Observable</v>
      </c>
      <c r="K327" t="str">
        <f>VLOOKUP($A327,Lcode_mapping!$D:$T,12,FALSE)</f>
        <v>Observables</v>
      </c>
      <c r="L327" t="str">
        <f>VLOOKUP($A327,Lcode_mapping!$D:$T,13,FALSE)</f>
        <v>GroupRate_bS</v>
      </c>
    </row>
    <row r="328" spans="1:12" x14ac:dyDescent="0.25">
      <c r="A328" s="25" t="s">
        <v>1235</v>
      </c>
      <c r="B328" t="str">
        <f>VLOOKUP(A328,Lcode_mapping!D:T,1,FALSE)</f>
        <v>RUN CODE</v>
      </c>
      <c r="C328" t="str">
        <f>VLOOKUP($A328,Lcode_mapping!$D:$T,15,FALSE)</f>
        <v>RunCode</v>
      </c>
      <c r="D328" t="str">
        <f>VLOOKUP($A328,Lcode_mapping!$D:$T,7,FALSE)</f>
        <v xml:space="preserve">Run code  e.g.  "329-1300". </v>
      </c>
      <c r="E328" t="str">
        <f>VLOOKUP($A328,Lcode_mapping!$D:$T,17,FALSE)</f>
        <v>-</v>
      </c>
      <c r="H328" t="str">
        <f t="shared" si="15"/>
        <v>RUN CODE</v>
      </c>
      <c r="I328" t="str">
        <f t="shared" si="16"/>
        <v>RunCode</v>
      </c>
      <c r="J328" t="str">
        <f t="shared" si="17"/>
        <v xml:space="preserve">Run code  e.g.  "329-1300". </v>
      </c>
      <c r="K328" t="str">
        <f>VLOOKUP($A328,Lcode_mapping!$D:$T,12,FALSE)</f>
        <v>Observables</v>
      </c>
      <c r="L328" t="str">
        <f>VLOOKUP($A328,Lcode_mapping!$D:$T,13,FALSE)</f>
        <v>CorrInfo_bX</v>
      </c>
    </row>
    <row r="329" spans="1:12" x14ac:dyDescent="0.25">
      <c r="A329" s="25" t="s">
        <v>1761</v>
      </c>
      <c r="B329" t="str">
        <f>VLOOKUP(A329,Lcode_mapping!D:T,1,FALSE)</f>
        <v>S2EFFREQ</v>
      </c>
      <c r="C329" t="str">
        <f>VLOOKUP($A329,Lcode_mapping!$D:$T,15,FALSE)</f>
        <v>-</v>
      </c>
      <c r="D329" t="str">
        <f>VLOOKUP($A329,Lcode_mapping!$D:$T,7,FALSE)</f>
        <v>Effective group freq for ion.</v>
      </c>
      <c r="E329" t="str">
        <f>VLOOKUP($A329,Lcode_mapping!$D:$T,17,FALSE)</f>
        <v>-</v>
      </c>
      <c r="H329" t="str">
        <f t="shared" si="15"/>
        <v>S2EFFREQ</v>
      </c>
      <c r="I329" t="str">
        <f t="shared" si="16"/>
        <v>S2EFFREQ</v>
      </c>
      <c r="J329" t="str">
        <f t="shared" si="17"/>
        <v>Effective group freq for ion.</v>
      </c>
      <c r="K329" t="str">
        <f>VLOOKUP($A329,Lcode_mapping!$D:$T,12,FALSE)</f>
        <v>Observables</v>
      </c>
      <c r="L329" t="str">
        <f>VLOOKUP($A329,Lcode_mapping!$D:$T,13,FALSE)</f>
        <v>CorrInfo_bX</v>
      </c>
    </row>
    <row r="330" spans="1:12" x14ac:dyDescent="0.25">
      <c r="A330" s="25" t="s">
        <v>1742</v>
      </c>
      <c r="B330" t="str">
        <f>VLOOKUP(A330,Lcode_mapping!D:T,1,FALSE)</f>
        <v>S2FLAG</v>
      </c>
      <c r="C330" t="str">
        <f>VLOOKUP($A330,Lcode_mapping!$D:$T,15,FALSE)</f>
        <v>-</v>
      </c>
      <c r="D330" t="str">
        <f>VLOOKUP($A330,Lcode_mapping!$D:$T,7,FALSE)</f>
        <v>S2 or MKIII Flag</v>
      </c>
      <c r="E330" t="str">
        <f>VLOOKUP($A330,Lcode_mapping!$D:$T,17,FALSE)</f>
        <v>-</v>
      </c>
      <c r="H330" t="str">
        <f t="shared" si="15"/>
        <v>S2FLAG</v>
      </c>
      <c r="I330" t="str">
        <f t="shared" si="16"/>
        <v>S2FLAG</v>
      </c>
      <c r="J330" t="str">
        <f t="shared" si="17"/>
        <v>S2 or MKIII Flag</v>
      </c>
      <c r="K330" t="str">
        <f>VLOOKUP($A330,Lcode_mapping!$D:$T,12,FALSE)</f>
        <v>OBSOLETE</v>
      </c>
      <c r="L330" t="str">
        <f>VLOOKUP($A330,Lcode_mapping!$D:$T,13,FALSE)</f>
        <v>-</v>
      </c>
    </row>
    <row r="331" spans="1:12" x14ac:dyDescent="0.25">
      <c r="A331" s="25" t="s">
        <v>1763</v>
      </c>
      <c r="B331" t="str">
        <f>VLOOKUP(A331,Lcode_mapping!D:T,1,FALSE)</f>
        <v>S2PHEFRQ</v>
      </c>
      <c r="C331" t="str">
        <f>VLOOKUP($A331,Lcode_mapping!$D:$T,15,FALSE)</f>
        <v>-</v>
      </c>
      <c r="D331" t="str">
        <f>VLOOKUP($A331,Lcode_mapping!$D:$T,7,FALSE)</f>
        <v>Effective phase frequency</v>
      </c>
      <c r="E331" t="str">
        <f>VLOOKUP($A331,Lcode_mapping!$D:$T,17,FALSE)</f>
        <v>-</v>
      </c>
      <c r="H331" t="str">
        <f t="shared" si="15"/>
        <v>S2PHEFRQ</v>
      </c>
      <c r="I331" t="str">
        <f t="shared" si="16"/>
        <v>S2PHEFRQ</v>
      </c>
      <c r="J331" t="str">
        <f t="shared" si="17"/>
        <v>Effective phase frequency</v>
      </c>
      <c r="K331" t="str">
        <f>VLOOKUP($A331,Lcode_mapping!$D:$T,12,FALSE)</f>
        <v>Observables</v>
      </c>
      <c r="L331" t="str">
        <f>VLOOKUP($A331,Lcode_mapping!$D:$T,13,FALSE)</f>
        <v>CorrInfo_bX</v>
      </c>
    </row>
    <row r="332" spans="1:12" x14ac:dyDescent="0.25">
      <c r="A332" s="25" t="s">
        <v>1762</v>
      </c>
      <c r="B332" t="str">
        <f>VLOOKUP(A332,Lcode_mapping!D:T,1,FALSE)</f>
        <v>S2REFREQ</v>
      </c>
      <c r="C332" t="str">
        <f>VLOOKUP($A332,Lcode_mapping!$D:$T,15,FALSE)</f>
        <v>-</v>
      </c>
      <c r="D332" t="str">
        <f>VLOOKUP($A332,Lcode_mapping!$D:$T,7,FALSE)</f>
        <v>Effective frequency for rate</v>
      </c>
      <c r="E332" t="str">
        <f>VLOOKUP($A332,Lcode_mapping!$D:$T,17,FALSE)</f>
        <v>-</v>
      </c>
      <c r="H332" t="str">
        <f t="shared" si="15"/>
        <v>S2REFREQ</v>
      </c>
      <c r="I332" t="str">
        <f t="shared" si="16"/>
        <v>S2REFREQ</v>
      </c>
      <c r="J332" t="str">
        <f t="shared" si="17"/>
        <v>Effective frequency for rate</v>
      </c>
      <c r="K332" t="str">
        <f>VLOOKUP($A332,Lcode_mapping!$D:$T,12,FALSE)</f>
        <v>Observables</v>
      </c>
      <c r="L332" t="str">
        <f>VLOOKUP($A332,Lcode_mapping!$D:$T,13,FALSE)</f>
        <v>CorrInfo_bX</v>
      </c>
    </row>
    <row r="333" spans="1:12" x14ac:dyDescent="0.25">
      <c r="A333" s="25" t="s">
        <v>769</v>
      </c>
      <c r="B333" t="str">
        <f>VLOOKUP(A333,Lcode_mapping!D:T,1,FALSE)</f>
        <v>SAMPLRAT</v>
      </c>
      <c r="C333" t="str">
        <f>VLOOKUP($A333,Lcode_mapping!$D:$T,15,FALSE)</f>
        <v>SampleRate</v>
      </c>
      <c r="D333" t="str">
        <f>VLOOKUP($A333,Lcode_mapping!$D:$T,7,FALSE)</f>
        <v>Sample rate (Hz).</v>
      </c>
      <c r="E333" t="str">
        <f>VLOOKUP($A333,Lcode_mapping!$D:$T,17,FALSE)</f>
        <v>-</v>
      </c>
      <c r="H333" t="str">
        <f t="shared" si="15"/>
        <v>SAMPLRAT</v>
      </c>
      <c r="I333" t="str">
        <f t="shared" si="16"/>
        <v>SampleRate</v>
      </c>
      <c r="J333" t="str">
        <f t="shared" si="17"/>
        <v>Sample rate (Hz).</v>
      </c>
      <c r="K333" t="str">
        <f>VLOOKUP($A333,Lcode_mapping!$D:$T,12,FALSE)</f>
        <v>Observables</v>
      </c>
      <c r="L333" t="str">
        <f>VLOOKUP($A333,Lcode_mapping!$D:$T,13,FALSE)</f>
        <v>CorrInfo_bX</v>
      </c>
    </row>
    <row r="334" spans="1:12" x14ac:dyDescent="0.25">
      <c r="A334" s="25" t="s">
        <v>918</v>
      </c>
      <c r="B334" t="str">
        <f>VLOOKUP(A334,Lcode_mapping!D:T,1,FALSE)</f>
        <v>SB DEL_S</v>
      </c>
      <c r="C334" t="str">
        <f>VLOOKUP($A334,Lcode_mapping!$D:$T,15,FALSE)</f>
        <v>SBDelay</v>
      </c>
      <c r="D334" t="str">
        <f>VLOOKUP($A334,Lcode_mapping!$D:$T,7,FALSE)</f>
        <v>Single band delay for S-band</v>
      </c>
      <c r="E334" t="str">
        <f>VLOOKUP($A334,Lcode_mapping!$D:$T,17,FALSE)</f>
        <v>Single band delay</v>
      </c>
      <c r="H334" t="str">
        <f t="shared" si="15"/>
        <v>SB DEL_S</v>
      </c>
      <c r="I334" t="str">
        <f t="shared" si="16"/>
        <v>SBDelay</v>
      </c>
      <c r="J334" t="str">
        <f t="shared" si="17"/>
        <v>Single band delay</v>
      </c>
      <c r="K334" t="str">
        <f>VLOOKUP($A334,Lcode_mapping!$D:$T,12,FALSE)</f>
        <v>Observables</v>
      </c>
      <c r="L334" t="str">
        <f>VLOOKUP($A334,Lcode_mapping!$D:$T,13,FALSE)</f>
        <v>SBDelay_bS</v>
      </c>
    </row>
    <row r="335" spans="1:12" x14ac:dyDescent="0.25">
      <c r="A335" s="25" t="s">
        <v>771</v>
      </c>
      <c r="B335" t="str">
        <f>VLOOKUP(A335,Lcode_mapping!D:T,1,FALSE)</f>
        <v>SB DELAY</v>
      </c>
      <c r="C335" t="str">
        <f>VLOOKUP($A335,Lcode_mapping!$D:$T,15,FALSE)</f>
        <v>SBDelay</v>
      </c>
      <c r="D335" t="str">
        <f>VLOOKUP($A335,Lcode_mapping!$D:$T,7,FALSE)</f>
        <v>Single band delay (microsec).</v>
      </c>
      <c r="E335" t="str">
        <f>VLOOKUP($A335,Lcode_mapping!$D:$T,17,FALSE)</f>
        <v>Single band delay</v>
      </c>
      <c r="H335" t="str">
        <f t="shared" si="15"/>
        <v>SB DELAY</v>
      </c>
      <c r="I335" t="str">
        <f t="shared" si="16"/>
        <v>SBDelay</v>
      </c>
      <c r="J335" t="str">
        <f t="shared" si="17"/>
        <v>Single band delay</v>
      </c>
      <c r="K335" t="str">
        <f>VLOOKUP($A335,Lcode_mapping!$D:$T,12,FALSE)</f>
        <v>Observables</v>
      </c>
      <c r="L335" t="str">
        <f>VLOOKUP($A335,Lcode_mapping!$D:$T,13,FALSE)</f>
        <v>SBDelay_bX</v>
      </c>
    </row>
    <row r="336" spans="1:12" x14ac:dyDescent="0.25">
      <c r="A336" s="25" t="s">
        <v>920</v>
      </c>
      <c r="B336" t="str">
        <f>VLOOKUP(A336,Lcode_mapping!D:T,1,FALSE)</f>
        <v>SB SIG_S</v>
      </c>
      <c r="C336" t="str">
        <f>VLOOKUP($A336,Lcode_mapping!$D:$T,15,FALSE)</f>
        <v>SBDelaySig</v>
      </c>
      <c r="D336" t="str">
        <f>VLOOKUP($A336,Lcode_mapping!$D:$T,7,FALSE)</f>
        <v>SB delay error S-band  mks</v>
      </c>
      <c r="E336" t="str">
        <f>VLOOKUP($A336,Lcode_mapping!$D:$T,17,FALSE)</f>
        <v>Single band delay error</v>
      </c>
      <c r="H336" t="str">
        <f t="shared" si="15"/>
        <v>SB SIG_S</v>
      </c>
      <c r="I336" t="str">
        <f t="shared" si="16"/>
        <v>SBDelaySig</v>
      </c>
      <c r="J336" t="str">
        <f t="shared" si="17"/>
        <v>Single band delay error</v>
      </c>
      <c r="K336" t="str">
        <f>VLOOKUP($A336,Lcode_mapping!$D:$T,12,FALSE)</f>
        <v>Observables</v>
      </c>
      <c r="L336" t="str">
        <f>VLOOKUP($A336,Lcode_mapping!$D:$T,13,FALSE)</f>
        <v>SBDelay_bS</v>
      </c>
    </row>
    <row r="337" spans="1:12" x14ac:dyDescent="0.25">
      <c r="A337" s="25" t="s">
        <v>773</v>
      </c>
      <c r="B337" t="str">
        <f>VLOOKUP(A337,Lcode_mapping!D:T,1,FALSE)</f>
        <v>SB SIGMA</v>
      </c>
      <c r="C337" t="str">
        <f>VLOOKUP($A337,Lcode_mapping!$D:$T,15,FALSE)</f>
        <v>SBDelaySig</v>
      </c>
      <c r="D337" t="str">
        <f>VLOOKUP($A337,Lcode_mapping!$D:$T,7,FALSE)</f>
        <v>SB delay error microseconds.</v>
      </c>
      <c r="E337" t="str">
        <f>VLOOKUP($A337,Lcode_mapping!$D:$T,17,FALSE)</f>
        <v>Single band delay error</v>
      </c>
      <c r="H337" t="str">
        <f t="shared" si="15"/>
        <v>SB SIGMA</v>
      </c>
      <c r="I337" t="str">
        <f t="shared" si="16"/>
        <v>SBDelaySig</v>
      </c>
      <c r="J337" t="str">
        <f t="shared" si="17"/>
        <v>Single band delay error</v>
      </c>
      <c r="K337" t="str">
        <f>VLOOKUP($A337,Lcode_mapping!$D:$T,12,FALSE)</f>
        <v>Observables</v>
      </c>
      <c r="L337" t="str">
        <f>VLOOKUP($A337,Lcode_mapping!$D:$T,13,FALSE)</f>
        <v>SBDelay_bX</v>
      </c>
    </row>
    <row r="338" spans="1:12" x14ac:dyDescent="0.25">
      <c r="A338" s="25" t="s">
        <v>775</v>
      </c>
      <c r="B338" t="str">
        <f>VLOOKUP(A338,Lcode_mapping!D:T,1,FALSE)</f>
        <v>SBRESID</v>
      </c>
      <c r="C338" t="str">
        <f>VLOOKUP($A338,Lcode_mapping!$D:$T,15,FALSE)</f>
        <v>-</v>
      </c>
      <c r="D338" t="str">
        <f>VLOOKUP($A338,Lcode_mapping!$D:$T,7,FALSE)</f>
        <v>Single band delay residual.</v>
      </c>
      <c r="E338" t="str">
        <f>VLOOKUP($A338,Lcode_mapping!$D:$T,17,FALSE)</f>
        <v>-</v>
      </c>
      <c r="H338" t="str">
        <f t="shared" si="15"/>
        <v>SBRESID</v>
      </c>
      <c r="I338" t="str">
        <f t="shared" si="16"/>
        <v>SBRESID</v>
      </c>
      <c r="J338" t="str">
        <f t="shared" si="17"/>
        <v>Single band delay residual.</v>
      </c>
      <c r="K338" t="str">
        <f>VLOOKUP($A338,Lcode_mapping!$D:$T,12,FALSE)</f>
        <v>Observables</v>
      </c>
      <c r="L338" t="str">
        <f>VLOOKUP($A338,Lcode_mapping!$D:$T,13,FALSE)</f>
        <v>CorrInfo_bX</v>
      </c>
    </row>
    <row r="339" spans="1:12" x14ac:dyDescent="0.25">
      <c r="A339" s="25" t="s">
        <v>1040</v>
      </c>
      <c r="B339" t="str">
        <f>VLOOKUP(A339,Lcode_mapping!D:T,1,FALSE)</f>
        <v>SCAN UTC</v>
      </c>
      <c r="C339" t="str">
        <f>VLOOKUP($A339,Lcode_mapping!$D:$T,15,FALSE)</f>
        <v>UTCScan</v>
      </c>
      <c r="D339" t="str">
        <f>VLOOKUP($A339,Lcode_mapping!$D:$T,7,FALSE)</f>
        <v>Nominal scan time YMDHMS.</v>
      </c>
      <c r="E339" t="str">
        <f>VLOOKUP($A339,Lcode_mapping!$D:$T,17,FALSE)</f>
        <v>-</v>
      </c>
      <c r="H339" t="str">
        <f t="shared" si="15"/>
        <v>SCAN UTC</v>
      </c>
      <c r="I339" t="str">
        <f t="shared" si="16"/>
        <v>UTCScan</v>
      </c>
      <c r="J339" t="str">
        <f t="shared" si="17"/>
        <v>Nominal scan time YMDHMS.</v>
      </c>
      <c r="K339" t="str">
        <f>VLOOKUP($A339,Lcode_mapping!$D:$T,12,FALSE)</f>
        <v>Observables</v>
      </c>
      <c r="L339" t="str">
        <f>VLOOKUP($A339,Lcode_mapping!$D:$T,13,FALSE)</f>
        <v>CorrInfo_bX</v>
      </c>
    </row>
    <row r="340" spans="1:12" x14ac:dyDescent="0.25">
      <c r="A340" s="25" t="s">
        <v>980</v>
      </c>
      <c r="B340" t="str">
        <f>VLOOKUP(A340,Lcode_mapping!D:T,1,FALSE)</f>
        <v>SCANNAME</v>
      </c>
      <c r="C340" t="str">
        <f>VLOOKUP($A340,Lcode_mapping!$D:$T,15,FALSE)</f>
        <v>ScanName</v>
      </c>
      <c r="D340" t="str">
        <f>VLOOKUP($A340,Lcode_mapping!$D:$T,7,FALSE)</f>
        <v>Scan name .</v>
      </c>
      <c r="E340" t="str">
        <f>VLOOKUP($A340,Lcode_mapping!$D:$T,17,FALSE)</f>
        <v>Scanname in database</v>
      </c>
      <c r="H340" t="str">
        <f t="shared" si="15"/>
        <v>SCANNAME</v>
      </c>
      <c r="I340" t="str">
        <f t="shared" si="16"/>
        <v>ScanName</v>
      </c>
      <c r="J340" t="str">
        <f t="shared" si="17"/>
        <v>Scanname in database</v>
      </c>
      <c r="K340" t="str">
        <f>VLOOKUP($A340,Lcode_mapping!$D:$T,12,FALSE)</f>
        <v>Scan</v>
      </c>
      <c r="L340" t="str">
        <f>VLOOKUP($A340,Lcode_mapping!$D:$T,13,FALSE)</f>
        <v>ScanName</v>
      </c>
    </row>
    <row r="341" spans="1:12" x14ac:dyDescent="0.25">
      <c r="A341" s="25" t="s">
        <v>777</v>
      </c>
      <c r="B341" t="str">
        <f>VLOOKUP(A341,Lcode_mapping!D:T,1,FALSE)</f>
        <v>SEC TAG</v>
      </c>
      <c r="C341" t="str">
        <f>VLOOKUP($A341,Lcode_mapping!$D:$T,15,FALSE)</f>
        <v>Second</v>
      </c>
      <c r="D341" t="str">
        <f>VLOOKUP($A341,Lcode_mapping!$D:$T,7,FALSE)</f>
        <v>Seconds part of UTC TAG.</v>
      </c>
      <c r="E341" t="str">
        <f>VLOOKUP($A341,Lcode_mapping!$D:$T,17,FALSE)</f>
        <v>-</v>
      </c>
      <c r="H341" t="str">
        <f t="shared" si="15"/>
        <v>SEC TAG</v>
      </c>
      <c r="I341" t="str">
        <f t="shared" si="16"/>
        <v>Second</v>
      </c>
      <c r="J341" t="str">
        <f t="shared" si="17"/>
        <v>Seconds part of UTC TAG.</v>
      </c>
      <c r="K341" t="str">
        <f>VLOOKUP($A341,Lcode_mapping!$D:$T,12,FALSE)</f>
        <v>Observables</v>
      </c>
      <c r="L341" t="str">
        <f>VLOOKUP($A341,Lcode_mapping!$D:$T,13,FALSE)</f>
        <v>TimeUTC</v>
      </c>
    </row>
    <row r="342" spans="1:12" x14ac:dyDescent="0.25">
      <c r="A342" s="25" t="s">
        <v>521</v>
      </c>
      <c r="B342" t="str">
        <f>VLOOKUP(A342,Lcode_mapping!D:T,1,FALSE)</f>
        <v>SIT ELEV</v>
      </c>
      <c r="C342" t="str">
        <f>VLOOKUP($A342,Lcode_mapping!$D:$T,15,FALSE)</f>
        <v>-</v>
      </c>
      <c r="D342" t="str">
        <f>VLOOKUP($A342,Lcode_mapping!$D:$T,7,FALSE)</f>
        <v>Height above ellipsoid (meters)</v>
      </c>
      <c r="E342" t="str">
        <f>VLOOKUP($A342,Lcode_mapping!$D:$T,17,FALSE)</f>
        <v>-</v>
      </c>
      <c r="H342" t="str">
        <f t="shared" si="15"/>
        <v>SIT ELEV</v>
      </c>
      <c r="I342" t="str">
        <f t="shared" si="16"/>
        <v>SIT ELEV</v>
      </c>
      <c r="J342" t="str">
        <f t="shared" si="17"/>
        <v>Height above ellipsoid (meters)</v>
      </c>
      <c r="K342" t="str">
        <f>VLOOKUP($A342,Lcode_mapping!$D:$T,12,FALSE)</f>
        <v>OBSOLETE</v>
      </c>
      <c r="L342" t="str">
        <f>VLOOKUP($A342,Lcode_mapping!$D:$T,13,FALSE)</f>
        <v>-</v>
      </c>
    </row>
    <row r="343" spans="1:12" x14ac:dyDescent="0.25">
      <c r="A343" s="25" t="s">
        <v>641</v>
      </c>
      <c r="B343" t="str">
        <f>VLOOKUP(A343,Lcode_mapping!D:T,1,FALSE)</f>
        <v>SIT MESS</v>
      </c>
      <c r="C343" t="str">
        <f>VLOOKUP($A343,Lcode_mapping!$D:$T,15,FALSE)</f>
        <v>SiteMessage</v>
      </c>
      <c r="D343" t="str">
        <f>VLOOKUP($A343,Lcode_mapping!$D:$T,7,FALSE)</f>
        <v>Site Module Message Definition</v>
      </c>
      <c r="E343" t="str">
        <f>VLOOKUP($A343,Lcode_mapping!$D:$T,17,FALSE)</f>
        <v>-</v>
      </c>
      <c r="H343" t="str">
        <f t="shared" si="15"/>
        <v>SIT MESS</v>
      </c>
      <c r="I343" t="str">
        <f t="shared" si="16"/>
        <v>SiteMessage</v>
      </c>
      <c r="J343" t="str">
        <f t="shared" si="17"/>
        <v>Site Module Message Definition</v>
      </c>
      <c r="K343" t="str">
        <f>VLOOKUP($A343,Lcode_mapping!$D:$T,12,FALSE)</f>
        <v>Solve</v>
      </c>
      <c r="L343" t="str">
        <f>VLOOKUP($A343,Lcode_mapping!$D:$T,13,FALSE)</f>
        <v>CalcInfo</v>
      </c>
    </row>
    <row r="344" spans="1:12" x14ac:dyDescent="0.25">
      <c r="A344" s="25" t="s">
        <v>837</v>
      </c>
      <c r="B344" t="str">
        <f>VLOOKUP(A344,Lcode_mapping!D:T,1,FALSE)</f>
        <v>SIT PART</v>
      </c>
      <c r="C344" t="str">
        <f>VLOOKUP($A344,Lcode_mapping!$D:$T,15,FALSE)</f>
        <v>Part-XYZ</v>
      </c>
      <c r="D344" t="str">
        <f>VLOOKUP($A344,Lcode_mapping!$D:$T,7,FALSE)</f>
        <v>Site partial derivative def.</v>
      </c>
      <c r="E344" t="str">
        <f>VLOOKUP($A344,Lcode_mapping!$D:$T,17,FALSE)</f>
        <v>Site partials: dtau/dr_1=-dtau/dr_2</v>
      </c>
      <c r="H344" t="str">
        <f t="shared" ref="H344:H407" si="18">A344</f>
        <v>SIT PART</v>
      </c>
      <c r="I344" t="str">
        <f t="shared" ref="I344:I407" si="19">IF(C344="-",B344,C344)</f>
        <v>Part-XYZ</v>
      </c>
      <c r="J344" t="str">
        <f t="shared" ref="J344:J407" si="20">IF(E344="-",D344,E344)</f>
        <v>Site partials: dtau/dr_1=-dtau/dr_2</v>
      </c>
      <c r="K344" t="str">
        <f>VLOOKUP($A344,Lcode_mapping!$D:$T,12,FALSE)</f>
        <v>ObsPart</v>
      </c>
      <c r="L344" t="str">
        <f>VLOOKUP($A344,Lcode_mapping!$D:$T,13,FALSE)</f>
        <v>Part-XYZ</v>
      </c>
    </row>
    <row r="345" spans="1:12" x14ac:dyDescent="0.25">
      <c r="A345" s="25" t="s">
        <v>211</v>
      </c>
      <c r="B345" t="str">
        <f>VLOOKUP(A345,Lcode_mapping!D:T,1,FALSE)</f>
        <v>SIT_KILL</v>
      </c>
      <c r="C345" t="str">
        <f>VLOOKUP($A345,Lcode_mapping!$D:$T,15,FALSE)</f>
        <v>-</v>
      </c>
      <c r="D345" t="str">
        <f>VLOOKUP($A345,Lcode_mapping!$D:$T,7,FALSE)</f>
        <v>site_killer version date</v>
      </c>
      <c r="E345" t="str">
        <f>VLOOKUP($A345,Lcode_mapping!$D:$T,17,FALSE)</f>
        <v>-</v>
      </c>
      <c r="H345" t="str">
        <f t="shared" si="18"/>
        <v>SIT_KILL</v>
      </c>
      <c r="I345" t="str">
        <f t="shared" si="19"/>
        <v>SIT_KILL</v>
      </c>
      <c r="J345" t="str">
        <f t="shared" si="20"/>
        <v>site_killer version date</v>
      </c>
      <c r="K345" t="str">
        <f>VLOOKUP($A345,Lcode_mapping!$D:$T,12,FALSE)</f>
        <v>OBSOLETE</v>
      </c>
      <c r="L345" t="str">
        <f>VLOOKUP($A345,Lcode_mapping!$D:$T,13,FALSE)</f>
        <v>-</v>
      </c>
    </row>
    <row r="346" spans="1:12" x14ac:dyDescent="0.25">
      <c r="A346" s="25" t="s">
        <v>982</v>
      </c>
      <c r="B346" t="str">
        <f>VLOOKUP(A346,Lcode_mapping!D:T,1,FALSE)</f>
        <v>SITCODES</v>
      </c>
      <c r="C346" t="str">
        <f>VLOOKUP($A346,Lcode_mapping!$D:$T,15,FALSE)</f>
        <v>-</v>
      </c>
      <c r="D346" t="str">
        <f>VLOOKUP($A346,Lcode_mapping!$D:$T,7,FALSE)</f>
        <v>Two-letters site codes .</v>
      </c>
      <c r="E346" t="str">
        <f>VLOOKUP($A346,Lcode_mapping!$D:$T,17,FALSE)</f>
        <v>-</v>
      </c>
      <c r="H346" t="str">
        <f t="shared" si="18"/>
        <v>SITCODES</v>
      </c>
      <c r="I346" t="str">
        <f t="shared" si="19"/>
        <v>SITCODES</v>
      </c>
      <c r="J346" t="str">
        <f t="shared" si="20"/>
        <v>Two-letters site codes .</v>
      </c>
      <c r="K346" t="str">
        <f>VLOOKUP($A346,Lcode_mapping!$D:$T,12,FALSE)</f>
        <v>OBSOLETE</v>
      </c>
      <c r="L346" t="str">
        <f>VLOOKUP($A346,Lcode_mapping!$D:$T,13,FALSE)</f>
        <v>-</v>
      </c>
    </row>
    <row r="347" spans="1:12" x14ac:dyDescent="0.25">
      <c r="A347" s="25" t="s">
        <v>483</v>
      </c>
      <c r="B347" t="str">
        <f>VLOOKUP(A347,Lcode_mapping!D:T,1,FALSE)</f>
        <v>SITERECS</v>
      </c>
      <c r="C347" t="str">
        <f>VLOOKUP($A347,Lcode_mapping!$D:$T,15,FALSE)</f>
        <v>AprioriStationXYZ</v>
      </c>
      <c r="D347" t="str">
        <f>VLOOKUP($A347,Lcode_mapping!$D:$T,7,FALSE)</f>
        <v>Site cartesian coords (m).</v>
      </c>
      <c r="E347" t="str">
        <f>VLOOKUP($A347,Lcode_mapping!$D:$T,17,FALSE)</f>
        <v>-</v>
      </c>
      <c r="H347" t="str">
        <f t="shared" si="18"/>
        <v>SITERECS</v>
      </c>
      <c r="I347" t="str">
        <f t="shared" si="19"/>
        <v>AprioriStationXYZ</v>
      </c>
      <c r="J347" t="str">
        <f t="shared" si="20"/>
        <v>Site cartesian coords (m).</v>
      </c>
      <c r="K347" t="str">
        <f>VLOOKUP($A347,Lcode_mapping!$D:$T,12,FALSE)</f>
        <v>Apriori</v>
      </c>
      <c r="L347" t="str">
        <f>VLOOKUP($A347,Lcode_mapping!$D:$T,13,FALSE)</f>
        <v>Station</v>
      </c>
    </row>
    <row r="348" spans="1:12" x14ac:dyDescent="0.25">
      <c r="A348" s="25" t="s">
        <v>485</v>
      </c>
      <c r="B348" t="str">
        <f>VLOOKUP(A348,Lcode_mapping!D:T,1,FALSE)</f>
        <v>SITEZENS</v>
      </c>
      <c r="C348" t="str">
        <f>VLOOKUP($A348,Lcode_mapping!$D:$T,15,FALSE)</f>
        <v>SiteZenithDelay</v>
      </c>
      <c r="D348" t="str">
        <f>VLOOKUP($A348,Lcode_mapping!$D:$T,7,FALSE)</f>
        <v>Site zenith path delays (nsec).</v>
      </c>
      <c r="E348" t="str">
        <f>VLOOKUP($A348,Lcode_mapping!$D:$T,17,FALSE)</f>
        <v>-</v>
      </c>
      <c r="H348" t="str">
        <f t="shared" si="18"/>
        <v>SITEZENS</v>
      </c>
      <c r="I348" t="str">
        <f t="shared" si="19"/>
        <v>SiteZenithDelay</v>
      </c>
      <c r="J348" t="str">
        <f t="shared" si="20"/>
        <v>Site zenith path delays (nsec).</v>
      </c>
      <c r="K348" t="str">
        <f>VLOOKUP($A348,Lcode_mapping!$D:$T,12,FALSE)</f>
        <v>Solve</v>
      </c>
      <c r="L348" t="str">
        <f>VLOOKUP($A348,Lcode_mapping!$D:$T,13,FALSE)</f>
        <v>CalcInfo</v>
      </c>
    </row>
    <row r="349" spans="1:12" x14ac:dyDescent="0.25">
      <c r="A349" s="25" t="s">
        <v>493</v>
      </c>
      <c r="B349" t="str">
        <f>VLOOKUP(A349,Lcode_mapping!D:T,1,FALSE)</f>
        <v>SITHOCAM</v>
      </c>
      <c r="C349" t="str">
        <f>VLOOKUP($A349,Lcode_mapping!$D:$T,15,FALSE)</f>
        <v>OceanHorizontalAmp</v>
      </c>
      <c r="D349" t="str">
        <f>VLOOKUP($A349,Lcode_mapping!$D:$T,7,FALSE)</f>
        <v>Horz ocean loading ampltudes (m)</v>
      </c>
      <c r="E349" t="str">
        <f>VLOOKUP($A349,Lcode_mapping!$D:$T,17,FALSE)</f>
        <v>-</v>
      </c>
      <c r="H349" t="str">
        <f t="shared" si="18"/>
        <v>SITHOCAM</v>
      </c>
      <c r="I349" t="str">
        <f t="shared" si="19"/>
        <v>OceanHorizontalAmp</v>
      </c>
      <c r="J349" t="str">
        <f t="shared" si="20"/>
        <v>Horz ocean loading ampltudes (m)</v>
      </c>
      <c r="K349" t="str">
        <f>VLOOKUP($A349,Lcode_mapping!$D:$T,12,FALSE)</f>
        <v>Solve</v>
      </c>
      <c r="L349" t="str">
        <f>VLOOKUP($A349,Lcode_mapping!$D:$T,13,FALSE)</f>
        <v>CalcInfo</v>
      </c>
    </row>
    <row r="350" spans="1:12" x14ac:dyDescent="0.25">
      <c r="A350" s="25" t="s">
        <v>495</v>
      </c>
      <c r="B350" t="str">
        <f>VLOOKUP(A350,Lcode_mapping!D:T,1,FALSE)</f>
        <v>SITHOCPH</v>
      </c>
      <c r="C350" t="str">
        <f>VLOOKUP($A350,Lcode_mapping!$D:$T,15,FALSE)</f>
        <v>OceanHorizontalPhase</v>
      </c>
      <c r="D350" t="str">
        <f>VLOOKUP($A350,Lcode_mapping!$D:$T,7,FALSE)</f>
        <v>Horz ocean loading phases (rad).</v>
      </c>
      <c r="E350" t="str">
        <f>VLOOKUP($A350,Lcode_mapping!$D:$T,17,FALSE)</f>
        <v>-</v>
      </c>
      <c r="H350" t="str">
        <f t="shared" si="18"/>
        <v>SITHOCPH</v>
      </c>
      <c r="I350" t="str">
        <f t="shared" si="19"/>
        <v>OceanHorizontalPhase</v>
      </c>
      <c r="J350" t="str">
        <f t="shared" si="20"/>
        <v>Horz ocean loading phases (rad).</v>
      </c>
      <c r="K350" t="str">
        <f>VLOOKUP($A350,Lcode_mapping!$D:$T,12,FALSE)</f>
        <v>Solve</v>
      </c>
      <c r="L350" t="str">
        <f>VLOOKUP($A350,Lcode_mapping!$D:$T,13,FALSE)</f>
        <v>CalcInfo</v>
      </c>
    </row>
    <row r="351" spans="1:12" x14ac:dyDescent="0.25">
      <c r="A351" s="25" t="s">
        <v>607</v>
      </c>
      <c r="B351" t="str">
        <f>VLOOKUP(A351,Lcode_mapping!D:T,1,FALSE)</f>
        <v>SITNAMES</v>
      </c>
      <c r="C351" t="str">
        <f>VLOOKUP($A351,Lcode_mapping!$D:$T,15,FALSE)</f>
        <v>AprioriStationList</v>
      </c>
      <c r="D351" t="str">
        <f>VLOOKUP($A351,Lcode_mapping!$D:$T,7,FALSE)</f>
        <v>Site names array in alphabetical order</v>
      </c>
      <c r="E351" t="str">
        <f>VLOOKUP($A351,Lcode_mapping!$D:$T,17,FALSE)</f>
        <v>Site names in alphabetical order</v>
      </c>
      <c r="H351" t="str">
        <f t="shared" si="18"/>
        <v>SITNAMES</v>
      </c>
      <c r="I351" t="str">
        <f t="shared" si="19"/>
        <v>AprioriStationList</v>
      </c>
      <c r="J351" t="str">
        <f t="shared" si="20"/>
        <v>Site names in alphabetical order</v>
      </c>
      <c r="K351" t="str">
        <f>VLOOKUP($A351,Lcode_mapping!$D:$T,12,FALSE)</f>
        <v>Apriori</v>
      </c>
      <c r="L351" t="str">
        <f>VLOOKUP($A351,Lcode_mapping!$D:$T,13,FALSE)</f>
        <v>Station</v>
      </c>
    </row>
    <row r="352" spans="1:12" x14ac:dyDescent="0.25">
      <c r="A352" s="25" t="s">
        <v>489</v>
      </c>
      <c r="B352" t="str">
        <f>VLOOKUP(A352,Lcode_mapping!D:T,1,FALSE)</f>
        <v>SITOCAMP</v>
      </c>
      <c r="C352" t="str">
        <f>VLOOKUP($A352,Lcode_mapping!$D:$T,15,FALSE)</f>
        <v>OceanUpAmp</v>
      </c>
      <c r="D352" t="str">
        <f>VLOOKUP($A352,Lcode_mapping!$D:$T,7,FALSE)</f>
        <v>Vert ocean loading ampltudes (m)</v>
      </c>
      <c r="E352" t="str">
        <f>VLOOKUP($A352,Lcode_mapping!$D:$T,17,FALSE)</f>
        <v>-</v>
      </c>
      <c r="H352" t="str">
        <f t="shared" si="18"/>
        <v>SITOCAMP</v>
      </c>
      <c r="I352" t="str">
        <f t="shared" si="19"/>
        <v>OceanUpAmp</v>
      </c>
      <c r="J352" t="str">
        <f t="shared" si="20"/>
        <v>Vert ocean loading ampltudes (m)</v>
      </c>
      <c r="K352" t="str">
        <f>VLOOKUP($A352,Lcode_mapping!$D:$T,12,FALSE)</f>
        <v>Solve</v>
      </c>
      <c r="L352" t="str">
        <f>VLOOKUP($A352,Lcode_mapping!$D:$T,13,FALSE)</f>
        <v>CalcInfo</v>
      </c>
    </row>
    <row r="353" spans="1:12" x14ac:dyDescent="0.25">
      <c r="A353" s="25" t="s">
        <v>491</v>
      </c>
      <c r="B353" t="str">
        <f>VLOOKUP(A353,Lcode_mapping!D:T,1,FALSE)</f>
        <v>SITOCPHS</v>
      </c>
      <c r="C353" t="str">
        <f>VLOOKUP($A353,Lcode_mapping!$D:$T,15,FALSE)</f>
        <v>OceanUpPhase</v>
      </c>
      <c r="D353" t="str">
        <f>VLOOKUP($A353,Lcode_mapping!$D:$T,7,FALSE)</f>
        <v>Vert ocean loading phases (rad).</v>
      </c>
      <c r="E353" t="str">
        <f>VLOOKUP($A353,Lcode_mapping!$D:$T,17,FALSE)</f>
        <v>-</v>
      </c>
      <c r="H353" t="str">
        <f t="shared" si="18"/>
        <v>SITOCPHS</v>
      </c>
      <c r="I353" t="str">
        <f t="shared" si="19"/>
        <v>OceanUpPhase</v>
      </c>
      <c r="J353" t="str">
        <f t="shared" si="20"/>
        <v>Vert ocean loading phases (rad).</v>
      </c>
      <c r="K353" t="str">
        <f>VLOOKUP($A353,Lcode_mapping!$D:$T,12,FALSE)</f>
        <v>Solve</v>
      </c>
      <c r="L353" t="str">
        <f>VLOOKUP($A353,Lcode_mapping!$D:$T,13,FALSE)</f>
        <v>CalcInfo</v>
      </c>
    </row>
    <row r="354" spans="1:12" x14ac:dyDescent="0.25">
      <c r="A354" s="25" t="s">
        <v>218</v>
      </c>
      <c r="B354" t="str">
        <f>VLOOKUP(A354,Lcode_mapping!D:T,1,FALSE)</f>
        <v>SLEWRATS</v>
      </c>
      <c r="C354" t="str">
        <f>VLOOKUP($A354,Lcode_mapping!$D:$T,15,FALSE)</f>
        <v>-</v>
      </c>
      <c r="D354" t="str">
        <f>VLOOKUP($A354,Lcode_mapping!$D:$T,7,FALSE)</f>
        <v>Antenna slew rates (rad/sec).</v>
      </c>
      <c r="E354" t="str">
        <f>VLOOKUP($A354,Lcode_mapping!$D:$T,17,FALSE)</f>
        <v>-</v>
      </c>
      <c r="H354" t="str">
        <f t="shared" si="18"/>
        <v>SLEWRATS</v>
      </c>
      <c r="I354" t="str">
        <f t="shared" si="19"/>
        <v>SLEWRATS</v>
      </c>
      <c r="J354" t="str">
        <f t="shared" si="20"/>
        <v>Antenna slew rates (rad/sec).</v>
      </c>
      <c r="K354" t="str">
        <f>VLOOKUP($A354,Lcode_mapping!$D:$T,12,FALSE)</f>
        <v>OBSOLETE</v>
      </c>
      <c r="L354" t="str">
        <f>VLOOKUP($A354,Lcode_mapping!$D:$T,13,FALSE)</f>
        <v>-</v>
      </c>
    </row>
    <row r="355" spans="1:12" x14ac:dyDescent="0.25">
      <c r="A355" s="25" t="s">
        <v>914</v>
      </c>
      <c r="B355" t="str">
        <f>VLOOKUP(A355,Lcode_mapping!D:T,1,FALSE)</f>
        <v>SNR_S</v>
      </c>
      <c r="C355" t="str">
        <f>VLOOKUP($A355,Lcode_mapping!$D:$T,15,FALSE)</f>
        <v>SNR</v>
      </c>
      <c r="D355" t="str">
        <f>VLOOKUP($A355,Lcode_mapping!$D:$T,7,FALSE)</f>
        <v>Signal to noise ratio for S-band</v>
      </c>
      <c r="E355" t="str">
        <f>VLOOKUP($A355,Lcode_mapping!$D:$T,17,FALSE)</f>
        <v>-</v>
      </c>
      <c r="H355" t="str">
        <f t="shared" si="18"/>
        <v>SNR_S</v>
      </c>
      <c r="I355" t="str">
        <f t="shared" si="19"/>
        <v>SNR</v>
      </c>
      <c r="J355" t="str">
        <f t="shared" si="20"/>
        <v>Signal to noise ratio for S-band</v>
      </c>
      <c r="K355" t="str">
        <f>VLOOKUP($A355,Lcode_mapping!$D:$T,12,FALSE)</f>
        <v>Observables</v>
      </c>
      <c r="L355" t="str">
        <f>VLOOKUP($A355,Lcode_mapping!$D:$T,13,FALSE)</f>
        <v>SNR_bS</v>
      </c>
    </row>
    <row r="356" spans="1:12" x14ac:dyDescent="0.25">
      <c r="A356" s="25" t="s">
        <v>779</v>
      </c>
      <c r="B356" t="str">
        <f>VLOOKUP(A356,Lcode_mapping!D:T,1,FALSE)</f>
        <v>SNRATIO</v>
      </c>
      <c r="C356" t="str">
        <f>VLOOKUP($A356,Lcode_mapping!$D:$T,15,FALSE)</f>
        <v>SNR</v>
      </c>
      <c r="D356" t="str">
        <f>VLOOKUP($A356,Lcode_mapping!$D:$T,7,FALSE)</f>
        <v>Signal to noise  ratio.</v>
      </c>
      <c r="E356" t="str">
        <f>VLOOKUP($A356,Lcode_mapping!$D:$T,17,FALSE)</f>
        <v>-</v>
      </c>
      <c r="H356" t="str">
        <f t="shared" si="18"/>
        <v>SNRATIO</v>
      </c>
      <c r="I356" t="str">
        <f t="shared" si="19"/>
        <v>SNR</v>
      </c>
      <c r="J356" t="str">
        <f t="shared" si="20"/>
        <v>Signal to noise  ratio.</v>
      </c>
      <c r="K356" t="str">
        <f>VLOOKUP($A356,Lcode_mapping!$D:$T,12,FALSE)</f>
        <v>Observables</v>
      </c>
      <c r="L356" t="str">
        <f>VLOOKUP($A356,Lcode_mapping!$D:$T,13,FALSE)</f>
        <v>SNR_bX</v>
      </c>
    </row>
    <row r="357" spans="1:12" x14ac:dyDescent="0.25">
      <c r="A357" s="25" t="s">
        <v>564</v>
      </c>
      <c r="B357" t="str">
        <f>VLOOKUP(A357,Lcode_mapping!D:T,1,FALSE)</f>
        <v>SOL_DATA</v>
      </c>
      <c r="C357" t="str">
        <f>VLOOKUP($A357,Lcode_mapping!$D:$T,15,FALSE)</f>
        <v>-</v>
      </c>
      <c r="D357" t="str">
        <f>VLOOKUP($A357,Lcode_mapping!$D:$T,7,FALSE)</f>
        <v>Stnd sol data. IDATYP from SOCOM</v>
      </c>
      <c r="E357" t="str">
        <f>VLOOKUP($A357,Lcode_mapping!$D:$T,17,FALSE)</f>
        <v>-</v>
      </c>
      <c r="H357" t="str">
        <f t="shared" si="18"/>
        <v>SOL_DATA</v>
      </c>
      <c r="I357" t="str">
        <f t="shared" si="19"/>
        <v>SOL_DATA</v>
      </c>
      <c r="J357" t="str">
        <f t="shared" si="20"/>
        <v>Stnd sol data. IDATYP from SOCOM</v>
      </c>
      <c r="K357" t="str">
        <f>VLOOKUP($A357,Lcode_mapping!$D:$T,12,FALSE)</f>
        <v>OBSOLETE</v>
      </c>
      <c r="L357" t="str">
        <f>VLOOKUP($A357,Lcode_mapping!$D:$T,13,FALSE)</f>
        <v>-</v>
      </c>
    </row>
    <row r="358" spans="1:12" x14ac:dyDescent="0.25">
      <c r="A358" s="25" t="s">
        <v>230</v>
      </c>
      <c r="B358" t="str">
        <f>VLOOKUP(A358,Lcode_mapping!D:T,1,FALSE)</f>
        <v>SOLVE_VR</v>
      </c>
      <c r="C358" t="str">
        <f>VLOOKUP($A358,Lcode_mapping!$D:$T,15,FALSE)</f>
        <v>-</v>
      </c>
      <c r="D358" t="str">
        <f>VLOOKUP($A358,Lcode_mapping!$D:$T,7,FALSE)</f>
        <v>SOLVE system version number</v>
      </c>
      <c r="E358" t="str">
        <f>VLOOKUP($A358,Lcode_mapping!$D:$T,17,FALSE)</f>
        <v>-</v>
      </c>
      <c r="H358" t="str">
        <f t="shared" si="18"/>
        <v>SOLVE_VR</v>
      </c>
      <c r="I358" t="str">
        <f t="shared" si="19"/>
        <v>SOLVE_VR</v>
      </c>
      <c r="J358" t="str">
        <f t="shared" si="20"/>
        <v>SOLVE system version number</v>
      </c>
      <c r="K358" t="str">
        <f>VLOOKUP($A358,Lcode_mapping!$D:$T,12,FALSE)</f>
        <v>OBSOLETE</v>
      </c>
      <c r="L358" t="str">
        <f>VLOOKUP($A358,Lcode_mapping!$D:$T,13,FALSE)</f>
        <v>-</v>
      </c>
    </row>
    <row r="359" spans="1:12" x14ac:dyDescent="0.25">
      <c r="A359" s="25" t="s">
        <v>574</v>
      </c>
      <c r="B359" t="str">
        <f>VLOOKUP(A359,Lcode_mapping!D:T,1,FALSE)</f>
        <v>SOURSTAT</v>
      </c>
      <c r="C359" t="str">
        <f>VLOOKUP($A359,Lcode_mapping!$D:$T,15,FALSE)</f>
        <v>SourceSelectionFlag</v>
      </c>
      <c r="D359" t="str">
        <f>VLOOKUP($A359,Lcode_mapping!$D:$T,7,FALSE)</f>
        <v>Sources selection status</v>
      </c>
      <c r="E359" t="str">
        <f>VLOOKUP($A359,Lcode_mapping!$D:$T,17,FALSE)</f>
        <v>Source selection status bit-mapped array.</v>
      </c>
      <c r="H359" t="str">
        <f t="shared" si="18"/>
        <v>SOURSTAT</v>
      </c>
      <c r="I359" t="str">
        <f t="shared" si="19"/>
        <v>SourceSelectionFlag</v>
      </c>
      <c r="J359" t="str">
        <f t="shared" si="20"/>
        <v>Source selection status bit-mapped array.</v>
      </c>
      <c r="K359" t="str">
        <f>VLOOKUP($A359,Lcode_mapping!$D:$T,12,FALSE)</f>
        <v>Solve</v>
      </c>
      <c r="L359" t="str">
        <f>VLOOKUP($A359,Lcode_mapping!$D:$T,13,FALSE)</f>
        <v>SelectionStatus</v>
      </c>
    </row>
    <row r="360" spans="1:12" x14ac:dyDescent="0.25">
      <c r="A360" s="25" t="s">
        <v>781</v>
      </c>
      <c r="B360" t="str">
        <f>VLOOKUP(A360,Lcode_mapping!D:T,1,FALSE)</f>
        <v>SRCHPAR</v>
      </c>
      <c r="C360" t="str">
        <f>VLOOKUP($A360,Lcode_mapping!$D:$T,15,FALSE)</f>
        <v>-</v>
      </c>
      <c r="D360" t="str">
        <f>VLOOKUP($A360,Lcode_mapping!$D:$T,7,FALSE)</f>
        <v>FRNGE/Fourfit search parameters.</v>
      </c>
      <c r="E360" t="str">
        <f>VLOOKUP($A360,Lcode_mapping!$D:$T,17,FALSE)</f>
        <v>-</v>
      </c>
      <c r="H360" t="str">
        <f t="shared" si="18"/>
        <v>SRCHPAR</v>
      </c>
      <c r="I360" t="str">
        <f t="shared" si="19"/>
        <v>SRCHPAR</v>
      </c>
      <c r="J360" t="str">
        <f t="shared" si="20"/>
        <v>FRNGE/Fourfit search parameters.</v>
      </c>
      <c r="K360" t="str">
        <f>VLOOKUP($A360,Lcode_mapping!$D:$T,12,FALSE)</f>
        <v>Observables</v>
      </c>
      <c r="L360" t="str">
        <f>VLOOKUP($A360,Lcode_mapping!$D:$T,13,FALSE)</f>
        <v>CorrInfo_bX</v>
      </c>
    </row>
    <row r="361" spans="1:12" x14ac:dyDescent="0.25">
      <c r="A361" s="25" t="s">
        <v>984</v>
      </c>
      <c r="B361" t="str">
        <f>VLOOKUP(A361,Lcode_mapping!D:T,1,FALSE)</f>
        <v>STAR ID</v>
      </c>
      <c r="C361" t="str">
        <f>VLOOKUP($A361,Lcode_mapping!$D:$T,15,FALSE)</f>
        <v>Source</v>
      </c>
      <c r="D361" t="str">
        <f>VLOOKUP($A361,Lcode_mapping!$D:$T,7,FALSE)</f>
        <v>Radio source name.</v>
      </c>
      <c r="E361" t="str">
        <f>VLOOKUP($A361,Lcode_mapping!$D:$T,17,FALSE)</f>
        <v>-</v>
      </c>
      <c r="H361" t="str">
        <f t="shared" si="18"/>
        <v>STAR ID</v>
      </c>
      <c r="I361" t="str">
        <f t="shared" si="19"/>
        <v>Source</v>
      </c>
      <c r="J361" t="str">
        <f t="shared" si="20"/>
        <v>Radio source name.</v>
      </c>
      <c r="K361" t="str">
        <f>VLOOKUP($A361,Lcode_mapping!$D:$T,12,FALSE)</f>
        <v>Observables</v>
      </c>
      <c r="L361" t="str">
        <f>VLOOKUP($A361,Lcode_mapping!$D:$T,13,FALSE)</f>
        <v>Source</v>
      </c>
    </row>
    <row r="362" spans="1:12" x14ac:dyDescent="0.25">
      <c r="A362" s="25" t="s">
        <v>651</v>
      </c>
      <c r="B362" t="str">
        <f>VLOOKUP(A362,Lcode_mapping!D:T,1,FALSE)</f>
        <v>STAR REF</v>
      </c>
      <c r="C362" t="str">
        <f>VLOOKUP($A362,Lcode_mapping!$D:$T,15,FALSE)</f>
        <v>AprioriSourceReference</v>
      </c>
      <c r="D362" t="str">
        <f>VLOOKUP($A362,Lcode_mapping!$D:$T,7,FALSE)</f>
        <v>Source of coordinate values.</v>
      </c>
      <c r="E362" t="str">
        <f>VLOOKUP($A362,Lcode_mapping!$D:$T,17,FALSE)</f>
        <v>-</v>
      </c>
      <c r="H362" t="str">
        <f t="shared" si="18"/>
        <v>STAR REF</v>
      </c>
      <c r="I362" t="str">
        <f t="shared" si="19"/>
        <v>AprioriSourceReference</v>
      </c>
      <c r="J362" t="str">
        <f t="shared" si="20"/>
        <v>Source of coordinate values.</v>
      </c>
      <c r="K362" t="str">
        <f>VLOOKUP($A362,Lcode_mapping!$D:$T,12,FALSE)</f>
        <v>Apriori</v>
      </c>
      <c r="L362" t="str">
        <f>VLOOKUP($A362,Lcode_mapping!$D:$T,13,FALSE)</f>
        <v>Source</v>
      </c>
    </row>
    <row r="363" spans="1:12" x14ac:dyDescent="0.25">
      <c r="A363" s="25" t="s">
        <v>497</v>
      </c>
      <c r="B363" t="str">
        <f>VLOOKUP(A363,Lcode_mapping!D:T,1,FALSE)</f>
        <v>STAR2000</v>
      </c>
      <c r="C363" t="str">
        <f>VLOOKUP($A363,Lcode_mapping!$D:$T,15,FALSE)</f>
        <v>AprioriSource2000RaDec</v>
      </c>
      <c r="D363" t="str">
        <f>VLOOKUP($A363,Lcode_mapping!$D:$T,7,FALSE)</f>
        <v>J2000 source RAs  decs (rd rd).</v>
      </c>
      <c r="E363" t="str">
        <f>VLOOKUP($A363,Lcode_mapping!$D:$T,17,FALSE)</f>
        <v>J2000 Source RA and Dec</v>
      </c>
      <c r="H363" t="str">
        <f t="shared" si="18"/>
        <v>STAR2000</v>
      </c>
      <c r="I363" t="str">
        <f t="shared" si="19"/>
        <v>AprioriSource2000RaDec</v>
      </c>
      <c r="J363" t="str">
        <f t="shared" si="20"/>
        <v>J2000 Source RA and Dec</v>
      </c>
      <c r="K363" t="str">
        <f>VLOOKUP($A363,Lcode_mapping!$D:$T,12,FALSE)</f>
        <v>Apriori</v>
      </c>
      <c r="L363" t="str">
        <f>VLOOKUP($A363,Lcode_mapping!$D:$T,13,FALSE)</f>
        <v>Source</v>
      </c>
    </row>
    <row r="364" spans="1:12" x14ac:dyDescent="0.25">
      <c r="A364" s="25" t="s">
        <v>1022</v>
      </c>
      <c r="B364" t="str">
        <f>VLOOKUP(A364,Lcode_mapping!D:T,1,FALSE)</f>
        <v>STARELEV</v>
      </c>
      <c r="C364" t="str">
        <f>VLOOKUP($A364,Lcode_mapping!$D:$T,15,FALSE)</f>
        <v>-</v>
      </c>
      <c r="D364" t="str">
        <f>VLOOKUP($A364,Lcode_mapping!$D:$T,7,FALSE)</f>
        <v>Elev angles calc by COREL.</v>
      </c>
      <c r="E364" t="str">
        <f>VLOOKUP($A364,Lcode_mapping!$D:$T,17,FALSE)</f>
        <v>-</v>
      </c>
      <c r="H364" t="str">
        <f t="shared" si="18"/>
        <v>STARELEV</v>
      </c>
      <c r="I364" t="str">
        <f t="shared" si="19"/>
        <v>STARELEV</v>
      </c>
      <c r="J364" t="str">
        <f t="shared" si="20"/>
        <v>Elev angles calc by COREL.</v>
      </c>
      <c r="K364" t="str">
        <f>VLOOKUP($A364,Lcode_mapping!$D:$T,12,FALSE)</f>
        <v>Observables</v>
      </c>
      <c r="L364" t="str">
        <f>VLOOKUP($A364,Lcode_mapping!$D:$T,13,FALSE)</f>
        <v>CorrInfo_bX</v>
      </c>
    </row>
    <row r="365" spans="1:12" x14ac:dyDescent="0.25">
      <c r="A365" s="25" t="s">
        <v>1042</v>
      </c>
      <c r="B365" t="str">
        <f>VLOOKUP(A365,Lcode_mapping!D:T,1,FALSE)</f>
        <v>STARTOFF</v>
      </c>
      <c r="C365" t="str">
        <f>VLOOKUP($A365,Lcode_mapping!$D:$T,15,FALSE)</f>
        <v>StartOffset</v>
      </c>
      <c r="D365" t="str">
        <f>VLOOKUP($A365,Lcode_mapping!$D:$T,7,FALSE)</f>
        <v>Offset nominal start time (sec).</v>
      </c>
      <c r="E365" t="str">
        <f>VLOOKUP($A365,Lcode_mapping!$D:$T,17,FALSE)</f>
        <v>-</v>
      </c>
      <c r="H365" t="str">
        <f t="shared" si="18"/>
        <v>STARTOFF</v>
      </c>
      <c r="I365" t="str">
        <f t="shared" si="19"/>
        <v>StartOffset</v>
      </c>
      <c r="J365" t="str">
        <f t="shared" si="20"/>
        <v>Offset nominal start time (sec).</v>
      </c>
      <c r="K365" t="str">
        <f>VLOOKUP($A365,Lcode_mapping!$D:$T,12,FALSE)</f>
        <v>Observables</v>
      </c>
      <c r="L365" t="str">
        <f>VLOOKUP($A365,Lcode_mapping!$D:$T,13,FALSE)</f>
        <v>CorrInfo_bX</v>
      </c>
    </row>
    <row r="366" spans="1:12" x14ac:dyDescent="0.25">
      <c r="A366" s="25" t="s">
        <v>783</v>
      </c>
      <c r="B366" t="str">
        <f>VLOOKUP(A366,Lcode_mapping!D:T,1,FALSE)</f>
        <v>STARTSEC</v>
      </c>
      <c r="C366" t="str">
        <f>VLOOKUP($A366,Lcode_mapping!$D:$T,15,FALSE)</f>
        <v>-</v>
      </c>
      <c r="D366" t="str">
        <f>VLOOKUP($A366,Lcode_mapping!$D:$T,7,FALSE)</f>
        <v>Start time in sec past hour.</v>
      </c>
      <c r="E366" t="str">
        <f>VLOOKUP($A366,Lcode_mapping!$D:$T,17,FALSE)</f>
        <v>-</v>
      </c>
      <c r="H366" t="str">
        <f t="shared" si="18"/>
        <v>STARTSEC</v>
      </c>
      <c r="I366" t="str">
        <f t="shared" si="19"/>
        <v>STARTSEC</v>
      </c>
      <c r="J366" t="str">
        <f t="shared" si="20"/>
        <v>Start time in sec past hour.</v>
      </c>
      <c r="K366" t="str">
        <f>VLOOKUP($A366,Lcode_mapping!$D:$T,12,FALSE)</f>
        <v>Observables</v>
      </c>
      <c r="L366" t="str">
        <f>VLOOKUP($A366,Lcode_mapping!$D:$T,13,FALSE)</f>
        <v>CorrInfo_bX</v>
      </c>
    </row>
    <row r="367" spans="1:12" x14ac:dyDescent="0.25">
      <c r="A367" s="25" t="s">
        <v>714</v>
      </c>
      <c r="B367" t="str">
        <f>VLOOKUP(A367,Lcode_mapping!D:T,1,FALSE)</f>
        <v>STAT_ACM</v>
      </c>
      <c r="C367" t="str">
        <f>VLOOKUP($A367,Lcode_mapping!$D:$T,15,FALSE)</f>
        <v>AprioriClockStationList</v>
      </c>
      <c r="D367" t="str">
        <f>VLOOKUP($A367,Lcode_mapping!$D:$T,7,FALSE)</f>
        <v>Stations with a priori clock mod</v>
      </c>
      <c r="E367" t="str">
        <f>VLOOKUP($A367,Lcode_mapping!$D:$T,17,FALSE)</f>
        <v>-</v>
      </c>
      <c r="H367" t="str">
        <f t="shared" si="18"/>
        <v>STAT_ACM</v>
      </c>
      <c r="I367" t="str">
        <f t="shared" si="19"/>
        <v>AprioriClockStationList</v>
      </c>
      <c r="J367" t="str">
        <f t="shared" si="20"/>
        <v>Stations with a priori clock mod</v>
      </c>
      <c r="K367" t="str">
        <f>VLOOKUP($A367,Lcode_mapping!$D:$T,12,FALSE)</f>
        <v>Apriori</v>
      </c>
      <c r="L367" t="str">
        <f>VLOOKUP($A367,Lcode_mapping!$D:$T,13,FALSE)</f>
        <v>Clock</v>
      </c>
    </row>
    <row r="368" spans="1:12" x14ac:dyDescent="0.25">
      <c r="A368" s="25" t="s">
        <v>2080</v>
      </c>
      <c r="B368" t="e">
        <f>VLOOKUP(A368,Lcode_mapping!D:T,1,FALSE)</f>
        <v>#N/A</v>
      </c>
      <c r="C368" t="e">
        <f>VLOOKUP($A368,Lcode_mapping!$D:$T,15,FALSE)</f>
        <v>#N/A</v>
      </c>
      <c r="D368" t="e">
        <f>VLOOKUP($A368,Lcode_mapping!$D:$T,7,FALSE)</f>
        <v>#N/A</v>
      </c>
      <c r="E368" t="e">
        <f>VLOOKUP($A368,Lcode_mapping!$D:$T,17,FALSE)</f>
        <v>#N/A</v>
      </c>
      <c r="H368" t="str">
        <f t="shared" si="18"/>
        <v>StationNameCrossRef</v>
      </c>
      <c r="I368" t="e">
        <f t="shared" si="19"/>
        <v>#N/A</v>
      </c>
      <c r="J368" t="e">
        <f t="shared" si="20"/>
        <v>#N/A</v>
      </c>
      <c r="K368" t="e">
        <f>VLOOKUP($A368,Lcode_mapping!$D:$T,12,FALSE)</f>
        <v>#N/A</v>
      </c>
      <c r="L368" t="e">
        <f>VLOOKUP($A368,Lcode_mapping!$D:$T,13,FALSE)</f>
        <v>#N/A</v>
      </c>
    </row>
    <row r="369" spans="1:12" x14ac:dyDescent="0.25">
      <c r="A369" s="25" t="s">
        <v>1044</v>
      </c>
      <c r="B369" t="str">
        <f>VLOOKUP(A369,Lcode_mapping!D:T,1,FALSE)</f>
        <v>STOP OFF</v>
      </c>
      <c r="C369" t="str">
        <f>VLOOKUP($A369,Lcode_mapping!$D:$T,15,FALSE)</f>
        <v>StopOffset</v>
      </c>
      <c r="D369" t="str">
        <f>VLOOKUP($A369,Lcode_mapping!$D:$T,7,FALSE)</f>
        <v>Offset nominal stop time (sec).</v>
      </c>
      <c r="E369" t="str">
        <f>VLOOKUP($A369,Lcode_mapping!$D:$T,17,FALSE)</f>
        <v>-</v>
      </c>
      <c r="H369" t="str">
        <f t="shared" si="18"/>
        <v>STOP OFF</v>
      </c>
      <c r="I369" t="str">
        <f t="shared" si="19"/>
        <v>StopOffset</v>
      </c>
      <c r="J369" t="str">
        <f t="shared" si="20"/>
        <v>Offset nominal stop time (sec).</v>
      </c>
      <c r="K369" t="str">
        <f>VLOOKUP($A369,Lcode_mapping!$D:$T,12,FALSE)</f>
        <v>Observables</v>
      </c>
      <c r="L369" t="str">
        <f>VLOOKUP($A369,Lcode_mapping!$D:$T,13,FALSE)</f>
        <v>CorrInfo_bX</v>
      </c>
    </row>
    <row r="370" spans="1:12" x14ac:dyDescent="0.25">
      <c r="A370" s="25" t="s">
        <v>785</v>
      </c>
      <c r="B370" t="str">
        <f>VLOOKUP(A370,Lcode_mapping!D:T,1,FALSE)</f>
        <v>STOP SEC</v>
      </c>
      <c r="C370" t="str">
        <f>VLOOKUP($A370,Lcode_mapping!$D:$T,15,FALSE)</f>
        <v>StopSec</v>
      </c>
      <c r="D370" t="str">
        <f>VLOOKUP($A370,Lcode_mapping!$D:$T,7,FALSE)</f>
        <v>Stop  time in sec past hour.</v>
      </c>
      <c r="E370" t="str">
        <f>VLOOKUP($A370,Lcode_mapping!$D:$T,17,FALSE)</f>
        <v>-</v>
      </c>
      <c r="H370" t="str">
        <f t="shared" si="18"/>
        <v>STOP SEC</v>
      </c>
      <c r="I370" t="str">
        <f t="shared" si="19"/>
        <v>StopSec</v>
      </c>
      <c r="J370" t="str">
        <f t="shared" si="20"/>
        <v>Stop  time in sec past hour.</v>
      </c>
      <c r="K370" t="str">
        <f>VLOOKUP($A370,Lcode_mapping!$D:$T,12,FALSE)</f>
        <v>Observables</v>
      </c>
      <c r="L370" t="str">
        <f>VLOOKUP($A370,Lcode_mapping!$D:$T,13,FALSE)</f>
        <v>CorrInfo_bX</v>
      </c>
    </row>
    <row r="371" spans="1:12" x14ac:dyDescent="0.25">
      <c r="A371" s="25" t="s">
        <v>649</v>
      </c>
      <c r="B371" t="str">
        <f>VLOOKUP(A371,Lcode_mapping!D:T,1,FALSE)</f>
        <v>STR CFLG</v>
      </c>
      <c r="C371" t="str">
        <f>VLOOKUP($A371,Lcode_mapping!$D:$T,15,FALSE)</f>
        <v>StarParallaxControl</v>
      </c>
      <c r="D371" t="str">
        <f>VLOOKUP($A371,Lcode_mapping!$D:$T,7,FALSE)</f>
        <v>Parallax flow control mess def</v>
      </c>
      <c r="E371" t="str">
        <f>VLOOKUP($A371,Lcode_mapping!$D:$T,17,FALSE)</f>
        <v>-</v>
      </c>
      <c r="H371" t="str">
        <f t="shared" si="18"/>
        <v>STR CFLG</v>
      </c>
      <c r="I371" t="str">
        <f t="shared" si="19"/>
        <v>StarParallaxControl</v>
      </c>
      <c r="J371" t="str">
        <f t="shared" si="20"/>
        <v>Parallax flow control mess def</v>
      </c>
      <c r="K371" t="str">
        <f>VLOOKUP($A371,Lcode_mapping!$D:$T,12,FALSE)</f>
        <v>Solve</v>
      </c>
      <c r="L371" t="str">
        <f>VLOOKUP($A371,Lcode_mapping!$D:$T,13,FALSE)</f>
        <v>CalcInfo</v>
      </c>
    </row>
    <row r="372" spans="1:12" x14ac:dyDescent="0.25">
      <c r="A372" s="25" t="s">
        <v>647</v>
      </c>
      <c r="B372" t="str">
        <f>VLOOKUP(A372,Lcode_mapping!D:T,1,FALSE)</f>
        <v>STR MESS</v>
      </c>
      <c r="C372" t="str">
        <f>VLOOKUP($A372,Lcode_mapping!$D:$T,15,FALSE)</f>
        <v>StarMessage</v>
      </c>
      <c r="D372" t="str">
        <f>VLOOKUP($A372,Lcode_mapping!$D:$T,7,FALSE)</f>
        <v>Star module message definition</v>
      </c>
      <c r="E372" t="str">
        <f>VLOOKUP($A372,Lcode_mapping!$D:$T,17,FALSE)</f>
        <v>-</v>
      </c>
      <c r="H372" t="str">
        <f t="shared" si="18"/>
        <v>STR MESS</v>
      </c>
      <c r="I372" t="str">
        <f t="shared" si="19"/>
        <v>StarMessage</v>
      </c>
      <c r="J372" t="str">
        <f t="shared" si="20"/>
        <v>Star module message definition</v>
      </c>
      <c r="K372" t="str">
        <f>VLOOKUP($A372,Lcode_mapping!$D:$T,12,FALSE)</f>
        <v>Solve</v>
      </c>
      <c r="L372" t="str">
        <f>VLOOKUP($A372,Lcode_mapping!$D:$T,13,FALSE)</f>
        <v>CalcInfo</v>
      </c>
    </row>
    <row r="373" spans="1:12" x14ac:dyDescent="0.25">
      <c r="A373" s="25" t="s">
        <v>839</v>
      </c>
      <c r="B373" t="str">
        <f>VLOOKUP(A373,Lcode_mapping!D:T,1,FALSE)</f>
        <v>STR PART</v>
      </c>
      <c r="C373" t="str">
        <f>VLOOKUP($A373,Lcode_mapping!$D:$T,15,FALSE)</f>
        <v>Part-RaDec</v>
      </c>
      <c r="D373" t="str">
        <f>VLOOKUP($A373,Lcode_mapping!$D:$T,7,FALSE)</f>
        <v>Star partial derivatives def.</v>
      </c>
      <c r="E373" t="str">
        <f>VLOOKUP($A373,Lcode_mapping!$D:$T,17,FALSE)</f>
        <v>-</v>
      </c>
      <c r="H373" t="str">
        <f t="shared" si="18"/>
        <v>STR PART</v>
      </c>
      <c r="I373" t="str">
        <f t="shared" si="19"/>
        <v>Part-RaDec</v>
      </c>
      <c r="J373" t="str">
        <f t="shared" si="20"/>
        <v>Star partial derivatives def.</v>
      </c>
      <c r="K373" t="str">
        <f>VLOOKUP($A373,Lcode_mapping!$D:$T,12,FALSE)</f>
        <v>ObsPart</v>
      </c>
      <c r="L373" t="str">
        <f>VLOOKUP($A373,Lcode_mapping!$D:$T,13,FALSE)</f>
        <v>Part-RaDec</v>
      </c>
    </row>
    <row r="374" spans="1:12" x14ac:dyDescent="0.25">
      <c r="A374" s="25" t="s">
        <v>1755</v>
      </c>
      <c r="B374" t="str">
        <f>VLOOKUP(A374,Lcode_mapping!D:T,1,FALSE)</f>
        <v>STR TIME</v>
      </c>
      <c r="C374" t="str">
        <f>VLOOKUP($A374,Lcode_mapping!$D:$T,15,FALSE)</f>
        <v>TimeSinceStart</v>
      </c>
      <c r="D374" t="str">
        <f>VLOOKUP($A374,Lcode_mapping!$D:$T,7,FALSE)</f>
        <v>Interval since start time (sec).</v>
      </c>
      <c r="E374" t="str">
        <f>VLOOKUP($A374,Lcode_mapping!$D:$T,17,FALSE)</f>
        <v>-</v>
      </c>
      <c r="H374" t="str">
        <f t="shared" si="18"/>
        <v>STR TIME</v>
      </c>
      <c r="I374" t="str">
        <f t="shared" si="19"/>
        <v>TimeSinceStart</v>
      </c>
      <c r="J374" t="str">
        <f t="shared" si="20"/>
        <v>Interval since start time (sec).</v>
      </c>
      <c r="K374" t="str">
        <f>VLOOKUP($A374,Lcode_mapping!$D:$T,12,FALSE)</f>
        <v>Observables</v>
      </c>
      <c r="L374" t="str">
        <f>VLOOKUP($A374,Lcode_mapping!$D:$T,13,FALSE)</f>
        <v>CorrInfo_bX</v>
      </c>
    </row>
    <row r="375" spans="1:12" x14ac:dyDescent="0.25">
      <c r="A375" s="25" t="s">
        <v>609</v>
      </c>
      <c r="B375" t="str">
        <f>VLOOKUP(A375,Lcode_mapping!D:T,1,FALSE)</f>
        <v>STRNAMES</v>
      </c>
      <c r="C375" t="str">
        <f>VLOOKUP($A375,Lcode_mapping!$D:$T,15,FALSE)</f>
        <v>AprioriSourceList</v>
      </c>
      <c r="D375" t="str">
        <f>VLOOKUP($A375,Lcode_mapping!$D:$T,7,FALSE)</f>
        <v>Source names array.</v>
      </c>
      <c r="E375" t="str">
        <f>VLOOKUP($A375,Lcode_mapping!$D:$T,17,FALSE)</f>
        <v>Source names in RA order.</v>
      </c>
      <c r="H375" t="str">
        <f t="shared" si="18"/>
        <v>STRNAMES</v>
      </c>
      <c r="I375" t="str">
        <f t="shared" si="19"/>
        <v>AprioriSourceList</v>
      </c>
      <c r="J375" t="str">
        <f t="shared" si="20"/>
        <v>Source names in RA order.</v>
      </c>
      <c r="K375" t="str">
        <f>VLOOKUP($A375,Lcode_mapping!$D:$T,12,FALSE)</f>
        <v>Apriori</v>
      </c>
      <c r="L375" t="str">
        <f>VLOOKUP($A375,Lcode_mapping!$D:$T,13,FALSE)</f>
        <v>Source</v>
      </c>
    </row>
    <row r="376" spans="1:12" x14ac:dyDescent="0.25">
      <c r="A376" s="25" t="s">
        <v>869</v>
      </c>
      <c r="B376" t="str">
        <f>VLOOKUP(A376,Lcode_mapping!D:T,1,FALSE)</f>
        <v>SUN CONT</v>
      </c>
      <c r="C376" t="str">
        <f>VLOOKUP($A376,Lcode_mapping!$D:$T,15,FALSE)</f>
        <v>Cal-BendSun</v>
      </c>
      <c r="D376" t="str">
        <f>VLOOKUP($A376,Lcode_mapping!$D:$T,7,FALSE)</f>
        <v>Consensus bending contrib. (sec)</v>
      </c>
      <c r="E376" t="str">
        <f>VLOOKUP($A376,Lcode_mapping!$D:$T,17,FALSE)</f>
        <v>-</v>
      </c>
      <c r="H376" t="str">
        <f t="shared" si="18"/>
        <v>SUN CONT</v>
      </c>
      <c r="I376" t="str">
        <f t="shared" si="19"/>
        <v>Cal-BendSun</v>
      </c>
      <c r="J376" t="str">
        <f t="shared" si="20"/>
        <v>Consensus bending contrib. (sec)</v>
      </c>
      <c r="K376" t="str">
        <f>VLOOKUP($A376,Lcode_mapping!$D:$T,12,FALSE)</f>
        <v>ObsCalTheo</v>
      </c>
      <c r="L376" t="str">
        <f>VLOOKUP($A376,Lcode_mapping!$D:$T,13,FALSE)</f>
        <v>Cal-BendSun</v>
      </c>
    </row>
    <row r="377" spans="1:12" x14ac:dyDescent="0.25">
      <c r="A377" s="25" t="s">
        <v>857</v>
      </c>
      <c r="B377" t="str">
        <f>VLOOKUP(A377,Lcode_mapping!D:T,1,FALSE)</f>
        <v>SUN DATA</v>
      </c>
      <c r="C377" t="str">
        <f>VLOOKUP($A377,Lcode_mapping!$D:$T,15,FALSE)</f>
        <v>SunXYZ</v>
      </c>
      <c r="D377" t="str">
        <f>VLOOKUP($A377,Lcode_mapping!$D:$T,7,FALSE)</f>
        <v>Solar geocentric coordinates.</v>
      </c>
      <c r="E377" t="str">
        <f>VLOOKUP($A377,Lcode_mapping!$D:$T,17,FALSE)</f>
        <v>-</v>
      </c>
      <c r="H377" t="str">
        <f t="shared" si="18"/>
        <v>SUN DATA</v>
      </c>
      <c r="I377" t="str">
        <f t="shared" si="19"/>
        <v>SunXYZ</v>
      </c>
      <c r="J377" t="str">
        <f t="shared" si="20"/>
        <v>Solar geocentric coordinates.</v>
      </c>
      <c r="K377" t="str">
        <f>VLOOKUP($A377,Lcode_mapping!$D:$T,12,FALSE)</f>
        <v>Scan</v>
      </c>
      <c r="L377" t="str">
        <f>VLOOKUP($A377,Lcode_mapping!$D:$T,13,FALSE)</f>
        <v>Ephemeris_kDE405JPL</v>
      </c>
    </row>
    <row r="378" spans="1:12" x14ac:dyDescent="0.25">
      <c r="A378" s="25" t="s">
        <v>870</v>
      </c>
      <c r="B378" t="str">
        <f>VLOOKUP(A378,Lcode_mapping!D:T,1,FALSE)</f>
        <v>SUN2CONT</v>
      </c>
      <c r="C378" t="str">
        <f>VLOOKUP($A378,Lcode_mapping!$D:$T,15,FALSE)</f>
        <v>Cal-BendSunHigher</v>
      </c>
      <c r="D378" t="str">
        <f>VLOOKUP($A378,Lcode_mapping!$D:$T,7,FALSE)</f>
        <v>High order bending contrib.(sec)</v>
      </c>
      <c r="E378" t="str">
        <f>VLOOKUP($A378,Lcode_mapping!$D:$T,17,FALSE)</f>
        <v>-</v>
      </c>
      <c r="H378" t="str">
        <f t="shared" si="18"/>
        <v>SUN2CONT</v>
      </c>
      <c r="I378" t="str">
        <f t="shared" si="19"/>
        <v>Cal-BendSunHigher</v>
      </c>
      <c r="J378" t="str">
        <f t="shared" si="20"/>
        <v>High order bending contrib.(sec)</v>
      </c>
      <c r="K378" t="str">
        <f>VLOOKUP($A378,Lcode_mapping!$D:$T,12,FALSE)</f>
        <v>ObsCalTheo</v>
      </c>
      <c r="L378" t="str">
        <f>VLOOKUP($A378,Lcode_mapping!$D:$T,13,FALSE)</f>
        <v>Cal-BendSunHigher</v>
      </c>
    </row>
    <row r="379" spans="1:12" x14ac:dyDescent="0.25">
      <c r="A379" s="25" t="s">
        <v>576</v>
      </c>
      <c r="B379" t="str">
        <f>VLOOKUP(A379,Lcode_mapping!D:T,1,FALSE)</f>
        <v>SUPMET</v>
      </c>
      <c r="C379" t="str">
        <f>VLOOKUP($A379,Lcode_mapping!$D:$T,15,FALSE)</f>
        <v>-</v>
      </c>
      <c r="D379" t="str">
        <f>VLOOKUP($A379,Lcode_mapping!$D:$T,7,FALSE)</f>
        <v>Suppression method</v>
      </c>
      <c r="E379" t="str">
        <f>VLOOKUP($A379,Lcode_mapping!$D:$T,17,FALSE)</f>
        <v>-</v>
      </c>
      <c r="H379" t="str">
        <f t="shared" si="18"/>
        <v>SUPMET</v>
      </c>
      <c r="I379" t="str">
        <f t="shared" si="19"/>
        <v>SUPMET</v>
      </c>
      <c r="J379" t="str">
        <f t="shared" si="20"/>
        <v>Suppression method</v>
      </c>
      <c r="K379" t="str">
        <f>VLOOKUP($A379,Lcode_mapping!$D:$T,12,FALSE)</f>
        <v>OBSOLETE</v>
      </c>
      <c r="L379" t="str">
        <f>VLOOKUP($A379,Lcode_mapping!$D:$T,13,FALSE)</f>
        <v>-</v>
      </c>
    </row>
    <row r="380" spans="1:12" x14ac:dyDescent="0.25">
      <c r="A380" s="25" t="s">
        <v>505</v>
      </c>
      <c r="B380" t="str">
        <f>VLOOKUP(A380,Lcode_mapping!D:T,1,FALSE)</f>
        <v>TAI- UTC</v>
      </c>
      <c r="C380" t="str">
        <f>VLOOKUP($A380,Lcode_mapping!$D:$T,15,FALSE)</f>
        <v>LeapSecond</v>
      </c>
      <c r="D380" t="str">
        <f>VLOOKUP($A380,Lcode_mapping!$D:$T,7,FALSE)</f>
        <v>FJD TAI-UTC (sec) rate off.(sec)</v>
      </c>
      <c r="E380" t="str">
        <f>VLOOKUP($A380,Lcode_mapping!$D:$T,17,FALSE)</f>
        <v>Leap second</v>
      </c>
      <c r="H380" t="str">
        <f t="shared" si="18"/>
        <v>TAI- UTC</v>
      </c>
      <c r="I380" t="str">
        <f t="shared" si="19"/>
        <v>LeapSecond</v>
      </c>
      <c r="J380" t="str">
        <f t="shared" si="20"/>
        <v>Leap second</v>
      </c>
      <c r="K380" t="str">
        <f>VLOOKUP($A380,Lcode_mapping!$D:$T,12,FALSE)</f>
        <v>Solve</v>
      </c>
      <c r="L380" t="str">
        <f>VLOOKUP($A380,Lcode_mapping!$D:$T,13,FALSE)</f>
        <v>Misc</v>
      </c>
    </row>
    <row r="381" spans="1:12" x14ac:dyDescent="0.25">
      <c r="A381" s="25" t="s">
        <v>1060</v>
      </c>
      <c r="B381" t="str">
        <f>VLOOKUP(A381,Lcode_mapping!D:T,1,FALSE)</f>
        <v>TAPEID</v>
      </c>
      <c r="C381" t="str">
        <f>VLOOKUP($A381,Lcode_mapping!$D:$T,15,FALSE)</f>
        <v>-</v>
      </c>
      <c r="D381" t="str">
        <f>VLOOKUP($A381,Lcode_mapping!$D:$T,7,FALSE)</f>
        <v>Raw data tape ID for ref and rem</v>
      </c>
      <c r="E381" t="str">
        <f>VLOOKUP($A381,Lcode_mapping!$D:$T,17,FALSE)</f>
        <v>-</v>
      </c>
      <c r="H381" t="str">
        <f t="shared" si="18"/>
        <v>TAPEID</v>
      </c>
      <c r="I381" t="str">
        <f t="shared" si="19"/>
        <v>TAPEID</v>
      </c>
      <c r="J381" t="str">
        <f t="shared" si="20"/>
        <v>Raw data tape ID for ref and rem</v>
      </c>
      <c r="K381" t="str">
        <f>VLOOKUP($A381,Lcode_mapping!$D:$T,12,FALSE)</f>
        <v>Observables</v>
      </c>
      <c r="L381" t="str">
        <f>VLOOKUP($A381,Lcode_mapping!$D:$T,13,FALSE)</f>
        <v>CorrInfo_bX</v>
      </c>
    </row>
    <row r="382" spans="1:12" x14ac:dyDescent="0.25">
      <c r="A382" s="25" t="s">
        <v>1062</v>
      </c>
      <c r="B382" t="str">
        <f>VLOOKUP(A382,Lcode_mapping!D:T,1,FALSE)</f>
        <v>TAPQCODE</v>
      </c>
      <c r="C382" t="str">
        <f>VLOOKUP($A382,Lcode_mapping!$D:$T,15,FALSE)</f>
        <v>TapeCode</v>
      </c>
      <c r="D382" t="str">
        <f>VLOOKUP($A382,Lcode_mapping!$D:$T,7,FALSE)</f>
        <v>Tape quality code.</v>
      </c>
      <c r="E382" t="str">
        <f>VLOOKUP($A382,Lcode_mapping!$D:$T,17,FALSE)</f>
        <v>-</v>
      </c>
      <c r="H382" t="str">
        <f t="shared" si="18"/>
        <v>TAPQCODE</v>
      </c>
      <c r="I382" t="str">
        <f t="shared" si="19"/>
        <v>TapeCode</v>
      </c>
      <c r="J382" t="str">
        <f t="shared" si="20"/>
        <v>Tape quality code.</v>
      </c>
      <c r="K382" t="str">
        <f>VLOOKUP($A382,Lcode_mapping!$D:$T,12,FALSE)</f>
        <v>Observables</v>
      </c>
      <c r="L382" t="str">
        <f>VLOOKUP($A382,Lcode_mapping!$D:$T,13,FALSE)</f>
        <v>CorrInfo_bX</v>
      </c>
    </row>
    <row r="383" spans="1:12" x14ac:dyDescent="0.25">
      <c r="A383" s="25" t="s">
        <v>605</v>
      </c>
      <c r="B383" t="str">
        <f>VLOOKUP(A383,Lcode_mapping!D:T,1,FALSE)</f>
        <v>TECTMODL</v>
      </c>
      <c r="C383" t="str">
        <f>VLOOKUP($A383,Lcode_mapping!$D:$T,15,FALSE)</f>
        <v>-</v>
      </c>
      <c r="D383" t="str">
        <f>VLOOKUP($A383,Lcode_mapping!$D:$T,7,FALSE)</f>
        <v>Default tectonic plate modelname</v>
      </c>
      <c r="E383" t="str">
        <f>VLOOKUP($A383,Lcode_mapping!$D:$T,17,FALSE)</f>
        <v>-</v>
      </c>
      <c r="H383" t="str">
        <f t="shared" si="18"/>
        <v>TECTMODL</v>
      </c>
      <c r="I383" t="str">
        <f t="shared" si="19"/>
        <v>TECTMODL</v>
      </c>
      <c r="J383" t="str">
        <f t="shared" si="20"/>
        <v>Default tectonic plate modelname</v>
      </c>
      <c r="K383" t="str">
        <f>VLOOKUP($A383,Lcode_mapping!$D:$T,12,FALSE)</f>
        <v>OBSOLETE</v>
      </c>
      <c r="L383" t="str">
        <f>VLOOKUP($A383,Lcode_mapping!$D:$T,13,FALSE)</f>
        <v>-</v>
      </c>
    </row>
    <row r="384" spans="1:12" x14ac:dyDescent="0.25">
      <c r="A384" s="25" t="s">
        <v>643</v>
      </c>
      <c r="B384" t="str">
        <f>VLOOKUP(A384,Lcode_mapping!D:T,1,FALSE)</f>
        <v>TECTPLNM</v>
      </c>
      <c r="C384" t="str">
        <f>VLOOKUP($A384,Lcode_mapping!$D:$T,15,FALSE)</f>
        <v>AprioriStationTectonicPlate</v>
      </c>
      <c r="D384" t="str">
        <f>VLOOKUP($A384,Lcode_mapping!$D:$T,7,FALSE)</f>
        <v>4-char tectonic plate names.</v>
      </c>
      <c r="E384" t="str">
        <f>VLOOKUP($A384,Lcode_mapping!$D:$T,17,FALSE)</f>
        <v>-</v>
      </c>
      <c r="H384" t="str">
        <f t="shared" si="18"/>
        <v>TECTPLNM</v>
      </c>
      <c r="I384" t="str">
        <f t="shared" si="19"/>
        <v>AprioriStationTectonicPlate</v>
      </c>
      <c r="J384" t="str">
        <f t="shared" si="20"/>
        <v>4-char tectonic plate names.</v>
      </c>
      <c r="K384" t="str">
        <f>VLOOKUP($A384,Lcode_mapping!$D:$T,12,FALSE)</f>
        <v>Apriori</v>
      </c>
      <c r="L384" t="str">
        <f>VLOOKUP($A384,Lcode_mapping!$D:$T,13,FALSE)</f>
        <v>Station</v>
      </c>
    </row>
    <row r="385" spans="1:12" x14ac:dyDescent="0.25">
      <c r="A385" s="25" t="s">
        <v>878</v>
      </c>
      <c r="B385" t="str">
        <f>VLOOKUP(A385,Lcode_mapping!D:T,1,FALSE)</f>
        <v>TEMP C</v>
      </c>
      <c r="C385" t="str">
        <f>VLOOKUP($A385,Lcode_mapping!$D:$T,15,FALSE)</f>
        <v>TempC</v>
      </c>
      <c r="D385" t="str">
        <f>VLOOKUP($A385,Lcode_mapping!$D:$T,7,FALSE)</f>
        <v>Temp in C at local WX station</v>
      </c>
      <c r="E385" t="str">
        <f>VLOOKUP($A385,Lcode_mapping!$D:$T,17,FALSE)</f>
        <v>-</v>
      </c>
      <c r="H385" t="str">
        <f t="shared" si="18"/>
        <v>TEMP C</v>
      </c>
      <c r="I385" t="str">
        <f t="shared" si="19"/>
        <v>TempC</v>
      </c>
      <c r="J385" t="str">
        <f t="shared" si="20"/>
        <v>Temp in C at local WX station</v>
      </c>
      <c r="K385" t="str">
        <f>VLOOKUP($A385,Lcode_mapping!$D:$T,12,FALSE)</f>
        <v>-</v>
      </c>
      <c r="L385" t="str">
        <f>VLOOKUP($A385,Lcode_mapping!$D:$T,13,FALSE)</f>
        <v>Met</v>
      </c>
    </row>
    <row r="386" spans="1:12" x14ac:dyDescent="0.25">
      <c r="A386" s="25" t="s">
        <v>681</v>
      </c>
      <c r="B386" t="str">
        <f>VLOOKUP(A386,Lcode_mapping!D:T,1,FALSE)</f>
        <v>THE MESS</v>
      </c>
      <c r="C386" t="str">
        <f>VLOOKUP($A386,Lcode_mapping!$D:$T,15,FALSE)</f>
        <v>TheoryMessage</v>
      </c>
      <c r="D386" t="str">
        <f>VLOOKUP($A386,Lcode_mapping!$D:$T,7,FALSE)</f>
        <v>Theory module identification</v>
      </c>
      <c r="E386" t="str">
        <f>VLOOKUP($A386,Lcode_mapping!$D:$T,17,FALSE)</f>
        <v>-</v>
      </c>
      <c r="H386" t="str">
        <f t="shared" si="18"/>
        <v>THE MESS</v>
      </c>
      <c r="I386" t="str">
        <f t="shared" si="19"/>
        <v>TheoryMessage</v>
      </c>
      <c r="J386" t="str">
        <f t="shared" si="20"/>
        <v>Theory module identification</v>
      </c>
      <c r="K386" t="str">
        <f>VLOOKUP($A386,Lcode_mapping!$D:$T,12,FALSE)</f>
        <v>Solve</v>
      </c>
      <c r="L386" t="str">
        <f>VLOOKUP($A386,Lcode_mapping!$D:$T,13,FALSE)</f>
        <v>CalcInfo</v>
      </c>
    </row>
    <row r="387" spans="1:12" x14ac:dyDescent="0.25">
      <c r="A387" s="25" t="s">
        <v>560</v>
      </c>
      <c r="B387" t="str">
        <f>VLOOKUP(A387,Lcode_mapping!D:T,1,FALSE)</f>
        <v>TIDALUT1</v>
      </c>
      <c r="C387" t="str">
        <f>VLOOKUP($A387,Lcode_mapping!$D:$T,15,FALSE)</f>
        <v>TidalUT1Control</v>
      </c>
      <c r="D387" t="str">
        <f>VLOOKUP($A387,Lcode_mapping!$D:$T,7,FALSE)</f>
        <v>Flag for tidal terms in UT1 sers</v>
      </c>
      <c r="E387" t="str">
        <f>VLOOKUP($A387,Lcode_mapping!$D:$T,17,FALSE)</f>
        <v>-</v>
      </c>
      <c r="H387" t="str">
        <f t="shared" si="18"/>
        <v>TIDALUT1</v>
      </c>
      <c r="I387" t="str">
        <f t="shared" si="19"/>
        <v>TidalUT1Control</v>
      </c>
      <c r="J387" t="str">
        <f t="shared" si="20"/>
        <v>Flag for tidal terms in UT1 sers</v>
      </c>
      <c r="K387" t="str">
        <f>VLOOKUP($A387,Lcode_mapping!$D:$T,12,FALSE)</f>
        <v>Solve</v>
      </c>
      <c r="L387" t="str">
        <f>VLOOKUP($A387,Lcode_mapping!$D:$T,13,FALSE)</f>
        <v>CalcInfo</v>
      </c>
    </row>
    <row r="388" spans="1:12" x14ac:dyDescent="0.25">
      <c r="A388" s="25" t="s">
        <v>924</v>
      </c>
      <c r="B388" t="str">
        <f>VLOOKUP(A388,Lcode_mapping!D:T,1,FALSE)</f>
        <v>TILTRMVR</v>
      </c>
      <c r="C388" t="str">
        <f>VLOOKUP($A388,Lcode_mapping!$D:$T,15,FALSE)</f>
        <v>Cal-TiltRemover</v>
      </c>
      <c r="D388" t="str">
        <f>VLOOKUP($A388,Lcode_mapping!$D:$T,7,FALSE)</f>
        <v>Axis Tilt Contribution Remover</v>
      </c>
      <c r="E388" t="str">
        <f>VLOOKUP($A388,Lcode_mapping!$D:$T,17,FALSE)</f>
        <v>-</v>
      </c>
      <c r="H388" t="str">
        <f t="shared" si="18"/>
        <v>TILTRMVR</v>
      </c>
      <c r="I388" t="str">
        <f t="shared" si="19"/>
        <v>Cal-TiltRemover</v>
      </c>
      <c r="J388" t="str">
        <f t="shared" si="20"/>
        <v>Axis Tilt Contribution Remover</v>
      </c>
      <c r="K388" t="str">
        <f>VLOOKUP($A388,Lcode_mapping!$D:$T,12,FALSE)</f>
        <v>ObsCalTheo</v>
      </c>
      <c r="L388" t="str">
        <f>VLOOKUP($A388,Lcode_mapping!$D:$T,13,FALSE)</f>
        <v>Cal-TiltRemover</v>
      </c>
    </row>
    <row r="389" spans="1:12" x14ac:dyDescent="0.25">
      <c r="A389" s="25" t="s">
        <v>1440</v>
      </c>
      <c r="B389" t="str">
        <f>VLOOKUP(A389,Lcode_mapping!D:T,1,FALSE)</f>
        <v>TOTPCENT</v>
      </c>
      <c r="C389" t="str">
        <f>VLOOKUP($A389,Lcode_mapping!$D:$T,15,FALSE)</f>
        <v>-</v>
      </c>
      <c r="D389" t="str">
        <f>VLOOKUP($A389,Lcode_mapping!$D:$T,7,FALSE)</f>
        <v xml:space="preserve">Tot phase at central epoch. </v>
      </c>
      <c r="E389" t="str">
        <f>VLOOKUP($A389,Lcode_mapping!$D:$T,17,FALSE)</f>
        <v>-</v>
      </c>
      <c r="H389" t="str">
        <f t="shared" si="18"/>
        <v>TOTPCENT</v>
      </c>
      <c r="I389" t="str">
        <f t="shared" si="19"/>
        <v>TOTPCENT</v>
      </c>
      <c r="J389" t="str">
        <f t="shared" si="20"/>
        <v xml:space="preserve">Tot phase at central epoch. </v>
      </c>
      <c r="K389" t="str">
        <f>VLOOKUP($A389,Lcode_mapping!$D:$T,12,FALSE)</f>
        <v>Observables</v>
      </c>
      <c r="L389" t="str">
        <f>VLOOKUP($A389,Lcode_mapping!$D:$T,13,FALSE)</f>
        <v>CorrInfo_bX</v>
      </c>
    </row>
    <row r="390" spans="1:12" x14ac:dyDescent="0.25">
      <c r="A390" s="25" t="s">
        <v>910</v>
      </c>
      <c r="B390" t="str">
        <f>VLOOKUP(A390,Lcode_mapping!D:T,1,FALSE)</f>
        <v>TOTPHA_S</v>
      </c>
      <c r="C390" t="str">
        <f>VLOOKUP($A390,Lcode_mapping!$D:$T,15,FALSE)</f>
        <v>Phase</v>
      </c>
      <c r="D390" t="str">
        <f>VLOOKUP($A390,Lcode_mapping!$D:$T,7,FALSE)</f>
        <v>S-band Total phase (in degrees)</v>
      </c>
      <c r="E390" t="str">
        <f>VLOOKUP($A390,Lcode_mapping!$D:$T,17,FALSE)</f>
        <v xml:space="preserve">Total phase   </v>
      </c>
      <c r="H390" t="str">
        <f t="shared" si="18"/>
        <v>TOTPHA_S</v>
      </c>
      <c r="I390" t="str">
        <f t="shared" si="19"/>
        <v>Phase</v>
      </c>
      <c r="J390" t="str">
        <f t="shared" si="20"/>
        <v xml:space="preserve">Total phase   </v>
      </c>
      <c r="K390" t="str">
        <f>VLOOKUP($A390,Lcode_mapping!$D:$T,12,FALSE)</f>
        <v>Observables</v>
      </c>
      <c r="L390" t="str">
        <f>VLOOKUP($A390,Lcode_mapping!$D:$T,13,FALSE)</f>
        <v>Phase_bS</v>
      </c>
    </row>
    <row r="391" spans="1:12" x14ac:dyDescent="0.25">
      <c r="A391" s="25" t="s">
        <v>787</v>
      </c>
      <c r="B391" t="str">
        <f>VLOOKUP(A391,Lcode_mapping!D:T,1,FALSE)</f>
        <v>TOTPHASE</v>
      </c>
      <c r="C391" t="str">
        <f>VLOOKUP($A391,Lcode_mapping!$D:$T,15,FALSE)</f>
        <v>Phase</v>
      </c>
      <c r="D391" t="str">
        <f>VLOOKUP($A391,Lcode_mapping!$D:$T,7,FALSE)</f>
        <v>Total phase degrees mod 360.</v>
      </c>
      <c r="E391" t="str">
        <f>VLOOKUP($A391,Lcode_mapping!$D:$T,17,FALSE)</f>
        <v xml:space="preserve">Total phase   </v>
      </c>
      <c r="H391" t="str">
        <f t="shared" si="18"/>
        <v>TOTPHASE</v>
      </c>
      <c r="I391" t="str">
        <f t="shared" si="19"/>
        <v>Phase</v>
      </c>
      <c r="J391" t="str">
        <f t="shared" si="20"/>
        <v xml:space="preserve">Total phase   </v>
      </c>
      <c r="K391" t="str">
        <f>VLOOKUP($A391,Lcode_mapping!$D:$T,12,FALSE)</f>
        <v>Observables</v>
      </c>
      <c r="L391" t="str">
        <f>VLOOKUP($A391,Lcode_mapping!$D:$T,13,FALSE)</f>
        <v>Phase_bX</v>
      </c>
    </row>
    <row r="392" spans="1:12" x14ac:dyDescent="0.25">
      <c r="A392" s="25" t="s">
        <v>1754</v>
      </c>
      <c r="B392" t="str">
        <f>VLOOKUP(A392,Lcode_mapping!D:T,1,FALSE)</f>
        <v>TPHA ERR</v>
      </c>
      <c r="C392" t="str">
        <f>VLOOKUP($A392,Lcode_mapping!$D:$T,15,FALSE)</f>
        <v>TotalFringeErr</v>
      </c>
      <c r="D392" t="str">
        <f>VLOOKUP($A392,Lcode_mapping!$D:$T,7,FALSE)</f>
        <v>Total fringe phase error (deg)</v>
      </c>
      <c r="E392" t="str">
        <f>VLOOKUP($A392,Lcode_mapping!$D:$T,17,FALSE)</f>
        <v>-</v>
      </c>
      <c r="H392" t="str">
        <f t="shared" si="18"/>
        <v>TPHA ERR</v>
      </c>
      <c r="I392" t="str">
        <f t="shared" si="19"/>
        <v>TotalFringeErr</v>
      </c>
      <c r="J392" t="str">
        <f t="shared" si="20"/>
        <v>Total fringe phase error (deg)</v>
      </c>
      <c r="K392" t="str">
        <f>VLOOKUP($A392,Lcode_mapping!$D:$T,12,FALSE)</f>
        <v>Observables</v>
      </c>
      <c r="L392" t="str">
        <f>VLOOKUP($A392,Lcode_mapping!$D:$T,13,FALSE)</f>
        <v>CorrInfo_bX</v>
      </c>
    </row>
    <row r="393" spans="1:12" x14ac:dyDescent="0.25">
      <c r="A393" s="25" t="s">
        <v>473</v>
      </c>
      <c r="B393" t="str">
        <f>VLOOKUP(A393,Lcode_mapping!D:T,1,FALSE)</f>
        <v>TSEC/AU</v>
      </c>
      <c r="C393" t="str">
        <f>VLOOKUP($A393,Lcode_mapping!$D:$T,15,FALSE)</f>
        <v>-</v>
      </c>
      <c r="D393" t="str">
        <f>VLOOKUP($A393,Lcode_mapping!$D:$T,7,FALSE)</f>
        <v>Number of seconds per A.U.</v>
      </c>
      <c r="E393" t="str">
        <f>VLOOKUP($A393,Lcode_mapping!$D:$T,17,FALSE)</f>
        <v>-</v>
      </c>
      <c r="H393" t="str">
        <f t="shared" si="18"/>
        <v>TSEC/AU</v>
      </c>
      <c r="I393" t="str">
        <f t="shared" si="19"/>
        <v>TSEC/AU</v>
      </c>
      <c r="J393" t="str">
        <f t="shared" si="20"/>
        <v>Number of seconds per A.U.</v>
      </c>
      <c r="K393" t="str">
        <f>VLOOKUP($A393,Lcode_mapping!$D:$T,12,FALSE)</f>
        <v>OBSOLETE</v>
      </c>
      <c r="L393" t="str">
        <f>VLOOKUP($A393,Lcode_mapping!$D:$T,13,FALSE)</f>
        <v>-</v>
      </c>
    </row>
    <row r="394" spans="1:12" x14ac:dyDescent="0.25">
      <c r="A394" s="25" t="s">
        <v>177</v>
      </c>
      <c r="B394" t="str">
        <f>VLOOKUP(A394,Lcode_mapping!D:T,1,FALSE)</f>
        <v>TSEC/DAY</v>
      </c>
      <c r="C394" t="str">
        <f>VLOOKUP($A394,Lcode_mapping!$D:$T,15,FALSE)</f>
        <v>-</v>
      </c>
      <c r="D394" t="str">
        <f>VLOOKUP($A394,Lcode_mapping!$D:$T,7,FALSE)</f>
        <v>Second per day .</v>
      </c>
      <c r="E394" t="str">
        <f>VLOOKUP($A394,Lcode_mapping!$D:$T,17,FALSE)</f>
        <v>-</v>
      </c>
      <c r="H394" t="str">
        <f t="shared" si="18"/>
        <v>TSEC/DAY</v>
      </c>
      <c r="I394" t="str">
        <f t="shared" si="19"/>
        <v>TSEC/DAY</v>
      </c>
      <c r="J394" t="str">
        <f t="shared" si="20"/>
        <v>Second per day .</v>
      </c>
      <c r="K394" t="str">
        <f>VLOOKUP($A394,Lcode_mapping!$D:$T,12,FALSE)</f>
        <v>OBSOLETE</v>
      </c>
      <c r="L394" t="str">
        <f>VLOOKUP($A394,Lcode_mapping!$D:$T,13,FALSE)</f>
        <v>-</v>
      </c>
    </row>
    <row r="395" spans="1:12" x14ac:dyDescent="0.25">
      <c r="A395" s="25" t="s">
        <v>1332</v>
      </c>
      <c r="B395" t="str">
        <f>VLOOKUP(A395,Lcode_mapping!D:T,1,FALSE)</f>
        <v>TSYS TMP</v>
      </c>
      <c r="C395" t="str">
        <f>VLOOKUP($A395,Lcode_mapping!$D:$T,15,FALSE)</f>
        <v>Tsys</v>
      </c>
      <c r="D395" t="str">
        <f>VLOOKUP($A395,Lcode_mapping!$D:$T,7,FALSE)</f>
        <v>TSYS TMP (K) 14CH AND IF1 IF2</v>
      </c>
      <c r="E395" t="str">
        <f>VLOOKUP($A395,Lcode_mapping!$D:$T,17,FALSE)</f>
        <v>-</v>
      </c>
      <c r="H395" t="str">
        <f t="shared" si="18"/>
        <v>TSYS TMP</v>
      </c>
      <c r="I395" t="str">
        <f t="shared" si="19"/>
        <v>Tsys</v>
      </c>
      <c r="J395" t="str">
        <f t="shared" si="20"/>
        <v>TSYS TMP (K) 14CH AND IF1 IF2</v>
      </c>
      <c r="K395" t="str">
        <f>VLOOKUP($A395,Lcode_mapping!$D:$T,12,FALSE)</f>
        <v>Observables</v>
      </c>
      <c r="L395" t="str">
        <f>VLOOKUP($A395,Lcode_mapping!$D:$T,13,FALSE)</f>
        <v>Tsys</v>
      </c>
    </row>
    <row r="396" spans="1:12" x14ac:dyDescent="0.25">
      <c r="A396" s="25" t="s">
        <v>171</v>
      </c>
      <c r="B396" t="str">
        <f>VLOOKUP(A396,Lcode_mapping!D:T,1,FALSE)</f>
        <v>TWOPI</v>
      </c>
      <c r="C396" t="str">
        <f>VLOOKUP($A396,Lcode_mapping!$D:$T,15,FALSE)</f>
        <v>-</v>
      </c>
      <c r="D396" t="str">
        <f>VLOOKUP($A396,Lcode_mapping!$D:$T,7,FALSE)</f>
        <v>TWO PI .</v>
      </c>
      <c r="E396" t="str">
        <f>VLOOKUP($A396,Lcode_mapping!$D:$T,17,FALSE)</f>
        <v>-</v>
      </c>
      <c r="H396" t="str">
        <f t="shared" si="18"/>
        <v>TWOPI</v>
      </c>
      <c r="I396" t="str">
        <f t="shared" si="19"/>
        <v>TWOPI</v>
      </c>
      <c r="J396" t="str">
        <f t="shared" si="20"/>
        <v>TWO PI .</v>
      </c>
      <c r="K396" t="str">
        <f>VLOOKUP($A396,Lcode_mapping!$D:$T,12,FALSE)</f>
        <v>OBSOLETE</v>
      </c>
      <c r="L396" t="str">
        <f>VLOOKUP($A396,Lcode_mapping!$D:$T,13,FALSE)</f>
        <v>-</v>
      </c>
    </row>
    <row r="397" spans="1:12" x14ac:dyDescent="0.25">
      <c r="A397" s="25" t="s">
        <v>972</v>
      </c>
      <c r="B397" t="str">
        <f>VLOOKUP(A397,Lcode_mapping!D:T,1,FALSE)</f>
        <v>UACSUP</v>
      </c>
      <c r="C397" t="str">
        <f>VLOOKUP($A397,Lcode_mapping!$D:$T,15,FALSE)</f>
        <v>UserSup</v>
      </c>
      <c r="D397" t="str">
        <f>VLOOKUP($A397,Lcode_mapping!$D:$T,7,FALSE)</f>
        <v>User action for suppression</v>
      </c>
      <c r="E397" t="str">
        <f>VLOOKUP($A397,Lcode_mapping!$D:$T,17,FALSE)</f>
        <v>-</v>
      </c>
      <c r="H397" t="str">
        <f t="shared" si="18"/>
        <v>UACSUP</v>
      </c>
      <c r="I397" t="str">
        <f t="shared" si="19"/>
        <v>UserSup</v>
      </c>
      <c r="J397" t="str">
        <f t="shared" si="20"/>
        <v>User action for suppression</v>
      </c>
      <c r="K397" t="str">
        <f>VLOOKUP($A397,Lcode_mapping!$D:$T,12,FALSE)</f>
        <v>ObsEdit</v>
      </c>
      <c r="L397" t="str">
        <f>VLOOKUP($A397,Lcode_mapping!$D:$T,13,FALSE)</f>
        <v>Edit</v>
      </c>
    </row>
    <row r="398" spans="1:12" x14ac:dyDescent="0.25">
      <c r="A398" s="25" t="s">
        <v>479</v>
      </c>
      <c r="B398" t="str">
        <f>VLOOKUP(A398,Lcode_mapping!D:T,1,FALSE)</f>
        <v>U-GRV-CN</v>
      </c>
      <c r="C398" t="str">
        <f>VLOOKUP($A398,Lcode_mapping!$D:$T,15,FALSE)</f>
        <v>-</v>
      </c>
      <c r="D398" t="str">
        <f>VLOOKUP($A398,Lcode_mapping!$D:$T,7,FALSE)</f>
        <v>Universal grav con m^3/kg*s^3.</v>
      </c>
      <c r="E398" t="str">
        <f>VLOOKUP($A398,Lcode_mapping!$D:$T,17,FALSE)</f>
        <v>-</v>
      </c>
      <c r="H398" t="str">
        <f t="shared" si="18"/>
        <v>U-GRV-CN</v>
      </c>
      <c r="I398" t="str">
        <f t="shared" si="19"/>
        <v>U-GRV-CN</v>
      </c>
      <c r="J398" t="str">
        <f t="shared" si="20"/>
        <v>Universal grav con m^3/kg*s^3.</v>
      </c>
      <c r="K398" t="str">
        <f>VLOOKUP($A398,Lcode_mapping!$D:$T,12,FALSE)</f>
        <v>OBSOLETE</v>
      </c>
      <c r="L398" t="str">
        <f>VLOOKUP($A398,Lcode_mapping!$D:$T,13,FALSE)</f>
        <v>-</v>
      </c>
    </row>
    <row r="399" spans="1:12" x14ac:dyDescent="0.25">
      <c r="A399" s="25" t="s">
        <v>1240</v>
      </c>
      <c r="B399" t="str">
        <f>VLOOKUP(A399,Lcode_mapping!D:T,1,FALSE)</f>
        <v>UNCALDLY</v>
      </c>
      <c r="C399" t="str">
        <f>VLOOKUP($A399,Lcode_mapping!$D:$T,15,FALSE)</f>
        <v>-</v>
      </c>
      <c r="D399" t="str">
        <f>VLOOKUP($A399,Lcode_mapping!$D:$T,7,FALSE)</f>
        <v>Phase cal delay (sec)</v>
      </c>
      <c r="E399" t="str">
        <f>VLOOKUP($A399,Lcode_mapping!$D:$T,17,FALSE)</f>
        <v>Bad Phase Cal Delay. Removed from Obs.</v>
      </c>
      <c r="H399" t="str">
        <f t="shared" si="18"/>
        <v>UNCALDLY</v>
      </c>
      <c r="I399" t="str">
        <f t="shared" si="19"/>
        <v>UNCALDLY</v>
      </c>
      <c r="J399" t="str">
        <f t="shared" si="20"/>
        <v>Bad Phase Cal Delay. Removed from Obs.</v>
      </c>
      <c r="K399" t="str">
        <f>VLOOKUP($A399,Lcode_mapping!$D:$T,12,FALSE)</f>
        <v>-</v>
      </c>
      <c r="L399" t="str">
        <f>VLOOKUP($A399,Lcode_mapping!$D:$T,13,FALSE)</f>
        <v>-</v>
      </c>
    </row>
    <row r="400" spans="1:12" x14ac:dyDescent="0.25">
      <c r="A400" s="25" t="s">
        <v>54</v>
      </c>
      <c r="B400" t="str">
        <f>VLOOKUP(A400,Lcode_mapping!D:T,1,FALSE)</f>
        <v>UNCALFLG</v>
      </c>
      <c r="C400" t="str">
        <f>VLOOKUP($A400,Lcode_mapping!$D:$T,15,FALSE)</f>
        <v>-</v>
      </c>
      <c r="D400" t="str">
        <f>VLOOKUP($A400,Lcode_mapping!$D:$T,7,FALSE)</f>
        <v>Delay+rate uncal if flag=1.</v>
      </c>
      <c r="E400" t="str">
        <f>VLOOKUP($A400,Lcode_mapping!$D:$T,17,FALSE)</f>
        <v>-</v>
      </c>
      <c r="H400" t="str">
        <f t="shared" si="18"/>
        <v>UNCALFLG</v>
      </c>
      <c r="I400" t="str">
        <f t="shared" si="19"/>
        <v>UNCALFLG</v>
      </c>
      <c r="J400" t="str">
        <f t="shared" si="20"/>
        <v>Delay+rate uncal if flag=1.</v>
      </c>
      <c r="K400" t="str">
        <f>VLOOKUP($A400,Lcode_mapping!$D:$T,12,FALSE)</f>
        <v>OBSOLETE</v>
      </c>
      <c r="L400" t="str">
        <f>VLOOKUP($A400,Lcode_mapping!$D:$T,13,FALSE)</f>
        <v>-</v>
      </c>
    </row>
    <row r="401" spans="1:12" x14ac:dyDescent="0.25">
      <c r="A401" s="25" t="s">
        <v>962</v>
      </c>
      <c r="B401" t="str">
        <f>VLOOKUP(A401,Lcode_mapping!D:T,1,FALSE)</f>
        <v>UNPHAFLG</v>
      </c>
      <c r="C401" t="str">
        <f>VLOOKUP($A401,Lcode_mapping!$D:$T,15,FALSE)</f>
        <v>-</v>
      </c>
      <c r="D401" t="str">
        <f>VLOOKUP($A401,Lcode_mapping!$D:$T,7,FALSE)</f>
        <v>UnPhaseCal flag</v>
      </c>
      <c r="E401" t="str">
        <f>VLOOKUP($A401,Lcode_mapping!$D:$T,17,FALSE)</f>
        <v>-</v>
      </c>
      <c r="H401" t="str">
        <f t="shared" si="18"/>
        <v>UNPHAFLG</v>
      </c>
      <c r="I401" t="str">
        <f t="shared" si="19"/>
        <v>UNPHAFLG</v>
      </c>
      <c r="J401" t="str">
        <f t="shared" si="20"/>
        <v>UnPhaseCal flag</v>
      </c>
      <c r="K401" t="str">
        <f>VLOOKUP($A401,Lcode_mapping!$D:$T,12,FALSE)</f>
        <v>Solve</v>
      </c>
      <c r="L401" t="str">
        <f>VLOOKUP($A401,Lcode_mapping!$D:$T,13,FALSE)</f>
        <v>UnPhaseCalFlag</v>
      </c>
    </row>
    <row r="402" spans="1:12" x14ac:dyDescent="0.25">
      <c r="A402" s="25" t="s">
        <v>886</v>
      </c>
      <c r="B402" t="str">
        <f>VLOOKUP(A402,Lcode_mapping!D:T,1,FALSE)</f>
        <v>UNPHASCL</v>
      </c>
      <c r="C402" t="str">
        <f>VLOOKUP($A402,Lcode_mapping!$D:$T,15,FALSE)</f>
        <v>Cal-UnPhase</v>
      </c>
      <c r="D402" t="str">
        <f>VLOOKUP($A402,Lcode_mapping!$D:$T,7,FALSE)</f>
        <v>UnPhaseCal effect - group&amp;rate</v>
      </c>
      <c r="E402" t="str">
        <f>VLOOKUP($A402,Lcode_mapping!$D:$T,17,FALSE)</f>
        <v>-</v>
      </c>
      <c r="H402" t="str">
        <f t="shared" si="18"/>
        <v>UNPHASCL</v>
      </c>
      <c r="I402" t="str">
        <f t="shared" si="19"/>
        <v>Cal-UnPhase</v>
      </c>
      <c r="J402" t="str">
        <f t="shared" si="20"/>
        <v>UnPhaseCal effect - group&amp;rate</v>
      </c>
      <c r="K402" t="str">
        <f>VLOOKUP($A402,Lcode_mapping!$D:$T,12,FALSE)</f>
        <v>ObsCalTheo</v>
      </c>
      <c r="L402" t="str">
        <f>VLOOKUP($A402,Lcode_mapping!$D:$T,13,FALSE)</f>
        <v>Cal-Unphase</v>
      </c>
    </row>
    <row r="403" spans="1:12" x14ac:dyDescent="0.25">
      <c r="A403" s="25" t="s">
        <v>789</v>
      </c>
      <c r="B403" t="str">
        <f>VLOOKUP(A403,Lcode_mapping!D:T,1,FALSE)</f>
        <v>URVR</v>
      </c>
      <c r="C403" t="str">
        <f>VLOOKUP($A403,Lcode_mapping!$D:$T,15,FALSE)</f>
        <v>-</v>
      </c>
      <c r="D403" t="str">
        <f>VLOOKUP($A403,Lcode_mapping!$D:$T,7,FALSE)</f>
        <v>Rate derivatives mHz per asec.</v>
      </c>
      <c r="E403" t="str">
        <f>VLOOKUP($A403,Lcode_mapping!$D:$T,17,FALSE)</f>
        <v>-</v>
      </c>
      <c r="H403" t="str">
        <f t="shared" si="18"/>
        <v>URVR</v>
      </c>
      <c r="I403" t="str">
        <f t="shared" si="19"/>
        <v>URVR</v>
      </c>
      <c r="J403" t="str">
        <f t="shared" si="20"/>
        <v>Rate derivatives mHz per asec.</v>
      </c>
      <c r="K403" t="str">
        <f>VLOOKUP($A403,Lcode_mapping!$D:$T,12,FALSE)</f>
        <v>Observables</v>
      </c>
      <c r="L403" t="str">
        <f>VLOOKUP($A403,Lcode_mapping!$D:$T,13,FALSE)</f>
        <v>CorrInfo_bX</v>
      </c>
    </row>
    <row r="404" spans="1:12" x14ac:dyDescent="0.25">
      <c r="A404" s="25" t="s">
        <v>1074</v>
      </c>
      <c r="B404" t="str">
        <f>VLOOKUP(A404,Lcode_mapping!D:T,1,FALSE)</f>
        <v>USER_REC</v>
      </c>
      <c r="C404" t="str">
        <f>VLOOKUP($A404,Lcode_mapping!$D:$T,15,FALSE)</f>
        <v>-</v>
      </c>
      <c r="D404" t="str">
        <f>VLOOKUP($A404,Lcode_mapping!$D:$T,7,FALSE)</f>
        <v>User observation recovery status</v>
      </c>
      <c r="E404" t="str">
        <f>VLOOKUP($A404,Lcode_mapping!$D:$T,17,FALSE)</f>
        <v>-</v>
      </c>
      <c r="H404" t="str">
        <f t="shared" si="18"/>
        <v>USER_REC</v>
      </c>
      <c r="I404" t="str">
        <f t="shared" si="19"/>
        <v>USER_REC</v>
      </c>
      <c r="J404" t="str">
        <f t="shared" si="20"/>
        <v>User observation recovery status</v>
      </c>
      <c r="K404" t="str">
        <f>VLOOKUP($A404,Lcode_mapping!$D:$T,12,FALSE)</f>
        <v>OBSOLETE</v>
      </c>
      <c r="L404" t="str">
        <f>VLOOKUP($A404,Lcode_mapping!$D:$T,13,FALSE)</f>
        <v>-</v>
      </c>
    </row>
    <row r="405" spans="1:12" x14ac:dyDescent="0.25">
      <c r="A405" s="25" t="s">
        <v>1073</v>
      </c>
      <c r="B405" t="str">
        <f>VLOOKUP(A405,Lcode_mapping!D:T,1,FALSE)</f>
        <v>USER_SUP</v>
      </c>
      <c r="C405" t="str">
        <f>VLOOKUP($A405,Lcode_mapping!$D:$T,15,FALSE)</f>
        <v>-</v>
      </c>
      <c r="D405" t="str">
        <f>VLOOKUP($A405,Lcode_mapping!$D:$T,7,FALSE)</f>
        <v>User observation suppression sts</v>
      </c>
      <c r="E405" t="str">
        <f>VLOOKUP($A405,Lcode_mapping!$D:$T,17,FALSE)</f>
        <v>-</v>
      </c>
      <c r="H405" t="str">
        <f t="shared" si="18"/>
        <v>USER_SUP</v>
      </c>
      <c r="I405" t="str">
        <f t="shared" si="19"/>
        <v>USER_SUP</v>
      </c>
      <c r="J405" t="str">
        <f t="shared" si="20"/>
        <v>User observation suppression sts</v>
      </c>
      <c r="K405" t="str">
        <f>VLOOKUP($A405,Lcode_mapping!$D:$T,12,FALSE)</f>
        <v>OBSOLETE</v>
      </c>
      <c r="L405" t="str">
        <f>VLOOKUP($A405,Lcode_mapping!$D:$T,13,FALSE)</f>
        <v>-</v>
      </c>
    </row>
    <row r="406" spans="1:12" x14ac:dyDescent="0.25">
      <c r="A406" s="25" t="s">
        <v>655</v>
      </c>
      <c r="B406" t="str">
        <f>VLOOKUP(A406,Lcode_mapping!D:T,1,FALSE)</f>
        <v>UT1 CFLG</v>
      </c>
      <c r="C406" t="str">
        <f>VLOOKUP($A406,Lcode_mapping!$D:$T,15,FALSE)</f>
        <v>UT1Control</v>
      </c>
      <c r="D406" t="str">
        <f>VLOOKUP($A406,Lcode_mapping!$D:$T,7,FALSE)</f>
        <v>UT1 control flag message def.</v>
      </c>
      <c r="E406" t="str">
        <f>VLOOKUP($A406,Lcode_mapping!$D:$T,17,FALSE)</f>
        <v>-</v>
      </c>
      <c r="H406" t="str">
        <f t="shared" si="18"/>
        <v>UT1 CFLG</v>
      </c>
      <c r="I406" t="str">
        <f t="shared" si="19"/>
        <v>UT1Control</v>
      </c>
      <c r="J406" t="str">
        <f t="shared" si="20"/>
        <v>UT1 control flag message def.</v>
      </c>
      <c r="K406" t="str">
        <f>VLOOKUP($A406,Lcode_mapping!$D:$T,12,FALSE)</f>
        <v>Solve</v>
      </c>
      <c r="L406" t="str">
        <f>VLOOKUP($A406,Lcode_mapping!$D:$T,13,FALSE)</f>
        <v>CalcInfo</v>
      </c>
    </row>
    <row r="407" spans="1:12" x14ac:dyDescent="0.25">
      <c r="A407" s="25" t="s">
        <v>653</v>
      </c>
      <c r="B407" t="str">
        <f>VLOOKUP(A407,Lcode_mapping!D:T,1,FALSE)</f>
        <v>UT1 MESS</v>
      </c>
      <c r="C407" t="str">
        <f>VLOOKUP($A407,Lcode_mapping!$D:$T,15,FALSE)</f>
        <v>CalcUt1Module</v>
      </c>
      <c r="D407" t="str">
        <f>VLOOKUP($A407,Lcode_mapping!$D:$T,7,FALSE)</f>
        <v>UT1 Module message definition</v>
      </c>
      <c r="E407" t="str">
        <f>VLOOKUP($A407,Lcode_mapping!$D:$T,17,FALSE)</f>
        <v>-</v>
      </c>
      <c r="H407" t="str">
        <f t="shared" si="18"/>
        <v>UT1 MESS</v>
      </c>
      <c r="I407" t="str">
        <f t="shared" si="19"/>
        <v>CalcUt1Module</v>
      </c>
      <c r="J407" t="str">
        <f t="shared" si="20"/>
        <v>UT1 Module message definition</v>
      </c>
      <c r="K407" t="str">
        <f>VLOOKUP($A407,Lcode_mapping!$D:$T,12,FALSE)</f>
        <v>Solve</v>
      </c>
      <c r="L407" t="str">
        <f>VLOOKUP($A407,Lcode_mapping!$D:$T,13,FALSE)</f>
        <v>CalcERP</v>
      </c>
    </row>
    <row r="408" spans="1:12" x14ac:dyDescent="0.25">
      <c r="A408" s="25" t="s">
        <v>841</v>
      </c>
      <c r="B408" t="str">
        <f>VLOOKUP(A408,Lcode_mapping!D:T,1,FALSE)</f>
        <v>UT1 PART</v>
      </c>
      <c r="C408" t="str">
        <f>VLOOKUP($A408,Lcode_mapping!$D:$T,15,FALSE)</f>
        <v>Part-UT1</v>
      </c>
      <c r="D408" t="str">
        <f>VLOOKUP($A408,Lcode_mapping!$D:$T,7,FALSE)</f>
        <v>UT1 partial derivatives def.</v>
      </c>
      <c r="E408" t="str">
        <f>VLOOKUP($A408,Lcode_mapping!$D:$T,17,FALSE)</f>
        <v>-</v>
      </c>
      <c r="H408" t="str">
        <f t="shared" ref="H408:H449" si="21">A408</f>
        <v>UT1 PART</v>
      </c>
      <c r="I408" t="str">
        <f t="shared" ref="I408:I449" si="22">IF(C408="-",B408,C408)</f>
        <v>Part-UT1</v>
      </c>
      <c r="J408" t="str">
        <f t="shared" ref="J408:J449" si="23">IF(E408="-",D408,E408)</f>
        <v>UT1 partial derivatives def.</v>
      </c>
      <c r="K408" t="str">
        <f>VLOOKUP($A408,Lcode_mapping!$D:$T,12,FALSE)</f>
        <v>ObsPart</v>
      </c>
      <c r="L408" t="str">
        <f>VLOOKUP($A408,Lcode_mapping!$D:$T,13,FALSE)</f>
        <v>Part-ERP</v>
      </c>
    </row>
    <row r="409" spans="1:12" x14ac:dyDescent="0.25">
      <c r="A409" s="25" t="s">
        <v>843</v>
      </c>
      <c r="B409" t="str">
        <f>VLOOKUP(A409,Lcode_mapping!D:T,1,FALSE)</f>
        <v>UT1 -TAI</v>
      </c>
      <c r="C409" t="str">
        <f>VLOOKUP($A409,Lcode_mapping!$D:$T,15,FALSE)</f>
        <v>UT1</v>
      </c>
      <c r="D409" t="str">
        <f>VLOOKUP($A409,Lcode_mapping!$D:$T,7,FALSE)</f>
        <v>UT1 time of day for this obsvr.</v>
      </c>
      <c r="E409" t="str">
        <f>VLOOKUP($A409,Lcode_mapping!$D:$T,17,FALSE)</f>
        <v>-</v>
      </c>
      <c r="H409" t="str">
        <f t="shared" si="21"/>
        <v>UT1 -TAI</v>
      </c>
      <c r="I409" t="str">
        <f t="shared" si="22"/>
        <v>UT1</v>
      </c>
      <c r="J409" t="str">
        <f t="shared" si="23"/>
        <v>UT1 time of day for this obsvr.</v>
      </c>
      <c r="K409" t="str">
        <f>VLOOKUP($A409,Lcode_mapping!$D:$T,12,FALSE)</f>
        <v>Scan</v>
      </c>
      <c r="L409" t="str">
        <f>VLOOKUP($A409,Lcode_mapping!$D:$T,13,FALSE)</f>
        <v>ERPApriori</v>
      </c>
    </row>
    <row r="410" spans="1:12" x14ac:dyDescent="0.25">
      <c r="A410" s="25" t="s">
        <v>511</v>
      </c>
      <c r="B410" t="str">
        <f>VLOOKUP(A410,Lcode_mapping!D:T,1,FALSE)</f>
        <v>UT1EPOCH</v>
      </c>
      <c r="C410" t="str">
        <f>VLOOKUP($A410,Lcode_mapping!$D:$T,15,FALSE)</f>
        <v>-</v>
      </c>
      <c r="D410" t="str">
        <f>VLOOKUP($A410,Lcode_mapping!$D:$T,7,FALSE)</f>
        <v>TAI - UT1 epoch value definition</v>
      </c>
      <c r="E410" t="str">
        <f>VLOOKUP($A410,Lcode_mapping!$D:$T,17,FALSE)</f>
        <v>-</v>
      </c>
      <c r="H410" t="str">
        <f t="shared" si="21"/>
        <v>UT1EPOCH</v>
      </c>
      <c r="I410" t="str">
        <f t="shared" si="22"/>
        <v>UT1EPOCH</v>
      </c>
      <c r="J410" t="str">
        <f t="shared" si="23"/>
        <v>TAI - UT1 epoch value definition</v>
      </c>
      <c r="K410" t="str">
        <f>VLOOKUP($A410,Lcode_mapping!$D:$T,12,FALSE)</f>
        <v>Solve</v>
      </c>
      <c r="L410" t="str">
        <f>VLOOKUP($A410,Lcode_mapping!$D:$T,13,FALSE)</f>
        <v>CalcInfo</v>
      </c>
    </row>
    <row r="411" spans="1:12" x14ac:dyDescent="0.25">
      <c r="A411" s="25" t="s">
        <v>657</v>
      </c>
      <c r="B411" t="str">
        <f>VLOOKUP(A411,Lcode_mapping!D:T,1,FALSE)</f>
        <v>UT1INTRP</v>
      </c>
      <c r="C411" t="str">
        <f>VLOOKUP($A411,Lcode_mapping!$D:$T,15,FALSE)</f>
        <v>UT1IntrpMode</v>
      </c>
      <c r="D411" t="str">
        <f>VLOOKUP($A411,Lcode_mapping!$D:$T,7,FALSE)</f>
        <v>Message for UT1 interp. scheme</v>
      </c>
      <c r="E411" t="str">
        <f>VLOOKUP($A411,Lcode_mapping!$D:$T,17,FALSE)</f>
        <v>-</v>
      </c>
      <c r="H411" t="str">
        <f t="shared" si="21"/>
        <v>UT1INTRP</v>
      </c>
      <c r="I411" t="str">
        <f t="shared" si="22"/>
        <v>UT1IntrpMode</v>
      </c>
      <c r="J411" t="str">
        <f t="shared" si="23"/>
        <v>Message for UT1 interp. scheme</v>
      </c>
      <c r="K411" t="str">
        <f>VLOOKUP($A411,Lcode_mapping!$D:$T,12,FALSE)</f>
        <v>Solve</v>
      </c>
      <c r="L411" t="str">
        <f>VLOOKUP($A411,Lcode_mapping!$D:$T,13,FALSE)</f>
        <v>CalcERP</v>
      </c>
    </row>
    <row r="412" spans="1:12" x14ac:dyDescent="0.25">
      <c r="A412" s="25" t="s">
        <v>934</v>
      </c>
      <c r="B412" t="str">
        <f>VLOOKUP(A412,Lcode_mapping!D:T,1,FALSE)</f>
        <v>UT1ORTHO</v>
      </c>
      <c r="C412" t="str">
        <f>VLOOKUP($A412,Lcode_mapping!$D:$T,15,FALSE)</f>
        <v>Cal-UT1Ortho</v>
      </c>
      <c r="D412" t="str">
        <f>VLOOKUP($A412,Lcode_mapping!$D:$T,7,FALSE)</f>
        <v>ORTHO_EOP Tidal UT1 contribution</v>
      </c>
      <c r="E412" t="str">
        <f>VLOOKUP($A412,Lcode_mapping!$D:$T,17,FALSE)</f>
        <v>-</v>
      </c>
      <c r="H412" t="str">
        <f t="shared" si="21"/>
        <v>UT1ORTHO</v>
      </c>
      <c r="I412" t="str">
        <f t="shared" si="22"/>
        <v>Cal-UT1Ortho</v>
      </c>
      <c r="J412" t="str">
        <f t="shared" si="23"/>
        <v>ORTHO_EOP Tidal UT1 contribution</v>
      </c>
      <c r="K412" t="str">
        <f>VLOOKUP($A412,Lcode_mapping!$D:$T,12,FALSE)</f>
        <v>ObsCalTheo</v>
      </c>
      <c r="L412" t="str">
        <f>VLOOKUP($A412,Lcode_mapping!$D:$T,13,FALSE)</f>
        <v>Cal-HiFreqERP_kIERS2003</v>
      </c>
    </row>
    <row r="413" spans="1:12" x14ac:dyDescent="0.25">
      <c r="A413" s="25" t="s">
        <v>1757</v>
      </c>
      <c r="B413" t="str">
        <f>VLOOKUP(A413,Lcode_mapping!D:T,1,FALSE)</f>
        <v>UTC ERR</v>
      </c>
      <c r="C413" t="str">
        <f>VLOOKUP($A413,Lcode_mapping!$D:$T,15,FALSE)</f>
        <v>UTCErr</v>
      </c>
      <c r="D413" t="str">
        <f>VLOOKUP($A413,Lcode_mapping!$D:$T,7,FALSE)</f>
        <v>A priori UTC error site 1 (sec)</v>
      </c>
      <c r="E413" t="str">
        <f>VLOOKUP($A413,Lcode_mapping!$D:$T,17,FALSE)</f>
        <v>-</v>
      </c>
      <c r="H413" t="str">
        <f t="shared" si="21"/>
        <v>UTC ERR</v>
      </c>
      <c r="I413" t="str">
        <f t="shared" si="22"/>
        <v>UTCErr</v>
      </c>
      <c r="J413" t="str">
        <f t="shared" si="23"/>
        <v>A priori UTC error site 1 (sec)</v>
      </c>
      <c r="K413" t="str">
        <f>VLOOKUP($A413,Lcode_mapping!$D:$T,12,FALSE)</f>
        <v>Observables</v>
      </c>
      <c r="L413" t="str">
        <f>VLOOKUP($A413,Lcode_mapping!$D:$T,13,FALSE)</f>
        <v>CorrInfo_bX</v>
      </c>
    </row>
    <row r="414" spans="1:12" x14ac:dyDescent="0.25">
      <c r="A414" s="25" t="s">
        <v>958</v>
      </c>
      <c r="B414" t="str">
        <f>VLOOKUP(A414,Lcode_mapping!D:T,1,FALSE)</f>
        <v>UTC TAG</v>
      </c>
      <c r="C414" t="str">
        <f>VLOOKUP($A414,Lcode_mapping!$D:$T,15,FALSE)</f>
        <v>YMDHM</v>
      </c>
      <c r="D414" t="str">
        <f>VLOOKUP($A414,Lcode_mapping!$D:$T,7,FALSE)</f>
        <v>Epoch UTC YMDHM.</v>
      </c>
      <c r="E414" t="str">
        <f>VLOOKUP($A414,Lcode_mapping!$D:$T,17,FALSE)</f>
        <v>-</v>
      </c>
      <c r="H414" t="str">
        <f t="shared" si="21"/>
        <v>UTC TAG</v>
      </c>
      <c r="I414" t="str">
        <f t="shared" si="22"/>
        <v>YMDHM</v>
      </c>
      <c r="J414" t="str">
        <f t="shared" si="23"/>
        <v>Epoch UTC YMDHM.</v>
      </c>
      <c r="K414" t="str">
        <f>VLOOKUP($A414,Lcode_mapping!$D:$T,12,FALSE)</f>
        <v>Observables</v>
      </c>
      <c r="L414" t="str">
        <f>VLOOKUP($A414,Lcode_mapping!$D:$T,13,FALSE)</f>
        <v>TimeUTC</v>
      </c>
    </row>
    <row r="415" spans="1:12" x14ac:dyDescent="0.25">
      <c r="A415" s="25" t="s">
        <v>960</v>
      </c>
      <c r="B415" t="str">
        <f>VLOOKUP(A415,Lcode_mapping!D:T,1,FALSE)</f>
        <v>UTC TAG4</v>
      </c>
      <c r="C415" t="str">
        <f>VLOOKUP($A415,Lcode_mapping!$D:$T,15,FALSE)</f>
        <v>-</v>
      </c>
      <c r="D415" t="str">
        <f>VLOOKUP($A415,Lcode_mapping!$D:$T,7,FALSE)</f>
        <v>Epoch UTC YMDHMS (4 digit year).</v>
      </c>
      <c r="E415" t="str">
        <f>VLOOKUP($A415,Lcode_mapping!$D:$T,17,FALSE)</f>
        <v>-</v>
      </c>
      <c r="H415" t="str">
        <f t="shared" si="21"/>
        <v>UTC TAG4</v>
      </c>
      <c r="I415" t="str">
        <f t="shared" si="22"/>
        <v>UTC TAG4</v>
      </c>
      <c r="J415" t="str">
        <f t="shared" si="23"/>
        <v>Epoch UTC YMDHMS (4 digit year).</v>
      </c>
      <c r="K415" t="str">
        <f>VLOOKUP($A415,Lcode_mapping!$D:$T,12,FALSE)</f>
        <v>OBSOLETE</v>
      </c>
      <c r="L415" t="str">
        <f>VLOOKUP($A415,Lcode_mapping!$D:$T,13,FALSE)</f>
        <v>-</v>
      </c>
    </row>
    <row r="416" spans="1:12" x14ac:dyDescent="0.25">
      <c r="A416" s="25" t="s">
        <v>1046</v>
      </c>
      <c r="B416" t="str">
        <f>VLOOKUP(A416,Lcode_mapping!D:T,1,FALSE)</f>
        <v>UTCM TAG</v>
      </c>
      <c r="C416" t="str">
        <f>VLOOKUP($A416,Lcode_mapping!$D:$T,15,FALSE)</f>
        <v>UTCMidObs</v>
      </c>
      <c r="D416" t="str">
        <f>VLOOKUP($A416,Lcode_mapping!$D:$T,7,FALSE)</f>
        <v>UTC at central epoch YMDHMS.</v>
      </c>
      <c r="E416" t="str">
        <f>VLOOKUP($A416,Lcode_mapping!$D:$T,17,FALSE)</f>
        <v>-</v>
      </c>
      <c r="H416" t="str">
        <f t="shared" si="21"/>
        <v>UTCM TAG</v>
      </c>
      <c r="I416" t="str">
        <f t="shared" si="22"/>
        <v>UTCMidObs</v>
      </c>
      <c r="J416" t="str">
        <f t="shared" si="23"/>
        <v>UTC at central epoch YMDHMS.</v>
      </c>
      <c r="K416" t="str">
        <f>VLOOKUP($A416,Lcode_mapping!$D:$T,12,FALSE)</f>
        <v>Observables</v>
      </c>
      <c r="L416" t="str">
        <f>VLOOKUP($A416,Lcode_mapping!$D:$T,13,FALSE)</f>
        <v>CorrInfo_bX</v>
      </c>
    </row>
    <row r="417" spans="1:12" x14ac:dyDescent="0.25">
      <c r="A417" s="25" t="s">
        <v>791</v>
      </c>
      <c r="B417" t="str">
        <f>VLOOKUP(A417,Lcode_mapping!D:T,1,FALSE)</f>
        <v>UVF/ASEC</v>
      </c>
      <c r="C417" t="str">
        <f>VLOOKUP($A417,Lcode_mapping!$D:$T,15,FALSE)</f>
        <v>UVFperAsec</v>
      </c>
      <c r="D417" t="str">
        <f>VLOOKUP($A417,Lcode_mapping!$D:$T,7,FALSE)</f>
        <v>U V in FR per arcsec  from CALC</v>
      </c>
      <c r="E417" t="str">
        <f>VLOOKUP($A417,Lcode_mapping!$D:$T,17,FALSE)</f>
        <v>-</v>
      </c>
      <c r="H417" t="str">
        <f t="shared" si="21"/>
        <v>UVF/ASEC</v>
      </c>
      <c r="I417" t="str">
        <f t="shared" si="22"/>
        <v>UVFperAsec</v>
      </c>
      <c r="J417" t="str">
        <f t="shared" si="23"/>
        <v>U V in FR per arcsec  from CALC</v>
      </c>
      <c r="K417" t="str">
        <f>VLOOKUP($A417,Lcode_mapping!$D:$T,12,FALSE)</f>
        <v>Solve</v>
      </c>
      <c r="L417" t="str">
        <f>VLOOKUP($A417,Lcode_mapping!$D:$T,13,FALSE)</f>
        <v>UVFperAsec</v>
      </c>
    </row>
    <row r="418" spans="1:12" x14ac:dyDescent="0.25">
      <c r="A418" s="25" t="s">
        <v>1758</v>
      </c>
      <c r="B418" t="str">
        <f>VLOOKUP(A418,Lcode_mapping!D:T,1,FALSE)</f>
        <v>VFDWELL</v>
      </c>
      <c r="C418" t="str">
        <f>VLOOKUP($A418,Lcode_mapping!$D:$T,15,FALSE)</f>
        <v>-</v>
      </c>
      <c r="D418" t="str">
        <f>VLOOKUP($A418,Lcode_mapping!$D:$T,7,FALSE)</f>
        <v>Dwell time in each channel (sec)</v>
      </c>
      <c r="E418" t="str">
        <f>VLOOKUP($A418,Lcode_mapping!$D:$T,17,FALSE)</f>
        <v>-</v>
      </c>
      <c r="H418" t="str">
        <f t="shared" si="21"/>
        <v>VFDWELL</v>
      </c>
      <c r="I418" t="str">
        <f t="shared" si="22"/>
        <v>VFDWELL</v>
      </c>
      <c r="J418" t="str">
        <f t="shared" si="23"/>
        <v>Dwell time in each channel (sec)</v>
      </c>
      <c r="K418" t="str">
        <f>VLOOKUP($A418,Lcode_mapping!$D:$T,12,FALSE)</f>
        <v>Observables</v>
      </c>
      <c r="L418" t="str">
        <f>VLOOKUP($A418,Lcode_mapping!$D:$T,13,FALSE)</f>
        <v>CorrInfo_bX</v>
      </c>
    </row>
    <row r="419" spans="1:12" x14ac:dyDescent="0.25">
      <c r="A419" s="25" t="s">
        <v>1774</v>
      </c>
      <c r="B419" t="str">
        <f>VLOOKUP(A419,Lcode_mapping!D:T,1,FALSE)</f>
        <v>VFRQ#APS</v>
      </c>
      <c r="C419" t="str">
        <f>VLOOKUP($A419,Lcode_mapping!$D:$T,15,FALSE)</f>
        <v>NumAccum</v>
      </c>
      <c r="D419" t="str">
        <f>VLOOKUP($A419,Lcode_mapping!$D:$T,7,FALSE)</f>
        <v>No. of accum. periods in Channel</v>
      </c>
      <c r="E419" t="str">
        <f>VLOOKUP($A419,Lcode_mapping!$D:$T,17,FALSE)</f>
        <v>-</v>
      </c>
      <c r="H419" t="str">
        <f t="shared" si="21"/>
        <v>VFRQ#APS</v>
      </c>
      <c r="I419" t="str">
        <f t="shared" si="22"/>
        <v>NumAccum</v>
      </c>
      <c r="J419" t="str">
        <f t="shared" si="23"/>
        <v>No. of accum. periods in Channel</v>
      </c>
      <c r="K419" t="str">
        <f>VLOOKUP($A419,Lcode_mapping!$D:$T,12,FALSE)</f>
        <v>Observables</v>
      </c>
      <c r="L419" t="str">
        <f>VLOOKUP($A419,Lcode_mapping!$D:$T,13,FALSE)</f>
        <v>CorrInfo_bX</v>
      </c>
    </row>
    <row r="420" spans="1:12" x14ac:dyDescent="0.25">
      <c r="A420" s="25" t="s">
        <v>1770</v>
      </c>
      <c r="B420" t="str">
        <f>VLOOKUP(A420,Lcode_mapping!D:T,1,FALSE)</f>
        <v>VFRQAM</v>
      </c>
      <c r="C420" t="str">
        <f>VLOOKUP($A420,Lcode_mapping!$D:$T,15,FALSE)</f>
        <v>-</v>
      </c>
      <c r="D420" t="str">
        <f>VLOOKUP($A420,Lcode_mapping!$D:$T,7,FALSE)</f>
        <v>Normalized channel amplitude</v>
      </c>
      <c r="E420" t="str">
        <f>VLOOKUP($A420,Lcode_mapping!$D:$T,17,FALSE)</f>
        <v>-</v>
      </c>
      <c r="H420" t="str">
        <f t="shared" si="21"/>
        <v>VFRQAM</v>
      </c>
      <c r="I420" t="str">
        <f t="shared" si="22"/>
        <v>VFRQAM</v>
      </c>
      <c r="J420" t="str">
        <f t="shared" si="23"/>
        <v>Normalized channel amplitude</v>
      </c>
      <c r="K420" t="str">
        <f>VLOOKUP($A420,Lcode_mapping!$D:$T,12,FALSE)</f>
        <v>Observables</v>
      </c>
      <c r="L420" t="str">
        <f>VLOOKUP($A420,Lcode_mapping!$D:$T,13,FALSE)</f>
        <v>CorrInfo_bX</v>
      </c>
    </row>
    <row r="421" spans="1:12" x14ac:dyDescent="0.25">
      <c r="A421" s="25" t="s">
        <v>1765</v>
      </c>
      <c r="B421" t="str">
        <f>VLOOKUP(A421,Lcode_mapping!D:T,1,FALSE)</f>
        <v>VFRQPCAM</v>
      </c>
      <c r="C421" t="str">
        <f>VLOOKUP($A421,Lcode_mapping!$D:$T,15,FALSE)</f>
        <v>-</v>
      </c>
      <c r="D421" t="str">
        <f>VLOOKUP($A421,Lcode_mapping!$D:$T,7,FALSE)</f>
        <v>Phase cal tone Amplitudes</v>
      </c>
      <c r="E421" t="str">
        <f>VLOOKUP($A421,Lcode_mapping!$D:$T,17,FALSE)</f>
        <v>-</v>
      </c>
      <c r="H421" t="str">
        <f t="shared" si="21"/>
        <v>VFRQPCAM</v>
      </c>
      <c r="I421" t="str">
        <f t="shared" si="22"/>
        <v>VFRQPCAM</v>
      </c>
      <c r="J421" t="str">
        <f t="shared" si="23"/>
        <v>Phase cal tone Amplitudes</v>
      </c>
      <c r="K421" t="str">
        <f>VLOOKUP($A421,Lcode_mapping!$D:$T,12,FALSE)</f>
        <v>Observables</v>
      </c>
      <c r="L421" t="str">
        <f>VLOOKUP($A421,Lcode_mapping!$D:$T,13,FALSE)</f>
        <v>CorrInfo_bX</v>
      </c>
    </row>
    <row r="422" spans="1:12" x14ac:dyDescent="0.25">
      <c r="A422" s="25" t="s">
        <v>1769</v>
      </c>
      <c r="B422" t="str">
        <f>VLOOKUP(A422,Lcode_mapping!D:T,1,FALSE)</f>
        <v>VFRQPCFR</v>
      </c>
      <c r="C422" t="str">
        <f>VLOOKUP($A422,Lcode_mapping!$D:$T,15,FALSE)</f>
        <v>-</v>
      </c>
      <c r="D422" t="str">
        <f>VLOOKUP($A422,Lcode_mapping!$D:$T,7,FALSE)</f>
        <v>Phase cal tone Frequencies</v>
      </c>
      <c r="E422" t="str">
        <f>VLOOKUP($A422,Lcode_mapping!$D:$T,17,FALSE)</f>
        <v>-</v>
      </c>
      <c r="H422" t="str">
        <f t="shared" si="21"/>
        <v>VFRQPCFR</v>
      </c>
      <c r="I422" t="str">
        <f t="shared" si="22"/>
        <v>VFRQPCFR</v>
      </c>
      <c r="J422" t="str">
        <f t="shared" si="23"/>
        <v>Phase cal tone Frequencies</v>
      </c>
      <c r="K422" t="str">
        <f>VLOOKUP($A422,Lcode_mapping!$D:$T,12,FALSE)</f>
        <v>Observables</v>
      </c>
      <c r="L422" t="str">
        <f>VLOOKUP($A422,Lcode_mapping!$D:$T,13,FALSE)</f>
        <v>CorrInfo_bX</v>
      </c>
    </row>
    <row r="423" spans="1:12" x14ac:dyDescent="0.25">
      <c r="A423" s="25" t="s">
        <v>1767</v>
      </c>
      <c r="B423" t="str">
        <f>VLOOKUP(A423,Lcode_mapping!D:T,1,FALSE)</f>
        <v>VFRQPCPH</v>
      </c>
      <c r="C423" t="str">
        <f>VLOOKUP($A423,Lcode_mapping!$D:$T,15,FALSE)</f>
        <v>-</v>
      </c>
      <c r="D423" t="str">
        <f>VLOOKUP($A423,Lcode_mapping!$D:$T,7,FALSE)</f>
        <v>PHASE cal tone Phases</v>
      </c>
      <c r="E423" t="str">
        <f>VLOOKUP($A423,Lcode_mapping!$D:$T,17,FALSE)</f>
        <v>-</v>
      </c>
      <c r="H423" t="str">
        <f t="shared" si="21"/>
        <v>VFRQPCPH</v>
      </c>
      <c r="I423" t="str">
        <f t="shared" si="22"/>
        <v>VFRQPCPH</v>
      </c>
      <c r="J423" t="str">
        <f t="shared" si="23"/>
        <v>PHASE cal tone Phases</v>
      </c>
      <c r="K423" t="str">
        <f>VLOOKUP($A423,Lcode_mapping!$D:$T,12,FALSE)</f>
        <v>Observables</v>
      </c>
      <c r="L423" t="str">
        <f>VLOOKUP($A423,Lcode_mapping!$D:$T,13,FALSE)</f>
        <v>CorrInfo_bX</v>
      </c>
    </row>
    <row r="424" spans="1:12" x14ac:dyDescent="0.25">
      <c r="A424" s="25" t="s">
        <v>1771</v>
      </c>
      <c r="B424" t="str">
        <f>VLOOKUP(A424,Lcode_mapping!D:T,1,FALSE)</f>
        <v>VFRQPH</v>
      </c>
      <c r="C424" t="str">
        <f>VLOOKUP($A424,Lcode_mapping!$D:$T,15,FALSE)</f>
        <v>-</v>
      </c>
      <c r="D424" t="str">
        <f>VLOOKUP($A424,Lcode_mapping!$D:$T,7,FALSE)</f>
        <v>Channel Phase (degrees)</v>
      </c>
      <c r="E424" t="str">
        <f>VLOOKUP($A424,Lcode_mapping!$D:$T,17,FALSE)</f>
        <v>-</v>
      </c>
      <c r="H424" t="str">
        <f t="shared" si="21"/>
        <v>VFRQPH</v>
      </c>
      <c r="I424" t="str">
        <f t="shared" si="22"/>
        <v>VFRQPH</v>
      </c>
      <c r="J424" t="str">
        <f t="shared" si="23"/>
        <v>Channel Phase (degrees)</v>
      </c>
      <c r="K424" t="str">
        <f>VLOOKUP($A424,Lcode_mapping!$D:$T,12,FALSE)</f>
        <v>Observables</v>
      </c>
      <c r="L424" t="str">
        <f>VLOOKUP($A424,Lcode_mapping!$D:$T,13,FALSE)</f>
        <v>CorrInfo_bX</v>
      </c>
    </row>
    <row r="425" spans="1:12" x14ac:dyDescent="0.25">
      <c r="A425" s="25" t="s">
        <v>1759</v>
      </c>
      <c r="B425" t="str">
        <f>VLOOKUP(A425,Lcode_mapping!D:T,1,FALSE)</f>
        <v>VIRTFREQ</v>
      </c>
      <c r="C425" t="str">
        <f>VLOOKUP($A425,Lcode_mapping!$D:$T,15,FALSE)</f>
        <v>-</v>
      </c>
      <c r="D425" t="str">
        <f>VLOOKUP($A425,Lcode_mapping!$D:$T,7,FALSE)</f>
        <v>Sky Frequencies</v>
      </c>
      <c r="E425" t="str">
        <f>VLOOKUP($A425,Lcode_mapping!$D:$T,17,FALSE)</f>
        <v>-</v>
      </c>
      <c r="H425" t="str">
        <f t="shared" si="21"/>
        <v>VIRTFREQ</v>
      </c>
      <c r="I425" t="str">
        <f t="shared" si="22"/>
        <v>VIRTFREQ</v>
      </c>
      <c r="J425" t="str">
        <f t="shared" si="23"/>
        <v>Sky Frequencies</v>
      </c>
      <c r="K425" t="str">
        <f>VLOOKUP($A425,Lcode_mapping!$D:$T,12,FALSE)</f>
        <v>Observables</v>
      </c>
      <c r="L425" t="str">
        <f>VLOOKUP($A425,Lcode_mapping!$D:$T,13,FALSE)</f>
        <v>CorrInfo_bX</v>
      </c>
    </row>
    <row r="426" spans="1:12" x14ac:dyDescent="0.25">
      <c r="A426" s="25" t="s">
        <v>1425</v>
      </c>
      <c r="B426" t="str">
        <f>VLOOKUP(A426,Lcode_mapping!D:T,1,FALSE)</f>
        <v>VLB1FILE</v>
      </c>
      <c r="C426" t="str">
        <f>VLOOKUP($A426,Lcode_mapping!$D:$T,15,FALSE)</f>
        <v>-</v>
      </c>
      <c r="D426" t="str">
        <f>VLOOKUP($A426,Lcode_mapping!$D:$T,7,FALSE)</f>
        <v xml:space="preserve">Correlator file name. </v>
      </c>
      <c r="E426" t="str">
        <f>VLOOKUP($A426,Lcode_mapping!$D:$T,17,FALSE)</f>
        <v>-</v>
      </c>
      <c r="H426" t="str">
        <f t="shared" si="21"/>
        <v>VLB1FILE</v>
      </c>
      <c r="I426" t="str">
        <f t="shared" si="22"/>
        <v>VLB1FILE</v>
      </c>
      <c r="J426" t="str">
        <f t="shared" si="23"/>
        <v xml:space="preserve">Correlator file name. </v>
      </c>
      <c r="K426" t="str">
        <f>VLOOKUP($A426,Lcode_mapping!$D:$T,12,FALSE)</f>
        <v>Observables</v>
      </c>
      <c r="L426" t="str">
        <f>VLOOKUP($A426,Lcode_mapping!$D:$T,13,FALSE)</f>
        <v>CorrInfo_bX</v>
      </c>
    </row>
    <row r="427" spans="1:12" x14ac:dyDescent="0.25">
      <c r="A427" s="25" t="s">
        <v>32</v>
      </c>
      <c r="B427" t="str">
        <f>VLOOKUP(A427,Lcode_mapping!D:T,1,FALSE)</f>
        <v>VLB1XTNT</v>
      </c>
      <c r="C427" t="str">
        <f>VLOOKUP($A427,Lcode_mapping!$D:$T,15,FALSE)</f>
        <v>-</v>
      </c>
      <c r="D427" t="str">
        <f>VLOOKUP($A427,Lcode_mapping!$D:$T,7,FALSE)</f>
        <v xml:space="preserve">corr. ext by sideb  channel. </v>
      </c>
      <c r="E427" t="str">
        <f>VLOOKUP($A427,Lcode_mapping!$D:$T,17,FALSE)</f>
        <v>-</v>
      </c>
      <c r="H427" t="str">
        <f t="shared" si="21"/>
        <v>VLB1XTNT</v>
      </c>
      <c r="I427" t="str">
        <f t="shared" si="22"/>
        <v>VLB1XTNT</v>
      </c>
      <c r="J427" t="str">
        <f t="shared" si="23"/>
        <v xml:space="preserve">corr. ext by sideb  channel. </v>
      </c>
      <c r="K427" t="str">
        <f>VLOOKUP($A427,Lcode_mapping!$D:$T,12,FALSE)</f>
        <v>Observables</v>
      </c>
      <c r="L427" t="str">
        <f>VLOOKUP($A427,Lcode_mapping!$D:$T,13,FALSE)</f>
        <v>CorrInfo_bX</v>
      </c>
    </row>
    <row r="428" spans="1:12" x14ac:dyDescent="0.25">
      <c r="A428" s="25" t="s">
        <v>1241</v>
      </c>
      <c r="B428" t="str">
        <f>VLOOKUP(A428,Lcode_mapping!D:T,1,FALSE)</f>
        <v>VLB2 UTC</v>
      </c>
      <c r="C428" t="str">
        <f>VLOOKUP($A428,Lcode_mapping!$D:$T,15,FALSE)</f>
        <v>UTCVLB2</v>
      </c>
      <c r="D428" t="str">
        <f>VLOOKUP($A428,Lcode_mapping!$D:$T,7,FALSE)</f>
        <v xml:space="preserve">UTC of FRNGE proc YMDHMS. </v>
      </c>
      <c r="E428" t="str">
        <f>VLOOKUP($A428,Lcode_mapping!$D:$T,17,FALSE)</f>
        <v>-</v>
      </c>
      <c r="H428" t="str">
        <f t="shared" si="21"/>
        <v>VLB2 UTC</v>
      </c>
      <c r="I428" t="str">
        <f t="shared" si="22"/>
        <v>UTCVLB2</v>
      </c>
      <c r="J428" t="str">
        <f t="shared" si="23"/>
        <v xml:space="preserve">UTC of FRNGE proc YMDHMS. </v>
      </c>
      <c r="K428" t="str">
        <f>VLOOKUP($A428,Lcode_mapping!$D:$T,12,FALSE)</f>
        <v>Observables</v>
      </c>
      <c r="L428" t="str">
        <f>VLOOKUP($A428,Lcode_mapping!$D:$T,13,FALSE)</f>
        <v>CorrInfo_bX</v>
      </c>
    </row>
    <row r="429" spans="1:12" x14ac:dyDescent="0.25">
      <c r="A429" s="25" t="s">
        <v>64</v>
      </c>
      <c r="B429" t="str">
        <f>VLOOKUP(A429,Lcode_mapping!D:T,1,FALSE)</f>
        <v>VLB2PRG</v>
      </c>
      <c r="C429" t="str">
        <f>VLOOKUP($A429,Lcode_mapping!$D:$T,15,FALSE)</f>
        <v>-</v>
      </c>
      <c r="D429" t="str">
        <f>VLOOKUP($A429,Lcode_mapping!$D:$T,7,FALSE)</f>
        <v xml:space="preserve">FRNGE(YYMMDD)  Fourfit(x.x) ver. </v>
      </c>
      <c r="E429" t="str">
        <f>VLOOKUP($A429,Lcode_mapping!$D:$T,17,FALSE)</f>
        <v>-</v>
      </c>
      <c r="H429" t="str">
        <f t="shared" si="21"/>
        <v>VLB2PRG</v>
      </c>
      <c r="I429" t="str">
        <f t="shared" si="22"/>
        <v>VLB2PRG</v>
      </c>
      <c r="J429" t="str">
        <f t="shared" si="23"/>
        <v xml:space="preserve">FRNGE(YYMMDD)  Fourfit(x.x) ver. </v>
      </c>
      <c r="K429" t="str">
        <f>VLOOKUP($A429,Lcode_mapping!$D:$T,12,FALSE)</f>
        <v>Observables</v>
      </c>
      <c r="L429" t="str">
        <f>VLOOKUP($A429,Lcode_mapping!$D:$T,13,FALSE)</f>
        <v>CorrInfo_bX</v>
      </c>
    </row>
    <row r="430" spans="1:12" x14ac:dyDescent="0.25">
      <c r="A430" s="25" t="s">
        <v>34</v>
      </c>
      <c r="B430" t="str">
        <f>VLOOKUP(A430,Lcode_mapping!D:T,1,FALSE)</f>
        <v>VLB2XTNT</v>
      </c>
      <c r="C430" t="str">
        <f>VLOOKUP($A430,Lcode_mapping!$D:$T,15,FALSE)</f>
        <v>-</v>
      </c>
      <c r="D430" t="str">
        <f>VLOOKUP($A430,Lcode_mapping!$D:$T,7,FALSE)</f>
        <v xml:space="preserve">FRNGE extent number. </v>
      </c>
      <c r="E430" t="str">
        <f>VLOOKUP($A430,Lcode_mapping!$D:$T,17,FALSE)</f>
        <v>-</v>
      </c>
      <c r="H430" t="str">
        <f t="shared" si="21"/>
        <v>VLB2XTNT</v>
      </c>
      <c r="I430" t="str">
        <f t="shared" si="22"/>
        <v>VLB2XTNT</v>
      </c>
      <c r="J430" t="str">
        <f t="shared" si="23"/>
        <v xml:space="preserve">FRNGE extent number. </v>
      </c>
      <c r="K430" t="str">
        <f>VLOOKUP($A430,Lcode_mapping!$D:$T,12,FALSE)</f>
        <v>Observables</v>
      </c>
      <c r="L430" t="str">
        <f>VLOOKUP($A430,Lcode_mapping!$D:$T,13,FALSE)</f>
        <v>CorrInfo_bX</v>
      </c>
    </row>
    <row r="431" spans="1:12" x14ac:dyDescent="0.25">
      <c r="A431" s="25" t="s">
        <v>461</v>
      </c>
      <c r="B431" t="str">
        <f>VLOOKUP(A431,Lcode_mapping!D:T,1,FALSE)</f>
        <v>VLIGHT</v>
      </c>
      <c r="C431" t="str">
        <f>VLOOKUP($A431,Lcode_mapping!$D:$T,15,FALSE)</f>
        <v>-</v>
      </c>
      <c r="D431" t="str">
        <f>VLOOKUP($A431,Lcode_mapping!$D:$T,7,FALSE)</f>
        <v>The speed of light (m/sec).</v>
      </c>
      <c r="E431" t="str">
        <f>VLOOKUP($A431,Lcode_mapping!$D:$T,17,FALSE)</f>
        <v>-</v>
      </c>
      <c r="H431" t="str">
        <f t="shared" si="21"/>
        <v>VLIGHT</v>
      </c>
      <c r="I431" t="str">
        <f t="shared" si="22"/>
        <v>VLIGHT</v>
      </c>
      <c r="J431" t="str">
        <f t="shared" si="23"/>
        <v>The speed of light (m/sec).</v>
      </c>
      <c r="K431" t="str">
        <f>VLOOKUP($A431,Lcode_mapping!$D:$T,12,FALSE)</f>
        <v>OBSOLETE</v>
      </c>
      <c r="L431" t="str">
        <f>VLOOKUP($A431,Lcode_mapping!$D:$T,13,FALSE)</f>
        <v>-</v>
      </c>
    </row>
    <row r="432" spans="1:12" x14ac:dyDescent="0.25">
      <c r="A432" s="25" t="s">
        <v>825</v>
      </c>
      <c r="B432" t="str">
        <f>VLOOKUP(A432,Lcode_mapping!D:T,1,FALSE)</f>
        <v>WAHRCONT</v>
      </c>
      <c r="C432" t="str">
        <f>VLOOKUP($A432,Lcode_mapping!$D:$T,15,FALSE)</f>
        <v>Cal-Nutation</v>
      </c>
      <c r="D432" t="str">
        <f>VLOOKUP($A432,Lcode_mapping!$D:$T,7,FALSE)</f>
        <v>2000A Nut to Wahr Nut Contributn</v>
      </c>
      <c r="E432" t="str">
        <f>VLOOKUP($A432,Lcode_mapping!$D:$T,17,FALSE)</f>
        <v>-</v>
      </c>
      <c r="H432" t="str">
        <f t="shared" si="21"/>
        <v>WAHRCONT</v>
      </c>
      <c r="I432" t="str">
        <f t="shared" si="22"/>
        <v>Cal-Nutation</v>
      </c>
      <c r="J432" t="str">
        <f t="shared" si="23"/>
        <v>2000A Nut to Wahr Nut Contributn</v>
      </c>
      <c r="K432" t="str">
        <f>VLOOKUP($A432,Lcode_mapping!$D:$T,12,FALSE)</f>
        <v>ObsCalTheo</v>
      </c>
      <c r="L432" t="str">
        <f>VLOOKUP($A432,Lcode_mapping!$D:$T,13,FALSE)</f>
        <v>Cal-NutationEQX_kWahr</v>
      </c>
    </row>
    <row r="433" spans="1:12" x14ac:dyDescent="0.25">
      <c r="A433" s="25" t="s">
        <v>278</v>
      </c>
      <c r="B433" t="str">
        <f>VLOOKUP(A433,Lcode_mapping!D:T,1,FALSE)</f>
        <v>WBEPOCH</v>
      </c>
      <c r="C433" t="str">
        <f>VLOOKUP($A433,Lcode_mapping!$D:$T,15,FALSE)</f>
        <v>-</v>
      </c>
      <c r="D433" t="str">
        <f>VLOOKUP($A433,Lcode_mapping!$D:$T,7,FALSE)</f>
        <v>LIST OF SITE NMES FOR EPOCHS</v>
      </c>
      <c r="E433" t="str">
        <f>VLOOKUP($A433,Lcode_mapping!$D:$T,17,FALSE)</f>
        <v>-</v>
      </c>
      <c r="H433" t="str">
        <f t="shared" si="21"/>
        <v>WBEPOCH</v>
      </c>
      <c r="I433" t="str">
        <f t="shared" si="22"/>
        <v>WBEPOCH</v>
      </c>
      <c r="J433" t="str">
        <f t="shared" si="23"/>
        <v>LIST OF SITE NMES FOR EPOCHS</v>
      </c>
      <c r="K433" t="str">
        <f>VLOOKUP($A433,Lcode_mapping!$D:$T,12,FALSE)</f>
        <v>OBSOLETE</v>
      </c>
      <c r="L433" t="str">
        <f>VLOOKUP($A433,Lcode_mapping!$D:$T,13,FALSE)</f>
        <v>-</v>
      </c>
    </row>
    <row r="434" spans="1:12" x14ac:dyDescent="0.25">
      <c r="A434" s="25" t="s">
        <v>667</v>
      </c>
      <c r="B434" t="str">
        <f>VLOOKUP(A434,Lcode_mapping!D:T,1,FALSE)</f>
        <v>WOB CFLG</v>
      </c>
      <c r="C434" t="str">
        <f>VLOOKUP($A434,Lcode_mapping!$D:$T,15,FALSE)</f>
        <v>WobbleControl</v>
      </c>
      <c r="D434" t="str">
        <f>VLOOKUP($A434,Lcode_mapping!$D:$T,7,FALSE)</f>
        <v>Wobble flow control mess def.</v>
      </c>
      <c r="E434" t="str">
        <f>VLOOKUP($A434,Lcode_mapping!$D:$T,17,FALSE)</f>
        <v>-</v>
      </c>
      <c r="H434" t="str">
        <f t="shared" si="21"/>
        <v>WOB CFLG</v>
      </c>
      <c r="I434" t="str">
        <f t="shared" si="22"/>
        <v>WobbleControl</v>
      </c>
      <c r="J434" t="str">
        <f t="shared" si="23"/>
        <v>Wobble flow control mess def.</v>
      </c>
      <c r="K434" t="str">
        <f>VLOOKUP($A434,Lcode_mapping!$D:$T,12,FALSE)</f>
        <v>Solve</v>
      </c>
      <c r="L434" t="str">
        <f>VLOOKUP($A434,Lcode_mapping!$D:$T,13,FALSE)</f>
        <v>CalcInfo</v>
      </c>
    </row>
    <row r="435" spans="1:12" x14ac:dyDescent="0.25">
      <c r="A435" s="25" t="s">
        <v>663</v>
      </c>
      <c r="B435" t="str">
        <f>VLOOKUP(A435,Lcode_mapping!D:T,1,FALSE)</f>
        <v>WOB MESS</v>
      </c>
      <c r="C435" t="str">
        <f>VLOOKUP($A435,Lcode_mapping!$D:$T,15,FALSE)</f>
        <v>CalcWobModule</v>
      </c>
      <c r="D435" t="str">
        <f>VLOOKUP($A435,Lcode_mapping!$D:$T,7,FALSE)</f>
        <v>Wobble message definition.</v>
      </c>
      <c r="E435" t="str">
        <f>VLOOKUP($A435,Lcode_mapping!$D:$T,17,FALSE)</f>
        <v>-</v>
      </c>
      <c r="H435" t="str">
        <f t="shared" si="21"/>
        <v>WOB MESS</v>
      </c>
      <c r="I435" t="str">
        <f t="shared" si="22"/>
        <v>CalcWobModule</v>
      </c>
      <c r="J435" t="str">
        <f t="shared" si="23"/>
        <v>Wobble message definition.</v>
      </c>
      <c r="K435" t="str">
        <f>VLOOKUP($A435,Lcode_mapping!$D:$T,12,FALSE)</f>
        <v>Solve</v>
      </c>
      <c r="L435" t="str">
        <f>VLOOKUP($A435,Lcode_mapping!$D:$T,13,FALSE)</f>
        <v>CalcERP</v>
      </c>
    </row>
    <row r="436" spans="1:12" x14ac:dyDescent="0.25">
      <c r="A436" s="25" t="s">
        <v>845</v>
      </c>
      <c r="B436" t="str">
        <f>VLOOKUP(A436,Lcode_mapping!D:T,1,FALSE)</f>
        <v>WOB PART</v>
      </c>
      <c r="C436" t="str">
        <f>VLOOKUP($A436,Lcode_mapping!$D:$T,15,FALSE)</f>
        <v>Part-Wobble</v>
      </c>
      <c r="D436" t="str">
        <f>VLOOKUP($A436,Lcode_mapping!$D:$T,7,FALSE)</f>
        <v>Wobble partial derivatives def.</v>
      </c>
      <c r="E436" t="str">
        <f>VLOOKUP($A436,Lcode_mapping!$D:$T,17,FALSE)</f>
        <v>-</v>
      </c>
      <c r="H436" t="str">
        <f t="shared" si="21"/>
        <v>WOB PART</v>
      </c>
      <c r="I436" t="str">
        <f t="shared" si="22"/>
        <v>Part-Wobble</v>
      </c>
      <c r="J436" t="str">
        <f t="shared" si="23"/>
        <v>Wobble partial derivatives def.</v>
      </c>
      <c r="K436" t="str">
        <f>VLOOKUP($A436,Lcode_mapping!$D:$T,12,FALSE)</f>
        <v>ObsPart</v>
      </c>
      <c r="L436" t="str">
        <f>VLOOKUP($A436,Lcode_mapping!$D:$T,13,FALSE)</f>
        <v>Part-ERP</v>
      </c>
    </row>
    <row r="437" spans="1:12" x14ac:dyDescent="0.25">
      <c r="A437" s="25" t="s">
        <v>513</v>
      </c>
      <c r="B437" t="str">
        <f>VLOOKUP(A437,Lcode_mapping!D:T,1,FALSE)</f>
        <v>WOBEPOCH</v>
      </c>
      <c r="C437" t="str">
        <f>VLOOKUP($A437,Lcode_mapping!$D:$T,15,FALSE)</f>
        <v>-</v>
      </c>
      <c r="D437" t="str">
        <f>VLOOKUP($A437,Lcode_mapping!$D:$T,7,FALSE)</f>
        <v>Interpolated wobble array def</v>
      </c>
      <c r="E437" t="str">
        <f>VLOOKUP($A437,Lcode_mapping!$D:$T,17,FALSE)</f>
        <v>-</v>
      </c>
      <c r="H437" t="str">
        <f t="shared" si="21"/>
        <v>WOBEPOCH</v>
      </c>
      <c r="I437" t="str">
        <f t="shared" si="22"/>
        <v>WOBEPOCH</v>
      </c>
      <c r="J437" t="str">
        <f t="shared" si="23"/>
        <v>Interpolated wobble array def</v>
      </c>
      <c r="K437" t="str">
        <f>VLOOKUP($A437,Lcode_mapping!$D:$T,12,FALSE)</f>
        <v>Solve</v>
      </c>
      <c r="L437" t="str">
        <f>VLOOKUP($A437,Lcode_mapping!$D:$T,13,FALSE)</f>
        <v>CalcInfo</v>
      </c>
    </row>
    <row r="438" spans="1:12" x14ac:dyDescent="0.25">
      <c r="A438" s="25" t="s">
        <v>665</v>
      </c>
      <c r="B438" t="str">
        <f>VLOOKUP(A438,Lcode_mapping!D:T,1,FALSE)</f>
        <v>WOBINTRP</v>
      </c>
      <c r="C438" t="str">
        <f>VLOOKUP($A438,Lcode_mapping!$D:$T,15,FALSE)</f>
        <v>WobIntrpMode</v>
      </c>
      <c r="D438" t="str">
        <f>VLOOKUP($A438,Lcode_mapping!$D:$T,7,FALSE)</f>
        <v>Interp. scheme for polar motion.</v>
      </c>
      <c r="E438" t="str">
        <f>VLOOKUP($A438,Lcode_mapping!$D:$T,17,FALSE)</f>
        <v>-</v>
      </c>
      <c r="H438" t="str">
        <f t="shared" si="21"/>
        <v>WOBINTRP</v>
      </c>
      <c r="I438" t="str">
        <f t="shared" si="22"/>
        <v>WobIntrpMode</v>
      </c>
      <c r="J438" t="str">
        <f t="shared" si="23"/>
        <v>Interp. scheme for polar motion.</v>
      </c>
      <c r="K438" t="str">
        <f>VLOOKUP($A438,Lcode_mapping!$D:$T,12,FALSE)</f>
        <v>Solve</v>
      </c>
      <c r="L438" t="str">
        <f>VLOOKUP($A438,Lcode_mapping!$D:$T,13,FALSE)</f>
        <v>CalcERP</v>
      </c>
    </row>
    <row r="439" spans="1:12" x14ac:dyDescent="0.25">
      <c r="A439" s="25" t="s">
        <v>936</v>
      </c>
      <c r="B439" t="str">
        <f>VLOOKUP(A439,Lcode_mapping!D:T,1,FALSE)</f>
        <v>WOBNUTAT</v>
      </c>
      <c r="C439" t="str">
        <f>VLOOKUP($A439,Lcode_mapping!$D:$T,15,FALSE)</f>
        <v>Cal-HiFreqLibrationPM</v>
      </c>
      <c r="D439" t="str">
        <f>VLOOKUP($A439,Lcode_mapping!$D:$T,7,FALSE)</f>
        <v>Short period nutation wobble con</v>
      </c>
      <c r="E439" t="str">
        <f>VLOOKUP($A439,Lcode_mapping!$D:$T,17,FALSE)</f>
        <v>Hi Freq Wobble Libration Contribution</v>
      </c>
      <c r="H439" t="str">
        <f t="shared" si="21"/>
        <v>WOBNUTAT</v>
      </c>
      <c r="I439" t="str">
        <f t="shared" si="22"/>
        <v>Cal-HiFreqLibrationPM</v>
      </c>
      <c r="J439" t="str">
        <f t="shared" si="23"/>
        <v>Hi Freq Wobble Libration Contribution</v>
      </c>
      <c r="K439" t="str">
        <f>VLOOKUP($A439,Lcode_mapping!$D:$T,12,FALSE)</f>
        <v>ObsCalTheo</v>
      </c>
      <c r="L439" t="str">
        <f>VLOOKUP($A439,Lcode_mapping!$D:$T,13,FALSE)</f>
        <v>Cal-HiFreqLibration_kIERS2006</v>
      </c>
    </row>
    <row r="440" spans="1:12" x14ac:dyDescent="0.25">
      <c r="A440" s="25" t="s">
        <v>938</v>
      </c>
      <c r="B440" t="str">
        <f>VLOOKUP(A440,Lcode_mapping!D:T,1,FALSE)</f>
        <v>WOBORTHO</v>
      </c>
      <c r="C440" t="str">
        <f>VLOOKUP($A440,Lcode_mapping!$D:$T,15,FALSE)</f>
        <v>Cal-WobOrtho</v>
      </c>
      <c r="D440" t="str">
        <f>VLOOKUP($A440,Lcode_mapping!$D:$T,7,FALSE)</f>
        <v>ORTHO_EOP tidal wobble contribtn</v>
      </c>
      <c r="E440" t="str">
        <f>VLOOKUP($A440,Lcode_mapping!$D:$T,17,FALSE)</f>
        <v>-</v>
      </c>
      <c r="H440" t="str">
        <f t="shared" si="21"/>
        <v>WOBORTHO</v>
      </c>
      <c r="I440" t="str">
        <f t="shared" si="22"/>
        <v>Cal-WobOrtho</v>
      </c>
      <c r="J440" t="str">
        <f t="shared" si="23"/>
        <v>ORTHO_EOP tidal wobble contribtn</v>
      </c>
      <c r="K440" t="str">
        <f>VLOOKUP($A440,Lcode_mapping!$D:$T,12,FALSE)</f>
        <v>ObsCalTheo</v>
      </c>
      <c r="L440" t="str">
        <f>VLOOKUP($A440,Lcode_mapping!$D:$T,13,FALSE)</f>
        <v>Cal-HiFreqERP_kIERS2003</v>
      </c>
    </row>
    <row r="441" spans="1:12" x14ac:dyDescent="0.25">
      <c r="A441" s="25" t="s">
        <v>847</v>
      </c>
      <c r="B441" t="str">
        <f>VLOOKUP(A441,Lcode_mapping!D:T,1,FALSE)</f>
        <v>WOBXCONT</v>
      </c>
      <c r="C441" t="str">
        <f>VLOOKUP($A441,Lcode_mapping!$D:$T,15,FALSE)</f>
        <v>Cal-Xwobble</v>
      </c>
      <c r="D441" t="str">
        <f>VLOOKUP($A441,Lcode_mapping!$D:$T,7,FALSE)</f>
        <v>X Wobble contribution definition</v>
      </c>
      <c r="E441" t="str">
        <f>VLOOKUP($A441,Lcode_mapping!$D:$T,17,FALSE)</f>
        <v>-</v>
      </c>
      <c r="H441" t="str">
        <f t="shared" si="21"/>
        <v>WOBXCONT</v>
      </c>
      <c r="I441" t="str">
        <f t="shared" si="22"/>
        <v>Cal-Xwobble</v>
      </c>
      <c r="J441" t="str">
        <f t="shared" si="23"/>
        <v>X Wobble contribution definition</v>
      </c>
      <c r="K441" t="str">
        <f>VLOOKUP($A441,Lcode_mapping!$D:$T,12,FALSE)</f>
        <v>ObsCalTheo</v>
      </c>
      <c r="L441" t="str">
        <f>VLOOKUP($A441,Lcode_mapping!$D:$T,13,FALSE)</f>
        <v>Cal-Wobble</v>
      </c>
    </row>
    <row r="442" spans="1:12" x14ac:dyDescent="0.25">
      <c r="A442" s="25" t="s">
        <v>849</v>
      </c>
      <c r="B442" t="str">
        <f>VLOOKUP(A442,Lcode_mapping!D:T,1,FALSE)</f>
        <v>WOBYCONT</v>
      </c>
      <c r="C442" t="str">
        <f>VLOOKUP($A442,Lcode_mapping!$D:$T,15,FALSE)</f>
        <v>Cal-Ywobble</v>
      </c>
      <c r="D442" t="str">
        <f>VLOOKUP($A442,Lcode_mapping!$D:$T,7,FALSE)</f>
        <v>Y Wobble contribution definition</v>
      </c>
      <c r="E442" t="str">
        <f>VLOOKUP($A442,Lcode_mapping!$D:$T,17,FALSE)</f>
        <v>-</v>
      </c>
      <c r="H442" t="str">
        <f t="shared" si="21"/>
        <v>WOBYCONT</v>
      </c>
      <c r="I442" t="str">
        <f t="shared" si="22"/>
        <v>Cal-Ywobble</v>
      </c>
      <c r="J442" t="str">
        <f t="shared" si="23"/>
        <v>Y Wobble contribution definition</v>
      </c>
      <c r="K442" t="str">
        <f>VLOOKUP($A442,Lcode_mapping!$D:$T,12,FALSE)</f>
        <v>ObsCalTheo</v>
      </c>
      <c r="L442" t="str">
        <f>VLOOKUP($A442,Lcode_mapping!$D:$T,13,FALSE)</f>
        <v>Cal-Wobble</v>
      </c>
    </row>
    <row r="443" spans="1:12" x14ac:dyDescent="0.25">
      <c r="A443" s="25" t="s">
        <v>1242</v>
      </c>
      <c r="B443" t="str">
        <f>VLOOKUP(A443,Lcode_mapping!D:T,1,FALSE)</f>
        <v>WVR CODE</v>
      </c>
      <c r="C443" t="str">
        <f>VLOOKUP($A443,Lcode_mapping!$D:$T,15,FALSE)</f>
        <v>WVRQcode</v>
      </c>
      <c r="D443" t="str">
        <f>VLOOKUP($A443,Lcode_mapping!$D:$T,7,FALSE)</f>
        <v>WVR DELAY DATA QUALITY CODE</v>
      </c>
      <c r="E443" t="str">
        <f>VLOOKUP($A443,Lcode_mapping!$D:$T,17,FALSE)</f>
        <v>-</v>
      </c>
      <c r="H443" t="str">
        <f t="shared" si="21"/>
        <v>WVR CODE</v>
      </c>
      <c r="I443" t="str">
        <f t="shared" si="22"/>
        <v>WVRQcode</v>
      </c>
      <c r="J443" t="str">
        <f t="shared" si="23"/>
        <v>WVR DELAY DATA QUALITY CODE</v>
      </c>
      <c r="K443" t="str">
        <f>VLOOKUP($A443,Lcode_mapping!$D:$T,12,FALSE)</f>
        <v>-</v>
      </c>
      <c r="L443" t="str">
        <f>VLOOKUP($A443,Lcode_mapping!$D:$T,13,FALSE)</f>
        <v>WVR</v>
      </c>
    </row>
    <row r="444" spans="1:12" x14ac:dyDescent="0.25">
      <c r="A444" s="25" t="s">
        <v>1076</v>
      </c>
      <c r="B444" t="str">
        <f>VLOOKUP(A444,Lcode_mapping!D:T,1,FALSE)</f>
        <v>WVR DELY</v>
      </c>
      <c r="C444" t="str">
        <f>VLOOKUP($A444,Lcode_mapping!$D:$T,15,FALSE)</f>
        <v>WVRDelay</v>
      </c>
      <c r="D444" t="str">
        <f>VLOOKUP($A444,Lcode_mapping!$D:$T,7,FALSE)</f>
        <v>WVR LINE OF SIGHT &amp; ZENITH(NSEC)</v>
      </c>
      <c r="E444" t="str">
        <f>VLOOKUP($A444,Lcode_mapping!$D:$T,17,FALSE)</f>
        <v>-</v>
      </c>
      <c r="H444" t="str">
        <f t="shared" si="21"/>
        <v>WVR DELY</v>
      </c>
      <c r="I444" t="str">
        <f t="shared" si="22"/>
        <v>WVRDelay</v>
      </c>
      <c r="J444" t="str">
        <f t="shared" si="23"/>
        <v>WVR LINE OF SIGHT &amp; ZENITH(NSEC)</v>
      </c>
      <c r="K444" t="str">
        <f>VLOOKUP($A444,Lcode_mapping!$D:$T,12,FALSE)</f>
        <v>-</v>
      </c>
      <c r="L444" t="str">
        <f>VLOOKUP($A444,Lcode_mapping!$D:$T,13,FALSE)</f>
        <v>WVR</v>
      </c>
    </row>
    <row r="445" spans="1:12" x14ac:dyDescent="0.25">
      <c r="A445" s="25" t="s">
        <v>17</v>
      </c>
      <c r="B445" t="str">
        <f>VLOOKUP(A445,Lcode_mapping!D:T,1,FALSE)</f>
        <v>WVR STAT</v>
      </c>
      <c r="C445" t="str">
        <f>VLOOKUP($A445,Lcode_mapping!$D:$T,15,FALSE)</f>
        <v>-</v>
      </c>
      <c r="D445" t="str">
        <f>VLOOKUP($A445,Lcode_mapping!$D:$T,7,FALSE)</f>
        <v>Stations with WVR calib .</v>
      </c>
      <c r="E445" t="str">
        <f>VLOOKUP($A445,Lcode_mapping!$D:$T,17,FALSE)</f>
        <v>-</v>
      </c>
      <c r="H445" t="str">
        <f t="shared" si="21"/>
        <v>WVR STAT</v>
      </c>
      <c r="I445" t="str">
        <f t="shared" si="22"/>
        <v>WVR STAT</v>
      </c>
      <c r="J445" t="str">
        <f t="shared" si="23"/>
        <v>Stations with WVR calib .</v>
      </c>
      <c r="K445" t="str">
        <f>VLOOKUP($A445,Lcode_mapping!$D:$T,12,FALSE)</f>
        <v>OBSOLETE</v>
      </c>
      <c r="L445" t="str">
        <f>VLOOKUP($A445,Lcode_mapping!$D:$T,13,FALSE)</f>
        <v>-</v>
      </c>
    </row>
    <row r="446" spans="1:12" x14ac:dyDescent="0.25">
      <c r="A446" s="25" t="s">
        <v>50</v>
      </c>
      <c r="B446" t="str">
        <f>VLOOKUP(A446,Lcode_mapping!D:T,1,FALSE)</f>
        <v>WVR TEMP</v>
      </c>
      <c r="C446" t="str">
        <f>VLOOKUP($A446,Lcode_mapping!$D:$T,15,FALSE)</f>
        <v>WVRTempRef</v>
      </c>
      <c r="D446" t="str">
        <f>VLOOKUP($A446,Lcode_mapping!$D:$T,7,FALSE)</f>
        <v>REFERENCE1,2 WVR TEMP (K).</v>
      </c>
      <c r="E446" t="str">
        <f>VLOOKUP($A446,Lcode_mapping!$D:$T,17,FALSE)</f>
        <v>-</v>
      </c>
      <c r="H446" t="str">
        <f t="shared" si="21"/>
        <v>WVR TEMP</v>
      </c>
      <c r="I446" t="str">
        <f t="shared" si="22"/>
        <v>WVRTempRef</v>
      </c>
      <c r="J446" t="str">
        <f t="shared" si="23"/>
        <v>REFERENCE1,2 WVR TEMP (K).</v>
      </c>
      <c r="K446" t="str">
        <f>VLOOKUP($A446,Lcode_mapping!$D:$T,12,FALSE)</f>
        <v>-</v>
      </c>
      <c r="L446" t="str">
        <f>VLOOKUP($A446,Lcode_mapping!$D:$T,13,FALSE)</f>
        <v>WVR</v>
      </c>
    </row>
    <row r="447" spans="1:12" x14ac:dyDescent="0.25">
      <c r="A447" s="25" t="s">
        <v>69</v>
      </c>
      <c r="B447" t="str">
        <f>VLOOKUP(A447,Lcode_mapping!D:T,1,FALSE)</f>
        <v>WVR.DELY</v>
      </c>
      <c r="C447" t="str">
        <f>VLOOKUP($A447,Lcode_mapping!$D:$T,15,FALSE)</f>
        <v>WVRDelay</v>
      </c>
      <c r="D447" t="str">
        <f>VLOOKUP($A447,Lcode_mapping!$D:$T,7,FALSE)</f>
        <v>WVR PATH DELAYWVR PATH DELAY AND</v>
      </c>
      <c r="E447" t="str">
        <f>VLOOKUP($A447,Lcode_mapping!$D:$T,17,FALSE)</f>
        <v>-</v>
      </c>
      <c r="H447" t="str">
        <f t="shared" si="21"/>
        <v>WVR.DELY</v>
      </c>
      <c r="I447" t="str">
        <f t="shared" si="22"/>
        <v>WVRDelay</v>
      </c>
      <c r="J447" t="str">
        <f t="shared" si="23"/>
        <v>WVR PATH DELAYWVR PATH DELAY AND</v>
      </c>
      <c r="K447" t="str">
        <f>VLOOKUP($A447,Lcode_mapping!$D:$T,12,FALSE)</f>
        <v>-</v>
      </c>
      <c r="L447" t="str">
        <f>VLOOKUP($A447,Lcode_mapping!$D:$T,13,FALSE)</f>
        <v>WVR</v>
      </c>
    </row>
    <row r="448" spans="1:12" x14ac:dyDescent="0.25">
      <c r="A448" s="25" t="s">
        <v>1075</v>
      </c>
      <c r="B448" t="str">
        <f>VLOOKUP(A448,Lcode_mapping!D:T,1,FALSE)</f>
        <v>WVRDELAY</v>
      </c>
      <c r="C448" t="str">
        <f>VLOOKUP($A448,Lcode_mapping!$D:$T,15,FALSE)</f>
        <v>WVRDelay</v>
      </c>
      <c r="D448" t="str">
        <f>VLOOKUP($A448,Lcode_mapping!$D:$T,7,FALSE)</f>
        <v>WVR line of sight &amp; ZENITH(sec)</v>
      </c>
      <c r="E448" t="str">
        <f>VLOOKUP($A448,Lcode_mapping!$D:$T,17,FALSE)</f>
        <v>-</v>
      </c>
      <c r="H448" t="str">
        <f t="shared" si="21"/>
        <v>WVRDELAY</v>
      </c>
      <c r="I448" t="str">
        <f t="shared" si="22"/>
        <v>WVRDelay</v>
      </c>
      <c r="J448" t="str">
        <f t="shared" si="23"/>
        <v>WVR line of sight &amp; ZENITH(sec)</v>
      </c>
      <c r="K448" t="str">
        <f>VLOOKUP($A448,Lcode_mapping!$D:$T,12,FALSE)</f>
        <v>-</v>
      </c>
      <c r="L448" t="str">
        <f>VLOOKUP($A448,Lcode_mapping!$D:$T,13,FALSE)</f>
        <v>WVR</v>
      </c>
    </row>
    <row r="449" spans="1:12" x14ac:dyDescent="0.25">
      <c r="A449" s="25" t="s">
        <v>1024</v>
      </c>
      <c r="B449" t="str">
        <f>VLOOKUP(A449,Lcode_mapping!D:T,1,FALSE)</f>
        <v>ZDELAY</v>
      </c>
      <c r="C449" t="str">
        <f>VLOOKUP($A449,Lcode_mapping!$D:$T,15,FALSE)</f>
        <v>-</v>
      </c>
      <c r="D449" t="str">
        <f>VLOOKUP($A449,Lcode_mapping!$D:$T,7,FALSE)</f>
        <v>Corel zenith atmos. delay (sec).</v>
      </c>
      <c r="E449" t="str">
        <f>VLOOKUP($A449,Lcode_mapping!$D:$T,17,FALSE)</f>
        <v>-</v>
      </c>
      <c r="H449" t="str">
        <f t="shared" si="21"/>
        <v>ZDELAY</v>
      </c>
      <c r="I449" t="str">
        <f t="shared" si="22"/>
        <v>ZDELAY</v>
      </c>
      <c r="J449" t="str">
        <f t="shared" si="23"/>
        <v>Corel zenith atmos. delay (sec).</v>
      </c>
      <c r="K449" t="str">
        <f>VLOOKUP($A449,Lcode_mapping!$D:$T,12,FALSE)</f>
        <v>Observables</v>
      </c>
      <c r="L449" t="str">
        <f>VLOOKUP($A449,Lcode_mapping!$D:$T,13,FALSE)</f>
        <v>CorrInfo_bX</v>
      </c>
    </row>
    <row r="450" spans="1:12" x14ac:dyDescent="0.25">
      <c r="A450" s="20"/>
    </row>
    <row r="451" spans="1:12" x14ac:dyDescent="0.25">
      <c r="A451" s="26"/>
    </row>
  </sheetData>
  <sortState ref="A1:A501">
    <sortCondition ref="A1:A501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0"/>
  <sheetViews>
    <sheetView workbookViewId="0">
      <selection sqref="A1:C60"/>
    </sheetView>
  </sheetViews>
  <sheetFormatPr defaultRowHeight="15" x14ac:dyDescent="0.25"/>
  <cols>
    <col min="1" max="1" width="24.140625" customWidth="1"/>
    <col min="2" max="2" width="32.42578125" customWidth="1"/>
    <col min="3" max="3" width="20.85546875" customWidth="1"/>
  </cols>
  <sheetData>
    <row r="1" spans="1:3" x14ac:dyDescent="0.25">
      <c r="A1" t="s">
        <v>2282</v>
      </c>
      <c r="B1" t="s">
        <v>2216</v>
      </c>
      <c r="C1" t="s">
        <v>221</v>
      </c>
    </row>
    <row r="2" spans="1:3" x14ac:dyDescent="0.25">
      <c r="A2" t="s">
        <v>1521</v>
      </c>
      <c r="B2" t="s">
        <v>2226</v>
      </c>
      <c r="C2" t="s">
        <v>1347</v>
      </c>
    </row>
    <row r="3" spans="1:3" x14ac:dyDescent="0.25">
      <c r="A3" t="s">
        <v>2127</v>
      </c>
      <c r="B3" t="s">
        <v>2231</v>
      </c>
      <c r="C3" t="s">
        <v>1490</v>
      </c>
    </row>
    <row r="4" spans="1:3" x14ac:dyDescent="0.25">
      <c r="A4" t="s">
        <v>117</v>
      </c>
      <c r="B4" t="s">
        <v>2258</v>
      </c>
      <c r="C4" t="s">
        <v>438</v>
      </c>
    </row>
    <row r="5" spans="1:3" x14ac:dyDescent="0.25">
      <c r="A5" t="s">
        <v>1457</v>
      </c>
      <c r="B5" t="s">
        <v>2259</v>
      </c>
      <c r="C5" t="s">
        <v>1347</v>
      </c>
    </row>
    <row r="6" spans="1:3" x14ac:dyDescent="0.25">
      <c r="A6" t="s">
        <v>2133</v>
      </c>
      <c r="B6" t="s">
        <v>2232</v>
      </c>
      <c r="C6" t="s">
        <v>1490</v>
      </c>
    </row>
    <row r="7" spans="1:3" x14ac:dyDescent="0.25">
      <c r="A7" t="s">
        <v>2159</v>
      </c>
      <c r="B7" t="s">
        <v>2260</v>
      </c>
      <c r="C7" t="s">
        <v>1340</v>
      </c>
    </row>
    <row r="8" spans="1:3" x14ac:dyDescent="0.25">
      <c r="A8" t="s">
        <v>2219</v>
      </c>
      <c r="B8" t="s">
        <v>2227</v>
      </c>
      <c r="C8" t="s">
        <v>2235</v>
      </c>
    </row>
    <row r="9" spans="1:3" x14ac:dyDescent="0.25">
      <c r="A9" t="s">
        <v>1867</v>
      </c>
      <c r="B9" t="s">
        <v>2228</v>
      </c>
      <c r="C9" t="s">
        <v>1351</v>
      </c>
    </row>
    <row r="10" spans="1:3" x14ac:dyDescent="0.25">
      <c r="A10" t="s">
        <v>1963</v>
      </c>
      <c r="B10" t="s">
        <v>2261</v>
      </c>
      <c r="C10" t="s">
        <v>1340</v>
      </c>
    </row>
    <row r="11" spans="1:3" x14ac:dyDescent="0.25">
      <c r="A11" t="s">
        <v>2134</v>
      </c>
      <c r="B11" t="s">
        <v>2232</v>
      </c>
      <c r="C11" t="s">
        <v>1490</v>
      </c>
    </row>
    <row r="12" spans="1:3" x14ac:dyDescent="0.25">
      <c r="A12" t="s">
        <v>2130</v>
      </c>
      <c r="B12" t="s">
        <v>2229</v>
      </c>
      <c r="C12" t="s">
        <v>1340</v>
      </c>
    </row>
    <row r="13" spans="1:3" x14ac:dyDescent="0.25">
      <c r="A13" t="s">
        <v>1861</v>
      </c>
      <c r="B13" t="s">
        <v>2230</v>
      </c>
      <c r="C13" t="s">
        <v>1340</v>
      </c>
    </row>
    <row r="14" spans="1:3" x14ac:dyDescent="0.25">
      <c r="A14" t="s">
        <v>2128</v>
      </c>
      <c r="B14" t="s">
        <v>2232</v>
      </c>
      <c r="C14" t="s">
        <v>1490</v>
      </c>
    </row>
    <row r="15" spans="1:3" x14ac:dyDescent="0.25">
      <c r="A15" t="s">
        <v>2191</v>
      </c>
      <c r="B15" t="s">
        <v>2233</v>
      </c>
      <c r="C15" t="s">
        <v>1347</v>
      </c>
    </row>
    <row r="16" spans="1:3" x14ac:dyDescent="0.25">
      <c r="A16" t="s">
        <v>2224</v>
      </c>
      <c r="B16" t="s">
        <v>2234</v>
      </c>
      <c r="C16" t="s">
        <v>1347</v>
      </c>
    </row>
    <row r="17" spans="1:3" x14ac:dyDescent="0.25">
      <c r="A17" t="s">
        <v>2165</v>
      </c>
      <c r="B17" t="s">
        <v>2267</v>
      </c>
      <c r="C17" t="s">
        <v>1347</v>
      </c>
    </row>
    <row r="18" spans="1:3" x14ac:dyDescent="0.25">
      <c r="A18" t="s">
        <v>1642</v>
      </c>
      <c r="B18" t="s">
        <v>2262</v>
      </c>
      <c r="C18" t="s">
        <v>1347</v>
      </c>
    </row>
    <row r="19" spans="1:3" x14ac:dyDescent="0.25">
      <c r="A19" t="s">
        <v>2220</v>
      </c>
      <c r="B19" t="s">
        <v>2263</v>
      </c>
      <c r="C19" t="s">
        <v>438</v>
      </c>
    </row>
    <row r="20" spans="1:3" x14ac:dyDescent="0.25">
      <c r="A20" t="s">
        <v>1611</v>
      </c>
      <c r="B20" t="s">
        <v>2264</v>
      </c>
      <c r="C20" t="s">
        <v>1347</v>
      </c>
    </row>
    <row r="21" spans="1:3" x14ac:dyDescent="0.25">
      <c r="A21" t="s">
        <v>2223</v>
      </c>
      <c r="B21" t="s">
        <v>2266</v>
      </c>
      <c r="C21" t="s">
        <v>1347</v>
      </c>
    </row>
    <row r="22" spans="1:3" x14ac:dyDescent="0.25">
      <c r="A22" t="s">
        <v>2135</v>
      </c>
      <c r="B22" t="s">
        <v>2265</v>
      </c>
      <c r="C22" t="s">
        <v>1347</v>
      </c>
    </row>
    <row r="23" spans="1:3" x14ac:dyDescent="0.25">
      <c r="A23" t="s">
        <v>2129</v>
      </c>
      <c r="B23" t="s">
        <v>2232</v>
      </c>
      <c r="C23" t="s">
        <v>1490</v>
      </c>
    </row>
    <row r="24" spans="1:3" x14ac:dyDescent="0.25">
      <c r="A24" t="s">
        <v>1510</v>
      </c>
      <c r="B24" t="s">
        <v>2268</v>
      </c>
      <c r="C24" t="s">
        <v>1351</v>
      </c>
    </row>
    <row r="25" spans="1:3" x14ac:dyDescent="0.25">
      <c r="A25" t="s">
        <v>2209</v>
      </c>
      <c r="B25" t="s">
        <v>2269</v>
      </c>
      <c r="C25" t="s">
        <v>438</v>
      </c>
    </row>
    <row r="26" spans="1:3" x14ac:dyDescent="0.25">
      <c r="A26" t="s">
        <v>1513</v>
      </c>
      <c r="B26" t="s">
        <v>2270</v>
      </c>
      <c r="C26" t="s">
        <v>1347</v>
      </c>
    </row>
    <row r="27" spans="1:3" x14ac:dyDescent="0.25">
      <c r="A27" t="s">
        <v>1657</v>
      </c>
      <c r="B27" t="s">
        <v>2279</v>
      </c>
      <c r="C27" t="s">
        <v>1347</v>
      </c>
    </row>
    <row r="28" spans="1:3" x14ac:dyDescent="0.25">
      <c r="A28" t="s">
        <v>1514</v>
      </c>
      <c r="B28" t="s">
        <v>2271</v>
      </c>
      <c r="C28" t="s">
        <v>1347</v>
      </c>
    </row>
    <row r="29" spans="1:3" x14ac:dyDescent="0.25">
      <c r="A29" t="s">
        <v>116</v>
      </c>
      <c r="B29" t="s">
        <v>2272</v>
      </c>
    </row>
    <row r="30" spans="1:3" x14ac:dyDescent="0.25">
      <c r="A30" t="s">
        <v>2225</v>
      </c>
      <c r="B30" t="s">
        <v>2273</v>
      </c>
      <c r="C30" t="s">
        <v>1490</v>
      </c>
    </row>
    <row r="31" spans="1:3" x14ac:dyDescent="0.25">
      <c r="A31" t="s">
        <v>1615</v>
      </c>
      <c r="B31" t="s">
        <v>2273</v>
      </c>
      <c r="C31" t="s">
        <v>1490</v>
      </c>
    </row>
    <row r="32" spans="1:3" x14ac:dyDescent="0.25">
      <c r="A32" t="s">
        <v>2136</v>
      </c>
      <c r="B32" t="s">
        <v>2273</v>
      </c>
      <c r="C32" t="s">
        <v>1490</v>
      </c>
    </row>
    <row r="33" spans="1:3" x14ac:dyDescent="0.25">
      <c r="A33" t="s">
        <v>1458</v>
      </c>
      <c r="B33" t="s">
        <v>2274</v>
      </c>
      <c r="C33" t="s">
        <v>438</v>
      </c>
    </row>
    <row r="34" spans="1:3" x14ac:dyDescent="0.25">
      <c r="A34" t="s">
        <v>2073</v>
      </c>
      <c r="B34" t="s">
        <v>2275</v>
      </c>
      <c r="C34" t="s">
        <v>1347</v>
      </c>
    </row>
    <row r="35" spans="1:3" x14ac:dyDescent="0.25">
      <c r="A35" t="s">
        <v>2143</v>
      </c>
      <c r="B35" t="s">
        <v>2280</v>
      </c>
      <c r="C35" t="s">
        <v>1347</v>
      </c>
    </row>
    <row r="36" spans="1:3" x14ac:dyDescent="0.25">
      <c r="A36" t="s">
        <v>2144</v>
      </c>
      <c r="B36" t="s">
        <v>2280</v>
      </c>
      <c r="C36" t="s">
        <v>1347</v>
      </c>
    </row>
    <row r="37" spans="1:3" x14ac:dyDescent="0.25">
      <c r="A37" t="s">
        <v>2217</v>
      </c>
      <c r="B37" t="s">
        <v>2276</v>
      </c>
      <c r="C37" t="s">
        <v>1351</v>
      </c>
    </row>
    <row r="38" spans="1:3" x14ac:dyDescent="0.25">
      <c r="A38" t="s">
        <v>2088</v>
      </c>
      <c r="B38" t="s">
        <v>2281</v>
      </c>
      <c r="C38" t="s">
        <v>2248</v>
      </c>
    </row>
    <row r="39" spans="1:3" x14ac:dyDescent="0.25">
      <c r="A39" t="s">
        <v>2111</v>
      </c>
      <c r="B39" t="s">
        <v>2277</v>
      </c>
      <c r="C39" t="s">
        <v>1490</v>
      </c>
    </row>
    <row r="40" spans="1:3" x14ac:dyDescent="0.25">
      <c r="A40" t="s">
        <v>2221</v>
      </c>
      <c r="B40" t="s">
        <v>2278</v>
      </c>
      <c r="C40" t="s">
        <v>2235</v>
      </c>
    </row>
    <row r="41" spans="1:3" x14ac:dyDescent="0.25">
      <c r="A41" t="s">
        <v>1649</v>
      </c>
      <c r="B41" t="s">
        <v>2236</v>
      </c>
      <c r="C41" t="s">
        <v>1347</v>
      </c>
    </row>
    <row r="42" spans="1:3" x14ac:dyDescent="0.25">
      <c r="A42" t="s">
        <v>1860</v>
      </c>
      <c r="B42" t="s">
        <v>2237</v>
      </c>
      <c r="C42" t="s">
        <v>1340</v>
      </c>
    </row>
    <row r="43" spans="1:3" x14ac:dyDescent="0.25">
      <c r="A43" t="s">
        <v>2222</v>
      </c>
      <c r="B43" t="s">
        <v>2238</v>
      </c>
      <c r="C43" t="s">
        <v>1347</v>
      </c>
    </row>
    <row r="44" spans="1:3" x14ac:dyDescent="0.25">
      <c r="A44" t="s">
        <v>1520</v>
      </c>
      <c r="B44" t="s">
        <v>2239</v>
      </c>
      <c r="C44" t="s">
        <v>1347</v>
      </c>
    </row>
    <row r="45" spans="1:3" x14ac:dyDescent="0.25">
      <c r="A45" t="s">
        <v>1641</v>
      </c>
      <c r="B45" t="s">
        <v>2240</v>
      </c>
      <c r="C45" t="s">
        <v>1347</v>
      </c>
    </row>
    <row r="46" spans="1:3" x14ac:dyDescent="0.25">
      <c r="A46" t="s">
        <v>2183</v>
      </c>
      <c r="B46" t="s">
        <v>2241</v>
      </c>
      <c r="C46" t="s">
        <v>1347</v>
      </c>
    </row>
    <row r="47" spans="1:3" x14ac:dyDescent="0.25">
      <c r="A47" t="s">
        <v>2218</v>
      </c>
      <c r="B47" t="s">
        <v>2242</v>
      </c>
      <c r="C47" t="s">
        <v>1351</v>
      </c>
    </row>
    <row r="48" spans="1:3" x14ac:dyDescent="0.25">
      <c r="A48" t="s">
        <v>1518</v>
      </c>
      <c r="B48" t="s">
        <v>2243</v>
      </c>
      <c r="C48" t="s">
        <v>1347</v>
      </c>
    </row>
    <row r="49" spans="1:3" x14ac:dyDescent="0.25">
      <c r="A49" t="s">
        <v>1487</v>
      </c>
      <c r="B49" t="s">
        <v>1276</v>
      </c>
      <c r="C49" t="s">
        <v>1351</v>
      </c>
    </row>
    <row r="50" spans="1:3" x14ac:dyDescent="0.25">
      <c r="A50" t="s">
        <v>1926</v>
      </c>
      <c r="B50" t="s">
        <v>2255</v>
      </c>
      <c r="C50" t="s">
        <v>1490</v>
      </c>
    </row>
    <row r="51" spans="1:3" x14ac:dyDescent="0.25">
      <c r="A51" t="s">
        <v>1882</v>
      </c>
      <c r="B51" t="s">
        <v>2232</v>
      </c>
      <c r="C51" t="s">
        <v>1490</v>
      </c>
    </row>
    <row r="52" spans="1:3" x14ac:dyDescent="0.25">
      <c r="A52" t="s">
        <v>1456</v>
      </c>
      <c r="B52" t="s">
        <v>2256</v>
      </c>
      <c r="C52" t="s">
        <v>2257</v>
      </c>
    </row>
    <row r="53" spans="1:3" x14ac:dyDescent="0.25">
      <c r="A53" t="s">
        <v>2071</v>
      </c>
      <c r="B53" t="s">
        <v>2246</v>
      </c>
      <c r="C53" t="s">
        <v>2245</v>
      </c>
    </row>
    <row r="54" spans="1:3" x14ac:dyDescent="0.25">
      <c r="A54" t="s">
        <v>2131</v>
      </c>
      <c r="B54" t="s">
        <v>2247</v>
      </c>
      <c r="C54" t="s">
        <v>1340</v>
      </c>
    </row>
    <row r="55" spans="1:3" x14ac:dyDescent="0.25">
      <c r="A55" t="s">
        <v>2082</v>
      </c>
      <c r="B55" t="s">
        <v>2249</v>
      </c>
      <c r="C55" t="s">
        <v>2248</v>
      </c>
    </row>
    <row r="56" spans="1:3" x14ac:dyDescent="0.25">
      <c r="A56" t="s">
        <v>2132</v>
      </c>
      <c r="B56" t="s">
        <v>2250</v>
      </c>
      <c r="C56" t="s">
        <v>1340</v>
      </c>
    </row>
    <row r="57" spans="1:3" x14ac:dyDescent="0.25">
      <c r="A57" t="s">
        <v>2079</v>
      </c>
      <c r="B57" t="s">
        <v>2251</v>
      </c>
      <c r="C57" t="s">
        <v>2248</v>
      </c>
    </row>
    <row r="58" spans="1:3" x14ac:dyDescent="0.25">
      <c r="A58" t="s">
        <v>2069</v>
      </c>
      <c r="B58" t="s">
        <v>2252</v>
      </c>
      <c r="C58" t="s">
        <v>2244</v>
      </c>
    </row>
    <row r="59" spans="1:3" x14ac:dyDescent="0.25">
      <c r="A59" t="s">
        <v>1499</v>
      </c>
      <c r="B59" t="s">
        <v>2253</v>
      </c>
      <c r="C59" t="s">
        <v>438</v>
      </c>
    </row>
    <row r="60" spans="1:3" x14ac:dyDescent="0.25">
      <c r="A60" t="s">
        <v>1832</v>
      </c>
      <c r="B60" t="s">
        <v>2254</v>
      </c>
      <c r="C60" t="s">
        <v>438</v>
      </c>
    </row>
  </sheetData>
  <sortState ref="A1:A497">
    <sortCondition ref="A1:A497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6"/>
  <sheetViews>
    <sheetView topLeftCell="A220" workbookViewId="0">
      <selection activeCell="D237" sqref="D236:D237"/>
    </sheetView>
  </sheetViews>
  <sheetFormatPr defaultRowHeight="15" x14ac:dyDescent="0.25"/>
  <cols>
    <col min="1" max="1" width="13" style="20" customWidth="1"/>
    <col min="2" max="2" width="17.85546875" style="20" customWidth="1"/>
    <col min="3" max="3" width="19.140625" style="20" customWidth="1"/>
    <col min="4" max="4" width="46.7109375" style="20" customWidth="1"/>
  </cols>
  <sheetData>
    <row r="1" spans="1:5" x14ac:dyDescent="0.25">
      <c r="A1" s="15">
        <v>14</v>
      </c>
      <c r="B1" s="15">
        <v>15</v>
      </c>
      <c r="C1" s="15"/>
      <c r="E1" t="s">
        <v>2358</v>
      </c>
    </row>
    <row r="2" spans="1:5" x14ac:dyDescent="0.25">
      <c r="A2" s="15" t="s">
        <v>2075</v>
      </c>
      <c r="B2" s="29" t="s">
        <v>115</v>
      </c>
      <c r="C2" s="29" t="s">
        <v>2283</v>
      </c>
      <c r="D2" s="20" t="s">
        <v>2216</v>
      </c>
    </row>
    <row r="3" spans="1:5" s="30" customFormat="1" x14ac:dyDescent="0.25">
      <c r="A3" s="27" t="s">
        <v>1342</v>
      </c>
      <c r="B3" s="27" t="s">
        <v>116</v>
      </c>
      <c r="C3" s="27" t="s">
        <v>1947</v>
      </c>
      <c r="D3" s="28" t="s">
        <v>2354</v>
      </c>
    </row>
    <row r="4" spans="1:5" s="30" customFormat="1" x14ac:dyDescent="0.25">
      <c r="A4" s="27" t="s">
        <v>1342</v>
      </c>
      <c r="B4" s="27" t="s">
        <v>116</v>
      </c>
      <c r="C4" s="27" t="s">
        <v>1948</v>
      </c>
      <c r="D4" s="28" t="s">
        <v>592</v>
      </c>
    </row>
    <row r="5" spans="1:5" s="30" customFormat="1" x14ac:dyDescent="0.25">
      <c r="A5" s="27" t="s">
        <v>1342</v>
      </c>
      <c r="B5" s="27" t="s">
        <v>116</v>
      </c>
      <c r="C5" s="27" t="s">
        <v>1944</v>
      </c>
      <c r="D5" s="28" t="s">
        <v>2339</v>
      </c>
    </row>
    <row r="6" spans="1:5" s="30" customFormat="1" x14ac:dyDescent="0.25">
      <c r="A6" s="27" t="s">
        <v>1342</v>
      </c>
      <c r="B6" s="27" t="s">
        <v>116</v>
      </c>
      <c r="C6" s="27" t="s">
        <v>1946</v>
      </c>
      <c r="D6" s="28" t="s">
        <v>2355</v>
      </c>
    </row>
    <row r="7" spans="1:5" s="30" customFormat="1" x14ac:dyDescent="0.25">
      <c r="A7" s="27" t="s">
        <v>1342</v>
      </c>
      <c r="B7" s="27" t="s">
        <v>116</v>
      </c>
      <c r="C7" s="27" t="s">
        <v>1945</v>
      </c>
      <c r="D7" s="28" t="s">
        <v>2312</v>
      </c>
    </row>
    <row r="8" spans="1:5" s="30" customFormat="1" x14ac:dyDescent="0.25">
      <c r="A8" s="27" t="s">
        <v>1342</v>
      </c>
      <c r="B8" s="27" t="s">
        <v>116</v>
      </c>
      <c r="C8" s="27" t="s">
        <v>1917</v>
      </c>
      <c r="D8" s="28" t="s">
        <v>1918</v>
      </c>
    </row>
    <row r="9" spans="1:5" s="30" customFormat="1" x14ac:dyDescent="0.25">
      <c r="A9" s="27" t="s">
        <v>1342</v>
      </c>
      <c r="B9" s="27" t="s">
        <v>116</v>
      </c>
      <c r="C9" s="27" t="s">
        <v>1537</v>
      </c>
      <c r="D9" s="28" t="s">
        <v>732</v>
      </c>
    </row>
    <row r="10" spans="1:5" s="30" customFormat="1" x14ac:dyDescent="0.25">
      <c r="A10" s="27" t="s">
        <v>1342</v>
      </c>
      <c r="B10" s="27" t="s">
        <v>116</v>
      </c>
      <c r="C10" s="27" t="s">
        <v>2106</v>
      </c>
      <c r="D10" s="28" t="s">
        <v>2107</v>
      </c>
    </row>
    <row r="11" spans="1:5" s="30" customFormat="1" x14ac:dyDescent="0.25">
      <c r="A11" s="27" t="s">
        <v>1342</v>
      </c>
      <c r="B11" s="27" t="s">
        <v>116</v>
      </c>
      <c r="C11" s="27" t="s">
        <v>1536</v>
      </c>
      <c r="D11" s="28" t="s">
        <v>551</v>
      </c>
    </row>
    <row r="12" spans="1:5" s="30" customFormat="1" x14ac:dyDescent="0.25">
      <c r="A12" s="27" t="s">
        <v>1342</v>
      </c>
      <c r="B12" s="27" t="s">
        <v>116</v>
      </c>
      <c r="C12" s="27" t="s">
        <v>1535</v>
      </c>
      <c r="D12" s="28" t="s">
        <v>549</v>
      </c>
    </row>
    <row r="13" spans="1:5" s="30" customFormat="1" x14ac:dyDescent="0.25">
      <c r="A13" s="27" t="s">
        <v>1342</v>
      </c>
      <c r="B13" s="27" t="s">
        <v>116</v>
      </c>
      <c r="C13" s="27" t="s">
        <v>2124</v>
      </c>
      <c r="D13" s="28" t="s">
        <v>2297</v>
      </c>
    </row>
    <row r="14" spans="1:5" s="30" customFormat="1" x14ac:dyDescent="0.25">
      <c r="A14" s="27" t="s">
        <v>1342</v>
      </c>
      <c r="B14" s="27" t="s">
        <v>116</v>
      </c>
      <c r="C14" s="27" t="s">
        <v>1943</v>
      </c>
      <c r="D14" s="28" t="s">
        <v>2356</v>
      </c>
    </row>
    <row r="15" spans="1:5" s="30" customFormat="1" x14ac:dyDescent="0.25">
      <c r="A15" s="27" t="s">
        <v>1342</v>
      </c>
      <c r="B15" s="27" t="s">
        <v>116</v>
      </c>
      <c r="C15" s="27" t="s">
        <v>2194</v>
      </c>
      <c r="D15" s="28" t="s">
        <v>610</v>
      </c>
    </row>
    <row r="16" spans="1:5" s="30" customFormat="1" x14ac:dyDescent="0.25">
      <c r="A16" s="27" t="s">
        <v>1342</v>
      </c>
      <c r="B16" s="27" t="s">
        <v>116</v>
      </c>
      <c r="C16" s="27" t="s">
        <v>2193</v>
      </c>
      <c r="D16" s="28" t="s">
        <v>608</v>
      </c>
    </row>
    <row r="17" spans="1:5" x14ac:dyDescent="0.25">
      <c r="A17" s="15"/>
      <c r="B17" s="15"/>
      <c r="C17" s="15"/>
    </row>
    <row r="18" spans="1:5" x14ac:dyDescent="0.25">
      <c r="A18" s="15" t="s">
        <v>2126</v>
      </c>
      <c r="B18" s="27" t="s">
        <v>2130</v>
      </c>
      <c r="C18" s="27" t="s">
        <v>2148</v>
      </c>
      <c r="D18" s="28" t="s">
        <v>538</v>
      </c>
      <c r="E18" s="28" t="s">
        <v>1247</v>
      </c>
    </row>
    <row r="19" spans="1:5" x14ac:dyDescent="0.25">
      <c r="A19" s="15" t="s">
        <v>2126</v>
      </c>
      <c r="B19" s="27" t="s">
        <v>2130</v>
      </c>
      <c r="C19" s="27" t="s">
        <v>2147</v>
      </c>
      <c r="D19" s="28" t="s">
        <v>540</v>
      </c>
      <c r="E19" s="28" t="s">
        <v>1247</v>
      </c>
    </row>
    <row r="20" spans="1:5" x14ac:dyDescent="0.25">
      <c r="A20" s="15" t="s">
        <v>2126</v>
      </c>
      <c r="B20" s="27" t="s">
        <v>2130</v>
      </c>
      <c r="C20" s="27" t="s">
        <v>2179</v>
      </c>
      <c r="D20" s="28" t="s">
        <v>2357</v>
      </c>
      <c r="E20" s="28" t="s">
        <v>1247</v>
      </c>
    </row>
    <row r="21" spans="1:5" x14ac:dyDescent="0.25">
      <c r="A21" s="15" t="s">
        <v>2126</v>
      </c>
      <c r="B21" s="27" t="s">
        <v>2131</v>
      </c>
      <c r="C21" s="27" t="s">
        <v>1907</v>
      </c>
      <c r="D21" s="28" t="s">
        <v>1908</v>
      </c>
      <c r="E21" s="28" t="s">
        <v>1247</v>
      </c>
    </row>
    <row r="22" spans="1:5" x14ac:dyDescent="0.25">
      <c r="A22" s="15" t="s">
        <v>2126</v>
      </c>
      <c r="B22" s="27" t="s">
        <v>2131</v>
      </c>
      <c r="C22" s="27" t="s">
        <v>2154</v>
      </c>
      <c r="D22" s="28" t="s">
        <v>2085</v>
      </c>
      <c r="E22" s="28" t="s">
        <v>1247</v>
      </c>
    </row>
    <row r="23" spans="1:5" x14ac:dyDescent="0.25">
      <c r="A23" s="15" t="s">
        <v>2126</v>
      </c>
      <c r="B23" s="27" t="s">
        <v>2131</v>
      </c>
      <c r="C23" s="27" t="s">
        <v>1476</v>
      </c>
      <c r="D23" s="28" t="s">
        <v>652</v>
      </c>
      <c r="E23" s="28" t="s">
        <v>1247</v>
      </c>
    </row>
    <row r="24" spans="1:5" x14ac:dyDescent="0.25">
      <c r="A24" s="15" t="s">
        <v>2126</v>
      </c>
      <c r="B24" s="27" t="s">
        <v>2132</v>
      </c>
      <c r="C24" s="27" t="s">
        <v>1498</v>
      </c>
      <c r="D24" s="28" t="s">
        <v>488</v>
      </c>
      <c r="E24" s="28" t="s">
        <v>1247</v>
      </c>
    </row>
    <row r="25" spans="1:5" x14ac:dyDescent="0.25">
      <c r="A25" s="15" t="s">
        <v>2126</v>
      </c>
      <c r="B25" s="27" t="s">
        <v>2132</v>
      </c>
      <c r="C25" s="27" t="s">
        <v>1468</v>
      </c>
      <c r="D25" s="28" t="s">
        <v>1906</v>
      </c>
      <c r="E25" s="28" t="s">
        <v>1247</v>
      </c>
    </row>
    <row r="26" spans="1:5" x14ac:dyDescent="0.25">
      <c r="A26" s="15" t="s">
        <v>2126</v>
      </c>
      <c r="B26" s="27" t="s">
        <v>2132</v>
      </c>
      <c r="C26" s="27" t="s">
        <v>1463</v>
      </c>
      <c r="D26" s="28" t="s">
        <v>1681</v>
      </c>
      <c r="E26" s="28" t="s">
        <v>1247</v>
      </c>
    </row>
    <row r="27" spans="1:5" x14ac:dyDescent="0.25">
      <c r="A27" s="15" t="s">
        <v>2126</v>
      </c>
      <c r="B27" s="27" t="s">
        <v>2132</v>
      </c>
      <c r="C27" s="27" t="s">
        <v>2149</v>
      </c>
      <c r="D27" s="28" t="s">
        <v>1270</v>
      </c>
      <c r="E27" s="28" t="s">
        <v>1655</v>
      </c>
    </row>
    <row r="28" spans="1:5" x14ac:dyDescent="0.25">
      <c r="A28" s="15" t="s">
        <v>2126</v>
      </c>
      <c r="B28" s="27" t="s">
        <v>2132</v>
      </c>
      <c r="C28" s="27" t="s">
        <v>1911</v>
      </c>
      <c r="D28" s="28" t="s">
        <v>1915</v>
      </c>
      <c r="E28" s="28" t="s">
        <v>1247</v>
      </c>
    </row>
    <row r="29" spans="1:5" x14ac:dyDescent="0.25">
      <c r="A29" s="15" t="s">
        <v>2126</v>
      </c>
      <c r="B29" s="27" t="s">
        <v>2132</v>
      </c>
      <c r="C29" s="27" t="s">
        <v>1909</v>
      </c>
      <c r="D29" s="28" t="s">
        <v>2086</v>
      </c>
      <c r="E29" s="28" t="s">
        <v>1247</v>
      </c>
    </row>
    <row r="30" spans="1:5" x14ac:dyDescent="0.25">
      <c r="A30" s="15" t="s">
        <v>2126</v>
      </c>
      <c r="B30" s="27" t="s">
        <v>2132</v>
      </c>
      <c r="C30" s="27" t="s">
        <v>1910</v>
      </c>
      <c r="D30" s="28" t="s">
        <v>1916</v>
      </c>
      <c r="E30" s="28" t="s">
        <v>1247</v>
      </c>
    </row>
    <row r="31" spans="1:5" x14ac:dyDescent="0.25">
      <c r="A31" s="15" t="s">
        <v>2126</v>
      </c>
      <c r="B31" s="27" t="s">
        <v>2132</v>
      </c>
      <c r="C31" s="27" t="s">
        <v>1272</v>
      </c>
      <c r="D31" s="28" t="s">
        <v>1273</v>
      </c>
      <c r="E31" s="28" t="s">
        <v>1655</v>
      </c>
    </row>
    <row r="32" spans="1:5" x14ac:dyDescent="0.25">
      <c r="A32" s="15" t="s">
        <v>2126</v>
      </c>
      <c r="B32" s="27" t="s">
        <v>2132</v>
      </c>
      <c r="C32" s="27" t="s">
        <v>2081</v>
      </c>
      <c r="D32" s="28" t="s">
        <v>2087</v>
      </c>
      <c r="E32" s="28" t="s">
        <v>1247</v>
      </c>
    </row>
    <row r="33" spans="1:5" x14ac:dyDescent="0.25">
      <c r="A33" s="15" t="s">
        <v>2126</v>
      </c>
      <c r="B33" s="27" t="s">
        <v>2132</v>
      </c>
      <c r="C33" s="27" t="s">
        <v>1466</v>
      </c>
      <c r="D33" s="28" t="s">
        <v>484</v>
      </c>
      <c r="E33" s="28" t="s">
        <v>1247</v>
      </c>
    </row>
    <row r="34" spans="1:5" x14ac:dyDescent="0.25">
      <c r="A34" s="15"/>
      <c r="B34" s="15"/>
      <c r="C34" s="15"/>
    </row>
    <row r="35" spans="1:5" x14ac:dyDescent="0.25">
      <c r="A35" s="15" t="s">
        <v>2117</v>
      </c>
      <c r="B35" s="27" t="s">
        <v>2088</v>
      </c>
      <c r="C35" s="27" t="s">
        <v>1705</v>
      </c>
      <c r="D35" s="28" t="s">
        <v>2359</v>
      </c>
      <c r="E35" s="28" t="s">
        <v>1247</v>
      </c>
    </row>
    <row r="36" spans="1:5" x14ac:dyDescent="0.25">
      <c r="A36" s="15" t="s">
        <v>2117</v>
      </c>
      <c r="B36" s="27" t="s">
        <v>2088</v>
      </c>
      <c r="C36" s="27" t="s">
        <v>1704</v>
      </c>
      <c r="D36" s="28" t="s">
        <v>1932</v>
      </c>
      <c r="E36" s="28" t="s">
        <v>1247</v>
      </c>
    </row>
    <row r="37" spans="1:5" x14ac:dyDescent="0.25">
      <c r="A37" s="15" t="s">
        <v>2117</v>
      </c>
      <c r="B37" s="27" t="s">
        <v>2082</v>
      </c>
      <c r="C37" s="27" t="s">
        <v>1928</v>
      </c>
      <c r="D37" s="28" t="s">
        <v>1935</v>
      </c>
      <c r="E37" s="28" t="s">
        <v>1247</v>
      </c>
    </row>
    <row r="38" spans="1:5" x14ac:dyDescent="0.25">
      <c r="A38" s="15" t="s">
        <v>2117</v>
      </c>
      <c r="B38" s="27" t="s">
        <v>2082</v>
      </c>
      <c r="C38" s="27" t="s">
        <v>2083</v>
      </c>
      <c r="D38" s="28" t="s">
        <v>2089</v>
      </c>
      <c r="E38" s="28" t="s">
        <v>1247</v>
      </c>
    </row>
    <row r="39" spans="1:5" x14ac:dyDescent="0.25">
      <c r="A39" s="15" t="s">
        <v>2117</v>
      </c>
      <c r="B39" s="27" t="s">
        <v>2079</v>
      </c>
      <c r="C39" s="27" t="s">
        <v>1940</v>
      </c>
      <c r="D39" s="28" t="s">
        <v>1933</v>
      </c>
      <c r="E39" s="28" t="s">
        <v>1247</v>
      </c>
    </row>
    <row r="40" spans="1:5" x14ac:dyDescent="0.25">
      <c r="A40" s="15" t="s">
        <v>2117</v>
      </c>
      <c r="B40" s="27" t="s">
        <v>2079</v>
      </c>
      <c r="C40" s="27" t="s">
        <v>1929</v>
      </c>
      <c r="D40" s="28" t="s">
        <v>1934</v>
      </c>
      <c r="E40" s="28" t="s">
        <v>1247</v>
      </c>
    </row>
    <row r="41" spans="1:5" x14ac:dyDescent="0.25">
      <c r="A41" s="15" t="s">
        <v>2117</v>
      </c>
      <c r="B41" s="27" t="s">
        <v>2079</v>
      </c>
      <c r="C41" s="27" t="s">
        <v>1930</v>
      </c>
      <c r="D41" s="28" t="s">
        <v>1936</v>
      </c>
      <c r="E41" s="28" t="s">
        <v>1247</v>
      </c>
    </row>
    <row r="42" spans="1:5" x14ac:dyDescent="0.25">
      <c r="A42" s="15" t="s">
        <v>2117</v>
      </c>
      <c r="B42" s="27" t="s">
        <v>2079</v>
      </c>
      <c r="C42" s="27" t="s">
        <v>2080</v>
      </c>
      <c r="D42" s="28" t="s">
        <v>2087</v>
      </c>
      <c r="E42" s="28" t="s">
        <v>1247</v>
      </c>
    </row>
    <row r="45" spans="1:5" x14ac:dyDescent="0.25">
      <c r="A45" s="15"/>
      <c r="B45" s="15"/>
      <c r="C45" s="15"/>
    </row>
    <row r="46" spans="1:5" x14ac:dyDescent="0.25">
      <c r="A46" s="15"/>
      <c r="B46" s="15"/>
      <c r="C46" s="15"/>
    </row>
    <row r="47" spans="1:5" x14ac:dyDescent="0.25">
      <c r="A47" s="15"/>
      <c r="B47" s="15"/>
      <c r="C47" s="15"/>
    </row>
    <row r="48" spans="1:5" x14ac:dyDescent="0.25">
      <c r="A48" s="15"/>
      <c r="B48" s="15"/>
      <c r="C48" s="15"/>
    </row>
    <row r="49" spans="1:4" x14ac:dyDescent="0.25">
      <c r="A49" s="15" t="s">
        <v>1340</v>
      </c>
      <c r="B49" s="15" t="s">
        <v>2159</v>
      </c>
      <c r="C49" s="15" t="s">
        <v>2160</v>
      </c>
      <c r="D49" s="20" t="s">
        <v>695</v>
      </c>
    </row>
    <row r="50" spans="1:4" x14ac:dyDescent="0.25">
      <c r="A50" s="15" t="s">
        <v>1340</v>
      </c>
      <c r="B50" s="15" t="s">
        <v>2159</v>
      </c>
      <c r="C50" s="15" t="s">
        <v>1859</v>
      </c>
      <c r="D50" s="20" t="s">
        <v>2176</v>
      </c>
    </row>
    <row r="51" spans="1:4" x14ac:dyDescent="0.25">
      <c r="A51" s="15" t="s">
        <v>1340</v>
      </c>
      <c r="B51" s="15" t="s">
        <v>1861</v>
      </c>
      <c r="C51" s="15" t="s">
        <v>568</v>
      </c>
      <c r="D51" s="20" t="s">
        <v>569</v>
      </c>
    </row>
    <row r="52" spans="1:4" x14ac:dyDescent="0.25">
      <c r="A52" s="15" t="s">
        <v>1340</v>
      </c>
      <c r="B52" s="15" t="s">
        <v>1861</v>
      </c>
      <c r="C52" s="15" t="s">
        <v>700</v>
      </c>
      <c r="D52" s="20" t="s">
        <v>701</v>
      </c>
    </row>
    <row r="53" spans="1:4" x14ac:dyDescent="0.25">
      <c r="A53" s="15" t="s">
        <v>1340</v>
      </c>
      <c r="B53" s="15" t="s">
        <v>1861</v>
      </c>
      <c r="C53" s="15" t="s">
        <v>1881</v>
      </c>
      <c r="D53" s="20" t="s">
        <v>534</v>
      </c>
    </row>
    <row r="54" spans="1:4" x14ac:dyDescent="0.25">
      <c r="A54" s="15" t="s">
        <v>1340</v>
      </c>
      <c r="B54" s="15" t="s">
        <v>1861</v>
      </c>
      <c r="C54" s="15" t="s">
        <v>1892</v>
      </c>
      <c r="D54" s="20" t="s">
        <v>571</v>
      </c>
    </row>
    <row r="55" spans="1:4" x14ac:dyDescent="0.25">
      <c r="A55" s="15" t="s">
        <v>1340</v>
      </c>
      <c r="B55" s="15" t="s">
        <v>1861</v>
      </c>
      <c r="C55" s="15" t="s">
        <v>1880</v>
      </c>
      <c r="D55" s="20" t="s">
        <v>16</v>
      </c>
    </row>
    <row r="56" spans="1:4" x14ac:dyDescent="0.25">
      <c r="A56" s="15" t="s">
        <v>1340</v>
      </c>
      <c r="B56" s="15" t="s">
        <v>1861</v>
      </c>
      <c r="C56" s="15" t="s">
        <v>1880</v>
      </c>
      <c r="D56" s="20" t="s">
        <v>713</v>
      </c>
    </row>
    <row r="57" spans="1:4" x14ac:dyDescent="0.25">
      <c r="A57" s="15" t="s">
        <v>1340</v>
      </c>
      <c r="B57" s="15" t="s">
        <v>1861</v>
      </c>
      <c r="C57" s="15" t="s">
        <v>1880</v>
      </c>
      <c r="D57" s="20" t="s">
        <v>713</v>
      </c>
    </row>
    <row r="58" spans="1:4" x14ac:dyDescent="0.25">
      <c r="A58" s="15" t="s">
        <v>1490</v>
      </c>
      <c r="B58" s="15" t="s">
        <v>2127</v>
      </c>
      <c r="C58" s="15" t="s">
        <v>1865</v>
      </c>
      <c r="D58" s="20" t="s">
        <v>536</v>
      </c>
    </row>
    <row r="59" spans="1:4" x14ac:dyDescent="0.25">
      <c r="A59" s="15" t="s">
        <v>1490</v>
      </c>
      <c r="B59" s="15" t="s">
        <v>2127</v>
      </c>
      <c r="C59" s="15" t="s">
        <v>1862</v>
      </c>
      <c r="D59" s="20" t="s">
        <v>528</v>
      </c>
    </row>
    <row r="60" spans="1:4" x14ac:dyDescent="0.25">
      <c r="A60" s="15" t="s">
        <v>1490</v>
      </c>
      <c r="B60" s="15" t="s">
        <v>2127</v>
      </c>
      <c r="C60" s="15" t="s">
        <v>1905</v>
      </c>
      <c r="D60" s="20" t="s">
        <v>166</v>
      </c>
    </row>
    <row r="61" spans="1:4" x14ac:dyDescent="0.25">
      <c r="A61" s="15" t="s">
        <v>1490</v>
      </c>
      <c r="B61" s="15" t="s">
        <v>2127</v>
      </c>
      <c r="C61" s="15" t="s">
        <v>1849</v>
      </c>
      <c r="D61" s="20" t="s">
        <v>1851</v>
      </c>
    </row>
    <row r="62" spans="1:4" x14ac:dyDescent="0.25">
      <c r="A62" s="15" t="s">
        <v>1490</v>
      </c>
      <c r="B62" s="15" t="s">
        <v>2127</v>
      </c>
      <c r="C62" s="15" t="s">
        <v>1850</v>
      </c>
      <c r="D62" s="20" t="s">
        <v>1852</v>
      </c>
    </row>
    <row r="63" spans="1:4" x14ac:dyDescent="0.25">
      <c r="A63" s="15" t="s">
        <v>1490</v>
      </c>
      <c r="B63" s="15" t="s">
        <v>2133</v>
      </c>
      <c r="C63" s="15" t="s">
        <v>1866</v>
      </c>
      <c r="D63" s="20" t="s">
        <v>1903</v>
      </c>
    </row>
    <row r="64" spans="1:4" x14ac:dyDescent="0.25">
      <c r="A64" s="15" t="s">
        <v>1490</v>
      </c>
      <c r="B64" s="15" t="s">
        <v>2133</v>
      </c>
      <c r="C64" s="15" t="s">
        <v>1866</v>
      </c>
      <c r="D64" s="20" t="s">
        <v>699</v>
      </c>
    </row>
    <row r="65" spans="1:4" x14ac:dyDescent="0.25">
      <c r="A65" s="15" t="s">
        <v>1490</v>
      </c>
      <c r="B65" s="15" t="s">
        <v>1867</v>
      </c>
      <c r="C65" s="15" t="s">
        <v>1879</v>
      </c>
      <c r="D65" s="20" t="s">
        <v>654</v>
      </c>
    </row>
    <row r="66" spans="1:4" x14ac:dyDescent="0.25">
      <c r="A66" s="15" t="s">
        <v>1490</v>
      </c>
      <c r="B66" s="15" t="s">
        <v>1867</v>
      </c>
      <c r="C66" s="15" t="s">
        <v>1878</v>
      </c>
      <c r="D66" s="20" t="s">
        <v>664</v>
      </c>
    </row>
    <row r="67" spans="1:4" x14ac:dyDescent="0.25">
      <c r="A67" s="15" t="s">
        <v>1490</v>
      </c>
      <c r="B67" s="15" t="s">
        <v>1867</v>
      </c>
      <c r="C67" s="15" t="s">
        <v>1873</v>
      </c>
      <c r="D67" s="20" t="s">
        <v>1874</v>
      </c>
    </row>
    <row r="68" spans="1:4" x14ac:dyDescent="0.25">
      <c r="A68" s="15" t="s">
        <v>1490</v>
      </c>
      <c r="B68" s="15" t="s">
        <v>1867</v>
      </c>
      <c r="C68" s="15" t="s">
        <v>1876</v>
      </c>
      <c r="D68" s="20" t="s">
        <v>658</v>
      </c>
    </row>
    <row r="69" spans="1:4" x14ac:dyDescent="0.25">
      <c r="A69" s="15" t="s">
        <v>1490</v>
      </c>
      <c r="B69" s="15" t="s">
        <v>1867</v>
      </c>
      <c r="C69" s="15" t="s">
        <v>1868</v>
      </c>
      <c r="D69" s="20" t="s">
        <v>660</v>
      </c>
    </row>
    <row r="70" spans="1:4" x14ac:dyDescent="0.25">
      <c r="A70" s="15" t="s">
        <v>1490</v>
      </c>
      <c r="B70" s="15" t="s">
        <v>1867</v>
      </c>
      <c r="C70" s="15" t="s">
        <v>1872</v>
      </c>
      <c r="D70" s="20" t="s">
        <v>502</v>
      </c>
    </row>
    <row r="71" spans="1:4" x14ac:dyDescent="0.25">
      <c r="A71" s="15" t="s">
        <v>1490</v>
      </c>
      <c r="B71" s="15" t="s">
        <v>1867</v>
      </c>
      <c r="C71" s="15" t="s">
        <v>1871</v>
      </c>
      <c r="D71" s="20" t="s">
        <v>1875</v>
      </c>
    </row>
    <row r="72" spans="1:4" x14ac:dyDescent="0.25">
      <c r="A72" s="15" t="s">
        <v>1490</v>
      </c>
      <c r="B72" s="15" t="s">
        <v>1867</v>
      </c>
      <c r="C72" s="15" t="s">
        <v>1869</v>
      </c>
      <c r="D72" s="20" t="s">
        <v>670</v>
      </c>
    </row>
    <row r="73" spans="1:4" x14ac:dyDescent="0.25">
      <c r="A73" s="15" t="s">
        <v>1490</v>
      </c>
      <c r="B73" s="15" t="s">
        <v>1867</v>
      </c>
      <c r="C73" s="15" t="s">
        <v>1877</v>
      </c>
      <c r="D73" s="20" t="s">
        <v>666</v>
      </c>
    </row>
    <row r="74" spans="1:4" x14ac:dyDescent="0.25">
      <c r="A74" s="15" t="s">
        <v>1490</v>
      </c>
      <c r="B74" s="15" t="s">
        <v>1867</v>
      </c>
      <c r="C74" s="15" t="s">
        <v>1870</v>
      </c>
      <c r="D74" s="20" t="s">
        <v>1675</v>
      </c>
    </row>
    <row r="75" spans="1:4" x14ac:dyDescent="0.25">
      <c r="A75" s="15" t="s">
        <v>1490</v>
      </c>
      <c r="B75" s="15" t="s">
        <v>2134</v>
      </c>
      <c r="C75" s="15" t="s">
        <v>1895</v>
      </c>
      <c r="D75" s="20" t="s">
        <v>717</v>
      </c>
    </row>
    <row r="76" spans="1:4" x14ac:dyDescent="0.25">
      <c r="A76" s="15" t="s">
        <v>1490</v>
      </c>
      <c r="B76" s="15" t="s">
        <v>2134</v>
      </c>
      <c r="C76" s="15" t="s">
        <v>1894</v>
      </c>
      <c r="D76" s="20" t="s">
        <v>581</v>
      </c>
    </row>
    <row r="77" spans="1:4" x14ac:dyDescent="0.25">
      <c r="A77" s="15" t="s">
        <v>1490</v>
      </c>
      <c r="B77" s="15" t="s">
        <v>2134</v>
      </c>
      <c r="C77" s="15" t="s">
        <v>1893</v>
      </c>
      <c r="D77" s="20" t="s">
        <v>721</v>
      </c>
    </row>
    <row r="78" spans="1:4" x14ac:dyDescent="0.25">
      <c r="A78" s="15" t="s">
        <v>1490</v>
      </c>
      <c r="B78" s="15" t="s">
        <v>2134</v>
      </c>
      <c r="C78" s="15" t="s">
        <v>1887</v>
      </c>
      <c r="D78" s="20" t="s">
        <v>1888</v>
      </c>
    </row>
    <row r="79" spans="1:4" x14ac:dyDescent="0.25">
      <c r="A79" s="15" t="s">
        <v>1490</v>
      </c>
      <c r="B79" s="15" t="s">
        <v>2134</v>
      </c>
      <c r="C79" s="15" t="s">
        <v>1890</v>
      </c>
      <c r="D79" s="20" t="s">
        <v>1961</v>
      </c>
    </row>
    <row r="80" spans="1:4" x14ac:dyDescent="0.25">
      <c r="A80" s="15" t="s">
        <v>1490</v>
      </c>
      <c r="B80" s="15" t="s">
        <v>2134</v>
      </c>
      <c r="C80" s="15" t="s">
        <v>1889</v>
      </c>
      <c r="D80" s="20" t="s">
        <v>1888</v>
      </c>
    </row>
    <row r="81" spans="1:4" x14ac:dyDescent="0.25">
      <c r="A81" s="15" t="s">
        <v>1490</v>
      </c>
      <c r="B81" s="15" t="s">
        <v>2134</v>
      </c>
      <c r="C81" s="15" t="s">
        <v>1891</v>
      </c>
      <c r="D81" s="20" t="s">
        <v>1960</v>
      </c>
    </row>
    <row r="82" spans="1:4" x14ac:dyDescent="0.25">
      <c r="A82" s="15" t="s">
        <v>1490</v>
      </c>
      <c r="B82" s="15" t="s">
        <v>2128</v>
      </c>
      <c r="C82" s="15" t="s">
        <v>566</v>
      </c>
      <c r="D82" s="20" t="s">
        <v>567</v>
      </c>
    </row>
    <row r="83" spans="1:4" x14ac:dyDescent="0.25">
      <c r="A83" s="15" t="s">
        <v>1490</v>
      </c>
      <c r="B83" s="15" t="s">
        <v>2128</v>
      </c>
      <c r="C83" s="15" t="s">
        <v>1864</v>
      </c>
      <c r="D83" s="20" t="s">
        <v>532</v>
      </c>
    </row>
    <row r="84" spans="1:4" x14ac:dyDescent="0.25">
      <c r="A84" s="15" t="s">
        <v>1490</v>
      </c>
      <c r="B84" s="15" t="s">
        <v>2128</v>
      </c>
      <c r="C84" s="15" t="s">
        <v>1863</v>
      </c>
      <c r="D84" s="20" t="s">
        <v>530</v>
      </c>
    </row>
    <row r="85" spans="1:4" x14ac:dyDescent="0.25">
      <c r="A85" s="15" t="s">
        <v>1490</v>
      </c>
      <c r="B85" s="15" t="s">
        <v>2128</v>
      </c>
      <c r="C85" s="15" t="s">
        <v>1904</v>
      </c>
      <c r="D85" s="20" t="s">
        <v>166</v>
      </c>
    </row>
    <row r="86" spans="1:4" x14ac:dyDescent="0.25">
      <c r="A86" s="15" t="s">
        <v>1490</v>
      </c>
      <c r="B86" s="15" t="s">
        <v>2128</v>
      </c>
      <c r="C86" s="15" t="s">
        <v>1857</v>
      </c>
      <c r="D86" s="20" t="s">
        <v>709</v>
      </c>
    </row>
    <row r="87" spans="1:4" x14ac:dyDescent="0.25">
      <c r="A87" s="15" t="s">
        <v>1490</v>
      </c>
      <c r="B87" s="15" t="s">
        <v>2128</v>
      </c>
      <c r="C87" s="15" t="s">
        <v>1857</v>
      </c>
      <c r="D87" s="20" t="s">
        <v>711</v>
      </c>
    </row>
    <row r="88" spans="1:4" x14ac:dyDescent="0.25">
      <c r="A88" s="15" t="s">
        <v>1490</v>
      </c>
      <c r="B88" s="15" t="s">
        <v>2129</v>
      </c>
      <c r="C88" s="15" t="s">
        <v>1854</v>
      </c>
      <c r="D88" s="20" t="s">
        <v>1853</v>
      </c>
    </row>
    <row r="89" spans="1:4" x14ac:dyDescent="0.25">
      <c r="A89" s="15" t="s">
        <v>1490</v>
      </c>
      <c r="B89" s="15" t="s">
        <v>2129</v>
      </c>
      <c r="C89" s="15" t="s">
        <v>1856</v>
      </c>
      <c r="D89" s="20" t="s">
        <v>1855</v>
      </c>
    </row>
    <row r="90" spans="1:4" x14ac:dyDescent="0.25">
      <c r="A90" s="15" t="s">
        <v>1490</v>
      </c>
      <c r="B90" s="15" t="s">
        <v>1605</v>
      </c>
      <c r="C90" s="15" t="s">
        <v>1605</v>
      </c>
      <c r="D90" s="20" t="s">
        <v>1901</v>
      </c>
    </row>
    <row r="91" spans="1:4" x14ac:dyDescent="0.25">
      <c r="A91" s="15" t="s">
        <v>1490</v>
      </c>
      <c r="B91" s="15" t="s">
        <v>1615</v>
      </c>
      <c r="C91" s="15" t="s">
        <v>1615</v>
      </c>
      <c r="D91" s="20" t="s">
        <v>969</v>
      </c>
    </row>
    <row r="92" spans="1:4" x14ac:dyDescent="0.25">
      <c r="A92" s="15" t="s">
        <v>1490</v>
      </c>
      <c r="B92" s="15" t="s">
        <v>2136</v>
      </c>
      <c r="C92" s="15" t="s">
        <v>1956</v>
      </c>
      <c r="D92" s="20" t="s">
        <v>1957</v>
      </c>
    </row>
    <row r="93" spans="1:4" x14ac:dyDescent="0.25">
      <c r="A93" s="15" t="s">
        <v>1490</v>
      </c>
      <c r="B93" s="15" t="s">
        <v>2136</v>
      </c>
      <c r="C93" s="15" t="s">
        <v>1955</v>
      </c>
      <c r="D93" s="20" t="s">
        <v>1958</v>
      </c>
    </row>
    <row r="94" spans="1:4" x14ac:dyDescent="0.25">
      <c r="A94" s="15" t="s">
        <v>1490</v>
      </c>
      <c r="B94" s="15" t="s">
        <v>2111</v>
      </c>
      <c r="C94" s="15" t="s">
        <v>2067</v>
      </c>
      <c r="D94" s="20" t="s">
        <v>508</v>
      </c>
    </row>
    <row r="95" spans="1:4" x14ac:dyDescent="0.25">
      <c r="A95" s="15" t="s">
        <v>1490</v>
      </c>
      <c r="B95" s="15" t="s">
        <v>2111</v>
      </c>
      <c r="C95" s="15" t="s">
        <v>2068</v>
      </c>
      <c r="D95" s="20" t="s">
        <v>1676</v>
      </c>
    </row>
    <row r="96" spans="1:4" x14ac:dyDescent="0.25">
      <c r="A96" s="15" t="s">
        <v>1490</v>
      </c>
      <c r="B96" s="15" t="s">
        <v>2111</v>
      </c>
      <c r="C96" s="15" t="s">
        <v>2072</v>
      </c>
      <c r="D96" s="20" t="s">
        <v>448</v>
      </c>
    </row>
    <row r="97" spans="1:4" x14ac:dyDescent="0.25">
      <c r="A97" s="15" t="s">
        <v>1490</v>
      </c>
      <c r="B97" s="15" t="s">
        <v>2111</v>
      </c>
      <c r="C97" s="15" t="s">
        <v>1549</v>
      </c>
      <c r="D97" s="20" t="s">
        <v>693</v>
      </c>
    </row>
    <row r="98" spans="1:4" x14ac:dyDescent="0.25">
      <c r="A98" s="15" t="s">
        <v>1490</v>
      </c>
      <c r="B98" s="15" t="s">
        <v>2111</v>
      </c>
      <c r="C98" s="15" t="s">
        <v>1551</v>
      </c>
      <c r="D98" s="20" t="s">
        <v>600</v>
      </c>
    </row>
    <row r="99" spans="1:4" x14ac:dyDescent="0.25">
      <c r="A99" s="15" t="s">
        <v>1490</v>
      </c>
      <c r="B99" s="15" t="s">
        <v>2111</v>
      </c>
      <c r="C99" s="15" t="s">
        <v>1552</v>
      </c>
      <c r="D99" s="20" t="s">
        <v>2298</v>
      </c>
    </row>
    <row r="100" spans="1:4" x14ac:dyDescent="0.25">
      <c r="A100" s="15" t="s">
        <v>1490</v>
      </c>
      <c r="B100" s="15" t="s">
        <v>2111</v>
      </c>
      <c r="C100" s="15" t="s">
        <v>2065</v>
      </c>
      <c r="D100" s="20" t="s">
        <v>547</v>
      </c>
    </row>
    <row r="101" spans="1:4" x14ac:dyDescent="0.25">
      <c r="A101" s="15" t="s">
        <v>1490</v>
      </c>
      <c r="B101" s="15" t="s">
        <v>2111</v>
      </c>
      <c r="C101" s="15" t="s">
        <v>1550</v>
      </c>
      <c r="D101" s="20" t="s">
        <v>691</v>
      </c>
    </row>
    <row r="102" spans="1:4" x14ac:dyDescent="0.25">
      <c r="A102" s="15" t="s">
        <v>1490</v>
      </c>
      <c r="B102" s="15" t="s">
        <v>2111</v>
      </c>
      <c r="C102" s="15" t="s">
        <v>2066</v>
      </c>
      <c r="D102" s="20" t="s">
        <v>1674</v>
      </c>
    </row>
    <row r="103" spans="1:4" x14ac:dyDescent="0.25">
      <c r="A103" s="15" t="s">
        <v>1490</v>
      </c>
      <c r="B103" s="15" t="s">
        <v>1860</v>
      </c>
      <c r="C103" s="15" t="s">
        <v>1860</v>
      </c>
      <c r="D103" s="20" t="s">
        <v>213</v>
      </c>
    </row>
    <row r="104" spans="1:4" x14ac:dyDescent="0.25">
      <c r="A104" s="15" t="s">
        <v>1490</v>
      </c>
      <c r="B104" s="15" t="s">
        <v>1926</v>
      </c>
      <c r="C104" s="15" t="s">
        <v>1941</v>
      </c>
      <c r="D104" s="20" t="s">
        <v>1922</v>
      </c>
    </row>
    <row r="105" spans="1:4" x14ac:dyDescent="0.25">
      <c r="A105" s="15" t="s">
        <v>1490</v>
      </c>
      <c r="B105" s="15" t="s">
        <v>1926</v>
      </c>
      <c r="C105" s="15" t="s">
        <v>1942</v>
      </c>
      <c r="D105" s="20" t="s">
        <v>1921</v>
      </c>
    </row>
    <row r="106" spans="1:4" x14ac:dyDescent="0.25">
      <c r="A106" s="15" t="s">
        <v>1490</v>
      </c>
      <c r="B106" s="15" t="s">
        <v>1882</v>
      </c>
      <c r="C106" s="15" t="s">
        <v>1883</v>
      </c>
      <c r="D106" s="20" t="s">
        <v>1884</v>
      </c>
    </row>
    <row r="107" spans="1:4" x14ac:dyDescent="0.25">
      <c r="A107" s="15" t="s">
        <v>1490</v>
      </c>
      <c r="B107" s="15" t="s">
        <v>1882</v>
      </c>
      <c r="C107" s="15" t="s">
        <v>1885</v>
      </c>
      <c r="D107" s="20" t="s">
        <v>1886</v>
      </c>
    </row>
    <row r="108" spans="1:4" x14ac:dyDescent="0.25">
      <c r="A108" s="15" t="s">
        <v>1490</v>
      </c>
      <c r="B108" s="15" t="s">
        <v>1240</v>
      </c>
      <c r="C108" s="15" t="s">
        <v>1240</v>
      </c>
      <c r="D108" s="20" t="s">
        <v>1706</v>
      </c>
    </row>
    <row r="109" spans="1:4" x14ac:dyDescent="0.25">
      <c r="A109" s="15" t="s">
        <v>1490</v>
      </c>
      <c r="B109" s="15" t="s">
        <v>962</v>
      </c>
      <c r="C109" s="15" t="s">
        <v>962</v>
      </c>
      <c r="D109" s="20" t="s">
        <v>963</v>
      </c>
    </row>
    <row r="110" spans="1:4" x14ac:dyDescent="0.25">
      <c r="A110" s="15" t="s">
        <v>1490</v>
      </c>
      <c r="B110" s="15" t="s">
        <v>789</v>
      </c>
      <c r="C110" s="15" t="s">
        <v>789</v>
      </c>
      <c r="D110" s="20" t="s">
        <v>2299</v>
      </c>
    </row>
    <row r="111" spans="1:4" x14ac:dyDescent="0.25">
      <c r="A111" s="15" t="s">
        <v>1490</v>
      </c>
      <c r="B111" s="15" t="s">
        <v>1533</v>
      </c>
      <c r="C111" s="15" t="s">
        <v>1533</v>
      </c>
      <c r="D111" s="20" t="s">
        <v>1685</v>
      </c>
    </row>
    <row r="112" spans="1:4" x14ac:dyDescent="0.25">
      <c r="A112" s="15"/>
      <c r="B112" s="15"/>
      <c r="C112" s="15"/>
    </row>
    <row r="113" spans="1:4" x14ac:dyDescent="0.25">
      <c r="A113" s="15"/>
      <c r="B113" s="15"/>
      <c r="C113" s="15"/>
    </row>
    <row r="114" spans="1:4" x14ac:dyDescent="0.25">
      <c r="A114" s="15"/>
      <c r="B114" s="15"/>
      <c r="C114" s="15"/>
    </row>
    <row r="115" spans="1:4" x14ac:dyDescent="0.25">
      <c r="A115" s="15"/>
      <c r="B115" s="15"/>
      <c r="C115" s="15"/>
    </row>
    <row r="116" spans="1:4" x14ac:dyDescent="0.25">
      <c r="A116" s="27" t="s">
        <v>1351</v>
      </c>
      <c r="B116" s="27" t="s">
        <v>2135</v>
      </c>
      <c r="C116" s="27" t="s">
        <v>1522</v>
      </c>
      <c r="D116" s="28" t="s">
        <v>852</v>
      </c>
    </row>
    <row r="117" spans="1:4" x14ac:dyDescent="0.25">
      <c r="A117" s="27" t="s">
        <v>1351</v>
      </c>
      <c r="B117" s="27" t="s">
        <v>2135</v>
      </c>
      <c r="C117" s="27" t="s">
        <v>1459</v>
      </c>
      <c r="D117" s="28" t="s">
        <v>844</v>
      </c>
    </row>
    <row r="118" spans="1:4" x14ac:dyDescent="0.25">
      <c r="A118" s="27" t="s">
        <v>1351</v>
      </c>
      <c r="B118" s="27" t="s">
        <v>2210</v>
      </c>
      <c r="C118" s="27" t="s">
        <v>1508</v>
      </c>
      <c r="D118" s="28" t="s">
        <v>2300</v>
      </c>
    </row>
    <row r="119" spans="1:4" x14ac:dyDescent="0.25">
      <c r="A119" s="27" t="s">
        <v>1351</v>
      </c>
      <c r="B119" s="27" t="s">
        <v>2210</v>
      </c>
      <c r="C119" s="27" t="s">
        <v>1509</v>
      </c>
      <c r="D119" s="28" t="s">
        <v>310</v>
      </c>
    </row>
    <row r="120" spans="1:4" x14ac:dyDescent="0.25">
      <c r="A120" s="27" t="s">
        <v>1351</v>
      </c>
      <c r="B120" s="27" t="s">
        <v>2210</v>
      </c>
      <c r="C120" s="27" t="s">
        <v>1507</v>
      </c>
      <c r="D120" s="28" t="s">
        <v>309</v>
      </c>
    </row>
    <row r="121" spans="1:4" x14ac:dyDescent="0.25">
      <c r="A121" s="27" t="s">
        <v>1351</v>
      </c>
      <c r="B121" s="27" t="s">
        <v>1590</v>
      </c>
      <c r="C121" s="27" t="s">
        <v>1896</v>
      </c>
      <c r="D121" s="28" t="s">
        <v>1697</v>
      </c>
    </row>
    <row r="122" spans="1:4" x14ac:dyDescent="0.25">
      <c r="A122" s="27" t="s">
        <v>1351</v>
      </c>
      <c r="B122" s="27" t="s">
        <v>1589</v>
      </c>
      <c r="C122" s="27" t="s">
        <v>1897</v>
      </c>
      <c r="D122" s="28" t="s">
        <v>1698</v>
      </c>
    </row>
    <row r="123" spans="1:4" x14ac:dyDescent="0.25">
      <c r="A123" s="27" t="s">
        <v>1351</v>
      </c>
      <c r="B123" s="27" t="s">
        <v>1591</v>
      </c>
      <c r="C123" s="27" t="s">
        <v>1592</v>
      </c>
      <c r="D123" s="28" t="s">
        <v>1699</v>
      </c>
    </row>
    <row r="124" spans="1:4" x14ac:dyDescent="0.25">
      <c r="A124" s="27" t="s">
        <v>1351</v>
      </c>
      <c r="B124" s="27" t="s">
        <v>1573</v>
      </c>
      <c r="C124" s="27" t="s">
        <v>940</v>
      </c>
      <c r="D124" s="28" t="s">
        <v>1574</v>
      </c>
    </row>
    <row r="125" spans="1:4" x14ac:dyDescent="0.25">
      <c r="A125" s="27" t="s">
        <v>1351</v>
      </c>
      <c r="B125" s="27" t="s">
        <v>1487</v>
      </c>
      <c r="C125" s="27" t="s">
        <v>1487</v>
      </c>
      <c r="D125" s="28" t="s">
        <v>2077</v>
      </c>
    </row>
    <row r="126" spans="1:4" x14ac:dyDescent="0.25">
      <c r="A126" s="27" t="s">
        <v>1351</v>
      </c>
      <c r="B126" s="27" t="s">
        <v>1487</v>
      </c>
      <c r="C126" s="27" t="s">
        <v>1924</v>
      </c>
      <c r="D126" s="28" t="s">
        <v>1923</v>
      </c>
    </row>
    <row r="127" spans="1:4" x14ac:dyDescent="0.25">
      <c r="A127" s="27" t="s">
        <v>1351</v>
      </c>
      <c r="B127" s="27" t="s">
        <v>2069</v>
      </c>
      <c r="C127" s="27" t="s">
        <v>1840</v>
      </c>
      <c r="D127" s="28" t="s">
        <v>1920</v>
      </c>
    </row>
    <row r="128" spans="1:4" x14ac:dyDescent="0.25">
      <c r="A128" s="27" t="s">
        <v>1351</v>
      </c>
      <c r="B128" s="27" t="s">
        <v>2069</v>
      </c>
      <c r="C128" s="27" t="s">
        <v>1839</v>
      </c>
      <c r="D128" s="28" t="s">
        <v>1919</v>
      </c>
    </row>
    <row r="131" spans="1:4" x14ac:dyDescent="0.25">
      <c r="A131" s="15" t="s">
        <v>1342</v>
      </c>
      <c r="B131" s="15" t="s">
        <v>117</v>
      </c>
      <c r="C131" s="15" t="s">
        <v>1478</v>
      </c>
      <c r="D131" s="20" t="s">
        <v>806</v>
      </c>
    </row>
    <row r="132" spans="1:4" x14ac:dyDescent="0.25">
      <c r="A132" s="15" t="s">
        <v>1342</v>
      </c>
      <c r="B132" s="15" t="s">
        <v>117</v>
      </c>
      <c r="C132" s="15" t="s">
        <v>1479</v>
      </c>
      <c r="D132" s="20" t="s">
        <v>804</v>
      </c>
    </row>
    <row r="133" spans="1:4" x14ac:dyDescent="0.25">
      <c r="A133" s="15" t="s">
        <v>1342</v>
      </c>
      <c r="B133" s="15" t="s">
        <v>1489</v>
      </c>
      <c r="C133" s="15" t="s">
        <v>1498</v>
      </c>
      <c r="D133" s="20" t="s">
        <v>810</v>
      </c>
    </row>
    <row r="134" spans="1:4" x14ac:dyDescent="0.25">
      <c r="A134" s="15" t="s">
        <v>1342</v>
      </c>
      <c r="B134" s="15" t="s">
        <v>1486</v>
      </c>
      <c r="C134" s="15" t="s">
        <v>1582</v>
      </c>
      <c r="D134" s="20" t="s">
        <v>885</v>
      </c>
    </row>
    <row r="135" spans="1:4" x14ac:dyDescent="0.25">
      <c r="A135" s="15" t="s">
        <v>1342</v>
      </c>
      <c r="B135" s="15" t="s">
        <v>1486</v>
      </c>
      <c r="C135" s="15" t="s">
        <v>2091</v>
      </c>
      <c r="D135" s="20" t="s">
        <v>2095</v>
      </c>
    </row>
    <row r="136" spans="1:4" x14ac:dyDescent="0.25">
      <c r="A136" s="15" t="s">
        <v>1342</v>
      </c>
      <c r="B136" s="15" t="s">
        <v>1486</v>
      </c>
      <c r="C136" s="15" t="s">
        <v>2108</v>
      </c>
      <c r="D136" s="20" t="s">
        <v>2109</v>
      </c>
    </row>
    <row r="137" spans="1:4" x14ac:dyDescent="0.25">
      <c r="A137" s="15" t="s">
        <v>1342</v>
      </c>
      <c r="B137" s="15" t="s">
        <v>1628</v>
      </c>
      <c r="C137" s="15" t="s">
        <v>1496</v>
      </c>
      <c r="D137" s="20" t="s">
        <v>2096</v>
      </c>
    </row>
    <row r="138" spans="1:4" x14ac:dyDescent="0.25">
      <c r="A138" s="15" t="s">
        <v>1342</v>
      </c>
      <c r="B138" s="15" t="s">
        <v>1629</v>
      </c>
      <c r="C138" s="15" t="s">
        <v>1497</v>
      </c>
      <c r="D138" s="20" t="s">
        <v>800</v>
      </c>
    </row>
    <row r="139" spans="1:4" x14ac:dyDescent="0.25">
      <c r="A139" s="15" t="s">
        <v>1342</v>
      </c>
      <c r="B139" s="15" t="s">
        <v>1575</v>
      </c>
      <c r="C139" s="15" t="s">
        <v>1579</v>
      </c>
      <c r="D139" s="20" t="s">
        <v>832</v>
      </c>
    </row>
    <row r="140" spans="1:4" x14ac:dyDescent="0.25">
      <c r="A140" s="15" t="s">
        <v>1342</v>
      </c>
      <c r="B140" s="15" t="s">
        <v>1575</v>
      </c>
      <c r="C140" s="15" t="s">
        <v>1580</v>
      </c>
      <c r="D140" s="20" t="s">
        <v>834</v>
      </c>
    </row>
    <row r="141" spans="1:4" x14ac:dyDescent="0.25">
      <c r="A141" s="15" t="s">
        <v>1342</v>
      </c>
      <c r="B141" s="15" t="s">
        <v>1527</v>
      </c>
      <c r="C141" s="15" t="s">
        <v>1578</v>
      </c>
      <c r="D141" s="20" t="s">
        <v>830</v>
      </c>
    </row>
    <row r="142" spans="1:4" x14ac:dyDescent="0.25">
      <c r="A142" s="15" t="s">
        <v>1342</v>
      </c>
      <c r="B142" s="15" t="s">
        <v>2209</v>
      </c>
      <c r="C142" s="15" t="s">
        <v>2209</v>
      </c>
      <c r="D142" s="20" t="s">
        <v>2208</v>
      </c>
    </row>
    <row r="143" spans="1:4" x14ac:dyDescent="0.25">
      <c r="A143" s="15" t="s">
        <v>1342</v>
      </c>
      <c r="B143" s="15" t="s">
        <v>1458</v>
      </c>
      <c r="C143" s="15" t="s">
        <v>1524</v>
      </c>
      <c r="D143" s="20" t="s">
        <v>2195</v>
      </c>
    </row>
    <row r="144" spans="1:4" x14ac:dyDescent="0.25">
      <c r="A144" s="15" t="s">
        <v>1342</v>
      </c>
      <c r="B144" s="15" t="s">
        <v>1458</v>
      </c>
      <c r="C144" s="15" t="s">
        <v>1525</v>
      </c>
      <c r="D144" s="20" t="s">
        <v>883</v>
      </c>
    </row>
    <row r="145" spans="1:4" x14ac:dyDescent="0.25">
      <c r="A145" s="15" t="s">
        <v>1342</v>
      </c>
      <c r="B145" s="15" t="s">
        <v>1458</v>
      </c>
      <c r="C145" s="15" t="s">
        <v>1523</v>
      </c>
      <c r="D145" s="20" t="s">
        <v>879</v>
      </c>
    </row>
    <row r="146" spans="1:4" x14ac:dyDescent="0.25">
      <c r="A146" s="15" t="s">
        <v>1342</v>
      </c>
      <c r="B146" s="15" t="s">
        <v>1488</v>
      </c>
      <c r="C146" s="15" t="s">
        <v>1498</v>
      </c>
      <c r="D146" s="20" t="s">
        <v>808</v>
      </c>
    </row>
    <row r="147" spans="1:4" x14ac:dyDescent="0.25">
      <c r="A147" s="15" t="s">
        <v>1342</v>
      </c>
      <c r="B147" s="15" t="s">
        <v>1491</v>
      </c>
      <c r="C147" s="15" t="s">
        <v>1496</v>
      </c>
      <c r="D147" s="20" t="s">
        <v>794</v>
      </c>
    </row>
    <row r="148" spans="1:4" x14ac:dyDescent="0.25">
      <c r="A148" s="15" t="s">
        <v>1342</v>
      </c>
      <c r="B148" s="15" t="s">
        <v>1492</v>
      </c>
      <c r="C148" s="15" t="s">
        <v>1497</v>
      </c>
      <c r="D148" s="20" t="s">
        <v>1713</v>
      </c>
    </row>
    <row r="149" spans="1:4" x14ac:dyDescent="0.25">
      <c r="A149" s="15" t="s">
        <v>1342</v>
      </c>
      <c r="B149" s="15" t="s">
        <v>2069</v>
      </c>
      <c r="C149" s="15" t="s">
        <v>1840</v>
      </c>
      <c r="D149" s="20" t="s">
        <v>1841</v>
      </c>
    </row>
    <row r="150" spans="1:4" x14ac:dyDescent="0.25">
      <c r="A150" s="15" t="s">
        <v>1342</v>
      </c>
      <c r="B150" s="15" t="s">
        <v>2069</v>
      </c>
      <c r="C150" s="15" t="s">
        <v>1839</v>
      </c>
      <c r="D150" s="20" t="s">
        <v>1842</v>
      </c>
    </row>
    <row r="151" spans="1:4" x14ac:dyDescent="0.25">
      <c r="A151" s="15" t="s">
        <v>1342</v>
      </c>
      <c r="B151" s="15" t="s">
        <v>1832</v>
      </c>
      <c r="C151" s="15" t="s">
        <v>2125</v>
      </c>
      <c r="D151" s="20" t="s">
        <v>2340</v>
      </c>
    </row>
    <row r="152" spans="1:4" x14ac:dyDescent="0.25">
      <c r="A152" s="15" t="s">
        <v>1342</v>
      </c>
      <c r="B152" s="15" t="s">
        <v>1832</v>
      </c>
      <c r="C152" s="15" t="s">
        <v>1950</v>
      </c>
      <c r="D152" s="20" t="s">
        <v>56</v>
      </c>
    </row>
    <row r="153" spans="1:4" x14ac:dyDescent="0.25">
      <c r="A153" s="15" t="s">
        <v>1342</v>
      </c>
      <c r="B153" s="15" t="s">
        <v>1832</v>
      </c>
      <c r="C153" s="15" t="s">
        <v>1950</v>
      </c>
      <c r="D153" s="20" t="s">
        <v>70</v>
      </c>
    </row>
    <row r="154" spans="1:4" x14ac:dyDescent="0.25">
      <c r="A154" s="15" t="s">
        <v>1342</v>
      </c>
      <c r="B154" s="15" t="s">
        <v>1832</v>
      </c>
      <c r="C154" s="15" t="s">
        <v>1950</v>
      </c>
      <c r="D154" s="20" t="s">
        <v>1806</v>
      </c>
    </row>
    <row r="155" spans="1:4" x14ac:dyDescent="0.25">
      <c r="A155" s="15" t="s">
        <v>1342</v>
      </c>
      <c r="B155" s="15" t="s">
        <v>1832</v>
      </c>
      <c r="C155" s="15" t="s">
        <v>1953</v>
      </c>
      <c r="D155" s="20" t="s">
        <v>52</v>
      </c>
    </row>
    <row r="156" spans="1:4" x14ac:dyDescent="0.25">
      <c r="A156" s="15" t="s">
        <v>1342</v>
      </c>
      <c r="B156" s="15" t="s">
        <v>1832</v>
      </c>
      <c r="C156" s="15" t="s">
        <v>1951</v>
      </c>
      <c r="D156" s="20" t="s">
        <v>2313</v>
      </c>
    </row>
    <row r="157" spans="1:4" x14ac:dyDescent="0.25">
      <c r="A157" s="15" t="s">
        <v>1342</v>
      </c>
      <c r="B157" s="15" t="s">
        <v>1832</v>
      </c>
      <c r="C157" s="15" t="s">
        <v>1954</v>
      </c>
      <c r="D157" s="20" t="s">
        <v>2314</v>
      </c>
    </row>
    <row r="160" spans="1:4" x14ac:dyDescent="0.25">
      <c r="A160" s="15" t="s">
        <v>1567</v>
      </c>
      <c r="B160" s="15" t="s">
        <v>2113</v>
      </c>
      <c r="C160" s="15" t="s">
        <v>1846</v>
      </c>
      <c r="D160" s="20" t="s">
        <v>868</v>
      </c>
    </row>
    <row r="161" spans="1:4" x14ac:dyDescent="0.25">
      <c r="A161" s="15" t="s">
        <v>1567</v>
      </c>
      <c r="B161" s="15" t="s">
        <v>2114</v>
      </c>
      <c r="C161" s="15" t="s">
        <v>2115</v>
      </c>
      <c r="D161" s="20" t="s">
        <v>868</v>
      </c>
    </row>
    <row r="162" spans="1:4" x14ac:dyDescent="0.25">
      <c r="A162" s="15" t="s">
        <v>1567</v>
      </c>
      <c r="B162" s="15" t="s">
        <v>2161</v>
      </c>
      <c r="C162" s="15" t="s">
        <v>2162</v>
      </c>
      <c r="D162" s="20" t="s">
        <v>871</v>
      </c>
    </row>
    <row r="163" spans="1:4" x14ac:dyDescent="0.25">
      <c r="A163" s="15" t="s">
        <v>1567</v>
      </c>
      <c r="B163" s="15" t="s">
        <v>2150</v>
      </c>
      <c r="C163" s="15" t="s">
        <v>2130</v>
      </c>
      <c r="D163" s="20" t="s">
        <v>1837</v>
      </c>
    </row>
    <row r="164" spans="1:4" x14ac:dyDescent="0.25">
      <c r="A164" s="15" t="s">
        <v>1567</v>
      </c>
      <c r="B164" s="15" t="s">
        <v>1607</v>
      </c>
      <c r="C164" s="15" t="s">
        <v>1608</v>
      </c>
      <c r="D164" s="20" t="s">
        <v>816</v>
      </c>
    </row>
    <row r="165" spans="1:4" x14ac:dyDescent="0.25">
      <c r="A165" s="15" t="s">
        <v>1567</v>
      </c>
      <c r="B165" s="15" t="s">
        <v>1913</v>
      </c>
      <c r="C165" s="15" t="s">
        <v>1912</v>
      </c>
      <c r="D165" s="20" t="s">
        <v>1914</v>
      </c>
    </row>
    <row r="166" spans="1:4" x14ac:dyDescent="0.25">
      <c r="A166" s="15" t="s">
        <v>1567</v>
      </c>
      <c r="B166" s="15" t="s">
        <v>1618</v>
      </c>
      <c r="C166" s="15" t="s">
        <v>1617</v>
      </c>
      <c r="D166" s="20" t="s">
        <v>814</v>
      </c>
    </row>
    <row r="167" spans="1:4" x14ac:dyDescent="0.25">
      <c r="A167" s="15" t="s">
        <v>1567</v>
      </c>
      <c r="B167" s="15" t="s">
        <v>2158</v>
      </c>
      <c r="C167" s="15" t="s">
        <v>1565</v>
      </c>
      <c r="D167" s="20" t="s">
        <v>935</v>
      </c>
    </row>
    <row r="168" spans="1:4" x14ac:dyDescent="0.25">
      <c r="A168" s="15" t="s">
        <v>1567</v>
      </c>
      <c r="B168" s="15" t="s">
        <v>2158</v>
      </c>
      <c r="C168" s="15" t="s">
        <v>1566</v>
      </c>
      <c r="D168" s="20" t="s">
        <v>939</v>
      </c>
    </row>
    <row r="169" spans="1:4" x14ac:dyDescent="0.25">
      <c r="A169" s="15" t="s">
        <v>1567</v>
      </c>
      <c r="B169" s="15" t="s">
        <v>2155</v>
      </c>
      <c r="C169" s="15" t="s">
        <v>2093</v>
      </c>
      <c r="D169" s="20" t="s">
        <v>2094</v>
      </c>
    </row>
    <row r="170" spans="1:4" x14ac:dyDescent="0.25">
      <c r="A170" s="15" t="s">
        <v>1567</v>
      </c>
      <c r="B170" s="15" t="s">
        <v>2155</v>
      </c>
      <c r="C170" s="15" t="s">
        <v>2139</v>
      </c>
      <c r="D170" s="20" t="s">
        <v>893</v>
      </c>
    </row>
    <row r="171" spans="1:4" x14ac:dyDescent="0.25">
      <c r="A171" s="15" t="s">
        <v>1567</v>
      </c>
      <c r="B171" s="15" t="s">
        <v>2155</v>
      </c>
      <c r="C171" s="15" t="s">
        <v>1612</v>
      </c>
      <c r="D171" s="20" t="s">
        <v>895</v>
      </c>
    </row>
    <row r="172" spans="1:4" x14ac:dyDescent="0.25">
      <c r="A172" s="15" t="s">
        <v>1567</v>
      </c>
      <c r="B172" s="15" t="s">
        <v>2156</v>
      </c>
      <c r="C172" s="15" t="s">
        <v>2140</v>
      </c>
      <c r="D172" s="20" t="s">
        <v>1484</v>
      </c>
    </row>
    <row r="173" spans="1:4" x14ac:dyDescent="0.25">
      <c r="A173" s="15" t="s">
        <v>1567</v>
      </c>
      <c r="B173" s="15" t="s">
        <v>2156</v>
      </c>
      <c r="C173" s="15" t="s">
        <v>1613</v>
      </c>
      <c r="D173" s="20" t="s">
        <v>1485</v>
      </c>
    </row>
    <row r="174" spans="1:4" x14ac:dyDescent="0.25">
      <c r="A174" s="15" t="s">
        <v>1567</v>
      </c>
      <c r="B174" s="15" t="s">
        <v>2177</v>
      </c>
      <c r="C174" s="15" t="s">
        <v>2151</v>
      </c>
      <c r="D174" s="20" t="s">
        <v>828</v>
      </c>
    </row>
    <row r="175" spans="1:4" x14ac:dyDescent="0.25">
      <c r="A175" s="15" t="s">
        <v>1567</v>
      </c>
      <c r="B175" s="15" t="s">
        <v>2178</v>
      </c>
      <c r="C175" s="15" t="s">
        <v>1559</v>
      </c>
      <c r="D175" s="20" t="s">
        <v>1684</v>
      </c>
    </row>
    <row r="176" spans="1:4" x14ac:dyDescent="0.25">
      <c r="A176" s="15" t="s">
        <v>1567</v>
      </c>
      <c r="B176" s="15" t="s">
        <v>1606</v>
      </c>
      <c r="C176" s="15" t="s">
        <v>1609</v>
      </c>
      <c r="D176" s="20" t="s">
        <v>818</v>
      </c>
    </row>
    <row r="177" spans="1:4" x14ac:dyDescent="0.25">
      <c r="A177" s="15" t="s">
        <v>1567</v>
      </c>
      <c r="B177" s="15" t="s">
        <v>2153</v>
      </c>
      <c r="C177" s="15" t="s">
        <v>2152</v>
      </c>
      <c r="D177" s="20" t="s">
        <v>822</v>
      </c>
    </row>
    <row r="178" spans="1:4" x14ac:dyDescent="0.25">
      <c r="A178" s="15" t="s">
        <v>1567</v>
      </c>
      <c r="B178" s="15" t="s">
        <v>1630</v>
      </c>
      <c r="C178" s="15" t="s">
        <v>1625</v>
      </c>
      <c r="D178" s="20" t="s">
        <v>925</v>
      </c>
    </row>
    <row r="179" spans="1:4" x14ac:dyDescent="0.25">
      <c r="A179" s="15" t="s">
        <v>1567</v>
      </c>
      <c r="B179" s="15" t="s">
        <v>1626</v>
      </c>
      <c r="C179" s="15" t="s">
        <v>1627</v>
      </c>
      <c r="D179" s="20" t="s">
        <v>887</v>
      </c>
    </row>
    <row r="180" spans="1:4" x14ac:dyDescent="0.25">
      <c r="A180" s="15" t="s">
        <v>1567</v>
      </c>
      <c r="B180" s="15" t="s">
        <v>1621</v>
      </c>
      <c r="C180" s="15" t="s">
        <v>1622</v>
      </c>
      <c r="D180" s="20" t="s">
        <v>826</v>
      </c>
    </row>
    <row r="181" spans="1:4" x14ac:dyDescent="0.25">
      <c r="A181" s="15" t="s">
        <v>1567</v>
      </c>
      <c r="B181" s="15" t="s">
        <v>1581</v>
      </c>
      <c r="C181" s="15" t="s">
        <v>1553</v>
      </c>
      <c r="D181" s="20" t="s">
        <v>848</v>
      </c>
    </row>
    <row r="182" spans="1:4" x14ac:dyDescent="0.25">
      <c r="A182" s="15" t="s">
        <v>1567</v>
      </c>
      <c r="B182" s="15" t="s">
        <v>1581</v>
      </c>
      <c r="C182" s="15" t="s">
        <v>1554</v>
      </c>
      <c r="D182" s="20" t="s">
        <v>850</v>
      </c>
    </row>
    <row r="183" spans="1:4" x14ac:dyDescent="0.25">
      <c r="A183" s="15" t="s">
        <v>1567</v>
      </c>
      <c r="B183" s="15" t="s">
        <v>1623</v>
      </c>
      <c r="C183" s="15" t="s">
        <v>1624</v>
      </c>
      <c r="D183" s="20" t="s">
        <v>937</v>
      </c>
    </row>
    <row r="184" spans="1:4" x14ac:dyDescent="0.25">
      <c r="A184" s="15" t="s">
        <v>2138</v>
      </c>
      <c r="B184" s="15" t="s">
        <v>1669</v>
      </c>
      <c r="C184" s="15" t="s">
        <v>1669</v>
      </c>
      <c r="D184" s="20" t="s">
        <v>1670</v>
      </c>
    </row>
    <row r="185" spans="1:4" x14ac:dyDescent="0.25">
      <c r="A185" s="15" t="s">
        <v>1511</v>
      </c>
      <c r="B185" s="15" t="s">
        <v>1611</v>
      </c>
      <c r="C185" s="15" t="s">
        <v>1494</v>
      </c>
      <c r="D185" s="20" t="s">
        <v>949</v>
      </c>
    </row>
    <row r="186" spans="1:4" x14ac:dyDescent="0.25">
      <c r="A186" s="15" t="s">
        <v>1511</v>
      </c>
      <c r="B186" s="15" t="s">
        <v>1611</v>
      </c>
      <c r="C186" s="15" t="s">
        <v>1708</v>
      </c>
      <c r="D186" s="20" t="s">
        <v>38</v>
      </c>
    </row>
    <row r="187" spans="1:4" x14ac:dyDescent="0.25">
      <c r="A187" s="15" t="s">
        <v>1511</v>
      </c>
      <c r="B187" s="15" t="s">
        <v>1611</v>
      </c>
      <c r="C187" s="15" t="s">
        <v>1495</v>
      </c>
      <c r="D187" s="20" t="s">
        <v>2315</v>
      </c>
    </row>
    <row r="188" spans="1:4" x14ac:dyDescent="0.25">
      <c r="A188" s="15" t="s">
        <v>1511</v>
      </c>
      <c r="B188" s="15" t="s">
        <v>1611</v>
      </c>
      <c r="C188" s="15" t="s">
        <v>1614</v>
      </c>
      <c r="D188" s="20" t="s">
        <v>973</v>
      </c>
    </row>
    <row r="189" spans="1:4" x14ac:dyDescent="0.25">
      <c r="A189" s="15" t="s">
        <v>1511</v>
      </c>
      <c r="B189" s="15" t="s">
        <v>1656</v>
      </c>
      <c r="C189" s="15" t="s">
        <v>1657</v>
      </c>
      <c r="D189" s="20" t="s">
        <v>1659</v>
      </c>
    </row>
    <row r="190" spans="1:4" x14ac:dyDescent="0.25">
      <c r="A190" s="15" t="s">
        <v>1511</v>
      </c>
      <c r="B190" s="15" t="s">
        <v>1658</v>
      </c>
      <c r="C190" s="15" t="s">
        <v>1657</v>
      </c>
      <c r="D190" s="20" t="s">
        <v>1659</v>
      </c>
    </row>
    <row r="191" spans="1:4" x14ac:dyDescent="0.25">
      <c r="A191" s="15" t="s">
        <v>1511</v>
      </c>
      <c r="B191" s="15" t="s">
        <v>2073</v>
      </c>
      <c r="C191" s="15" t="s">
        <v>2073</v>
      </c>
      <c r="D191" s="20" t="s">
        <v>2074</v>
      </c>
    </row>
    <row r="192" spans="1:4" x14ac:dyDescent="0.25">
      <c r="A192" s="15" t="s">
        <v>1511</v>
      </c>
      <c r="B192" s="15" t="s">
        <v>2141</v>
      </c>
      <c r="C192" s="15" t="s">
        <v>2143</v>
      </c>
      <c r="D192" s="20" t="s">
        <v>1663</v>
      </c>
    </row>
    <row r="193" spans="1:4" x14ac:dyDescent="0.25">
      <c r="A193" s="15" t="s">
        <v>1511</v>
      </c>
      <c r="B193" s="15" t="s">
        <v>2142</v>
      </c>
      <c r="C193" s="15" t="s">
        <v>2143</v>
      </c>
      <c r="D193" s="20" t="s">
        <v>1663</v>
      </c>
    </row>
    <row r="194" spans="1:4" x14ac:dyDescent="0.25">
      <c r="A194" s="15" t="s">
        <v>1511</v>
      </c>
      <c r="B194" s="15" t="s">
        <v>2145</v>
      </c>
      <c r="C194" s="15" t="s">
        <v>2144</v>
      </c>
      <c r="D194" s="20" t="s">
        <v>1662</v>
      </c>
    </row>
    <row r="195" spans="1:4" x14ac:dyDescent="0.25">
      <c r="A195" s="15" t="s">
        <v>1511</v>
      </c>
      <c r="B195" s="15" t="s">
        <v>2146</v>
      </c>
      <c r="C195" s="15" t="s">
        <v>2144</v>
      </c>
      <c r="D195" s="20" t="s">
        <v>1662</v>
      </c>
    </row>
    <row r="196" spans="1:4" x14ac:dyDescent="0.25">
      <c r="A196" s="15" t="s">
        <v>1511</v>
      </c>
      <c r="B196" s="15" t="s">
        <v>1660</v>
      </c>
      <c r="C196" s="15" t="s">
        <v>1483</v>
      </c>
      <c r="D196" s="20" t="s">
        <v>1665</v>
      </c>
    </row>
    <row r="197" spans="1:4" x14ac:dyDescent="0.25">
      <c r="A197" s="15" t="s">
        <v>1511</v>
      </c>
      <c r="B197" s="15" t="s">
        <v>1661</v>
      </c>
      <c r="C197" s="15" t="s">
        <v>1483</v>
      </c>
      <c r="D197" s="20" t="s">
        <v>1665</v>
      </c>
    </row>
    <row r="198" spans="1:4" x14ac:dyDescent="0.25">
      <c r="A198" s="15" t="s">
        <v>2112</v>
      </c>
      <c r="B198" s="15" t="s">
        <v>2063</v>
      </c>
      <c r="C198" s="15" t="s">
        <v>1521</v>
      </c>
      <c r="D198" s="20" t="s">
        <v>1664</v>
      </c>
    </row>
    <row r="199" spans="1:4" x14ac:dyDescent="0.25">
      <c r="A199" s="15" t="s">
        <v>2112</v>
      </c>
      <c r="B199" s="15" t="s">
        <v>2064</v>
      </c>
      <c r="C199" s="15" t="s">
        <v>1521</v>
      </c>
      <c r="D199" s="20" t="s">
        <v>1664</v>
      </c>
    </row>
    <row r="200" spans="1:4" x14ac:dyDescent="0.25">
      <c r="A200" s="15" t="s">
        <v>2112</v>
      </c>
      <c r="B200" s="15" t="s">
        <v>1457</v>
      </c>
      <c r="C200" s="15" t="s">
        <v>1457</v>
      </c>
      <c r="D200" s="20" t="s">
        <v>1315</v>
      </c>
    </row>
    <row r="201" spans="1:4" x14ac:dyDescent="0.25">
      <c r="A201" s="15" t="s">
        <v>2112</v>
      </c>
      <c r="B201" s="15" t="s">
        <v>2190</v>
      </c>
      <c r="C201" s="15" t="s">
        <v>2191</v>
      </c>
      <c r="D201" s="20" t="s">
        <v>917</v>
      </c>
    </row>
    <row r="202" spans="1:4" x14ac:dyDescent="0.25">
      <c r="A202" s="15" t="s">
        <v>2112</v>
      </c>
      <c r="B202" s="15" t="s">
        <v>2192</v>
      </c>
      <c r="C202" s="15" t="s">
        <v>2191</v>
      </c>
      <c r="D202" s="20" t="s">
        <v>2341</v>
      </c>
    </row>
    <row r="203" spans="1:4" x14ac:dyDescent="0.25">
      <c r="A203" s="15" t="s">
        <v>2112</v>
      </c>
      <c r="B203" s="15" t="s">
        <v>2180</v>
      </c>
      <c r="C203" s="15" t="s">
        <v>990</v>
      </c>
      <c r="D203" s="20" t="s">
        <v>2284</v>
      </c>
    </row>
    <row r="204" spans="1:4" x14ac:dyDescent="0.25">
      <c r="A204" s="15" t="s">
        <v>2112</v>
      </c>
      <c r="B204" s="15" t="s">
        <v>2180</v>
      </c>
      <c r="C204" s="15" t="s">
        <v>992</v>
      </c>
      <c r="D204" s="20" t="s">
        <v>2316</v>
      </c>
    </row>
    <row r="205" spans="1:4" x14ac:dyDescent="0.25">
      <c r="A205" s="15" t="s">
        <v>2112</v>
      </c>
      <c r="B205" s="15" t="s">
        <v>2180</v>
      </c>
      <c r="C205" s="15" t="s">
        <v>994</v>
      </c>
      <c r="D205" s="20" t="s">
        <v>2285</v>
      </c>
    </row>
    <row r="206" spans="1:4" x14ac:dyDescent="0.25">
      <c r="A206" s="15" t="s">
        <v>2112</v>
      </c>
      <c r="B206" s="15" t="s">
        <v>2180</v>
      </c>
      <c r="C206" s="15" t="s">
        <v>1405</v>
      </c>
      <c r="D206" s="20" t="s">
        <v>2301</v>
      </c>
    </row>
    <row r="207" spans="1:4" x14ac:dyDescent="0.25">
      <c r="A207" s="15" t="s">
        <v>2112</v>
      </c>
      <c r="B207" s="15" t="s">
        <v>2180</v>
      </c>
      <c r="C207" s="15" t="s">
        <v>100</v>
      </c>
      <c r="D207" s="20" t="s">
        <v>2302</v>
      </c>
    </row>
    <row r="208" spans="1:4" x14ac:dyDescent="0.25">
      <c r="A208" s="15" t="s">
        <v>2112</v>
      </c>
      <c r="B208" s="15" t="s">
        <v>2180</v>
      </c>
      <c r="C208" s="15" t="s">
        <v>1538</v>
      </c>
      <c r="D208" s="20" t="s">
        <v>2286</v>
      </c>
    </row>
    <row r="209" spans="1:4" x14ac:dyDescent="0.25">
      <c r="A209" s="15" t="s">
        <v>2112</v>
      </c>
      <c r="B209" s="15" t="s">
        <v>2180</v>
      </c>
      <c r="C209" s="15" t="s">
        <v>1568</v>
      </c>
      <c r="D209" s="20" t="s">
        <v>2317</v>
      </c>
    </row>
    <row r="210" spans="1:4" x14ac:dyDescent="0.25">
      <c r="A210" s="15" t="s">
        <v>2112</v>
      </c>
      <c r="B210" s="15" t="s">
        <v>2180</v>
      </c>
      <c r="C210" s="15" t="s">
        <v>1540</v>
      </c>
      <c r="D210" s="20" t="s">
        <v>1690</v>
      </c>
    </row>
    <row r="211" spans="1:4" x14ac:dyDescent="0.25">
      <c r="A211" s="15" t="s">
        <v>2112</v>
      </c>
      <c r="B211" s="15" t="s">
        <v>2180</v>
      </c>
      <c r="C211" s="15" t="s">
        <v>1544</v>
      </c>
      <c r="D211" s="20" t="s">
        <v>2318</v>
      </c>
    </row>
    <row r="212" spans="1:4" x14ac:dyDescent="0.25">
      <c r="A212" s="15" t="s">
        <v>2112</v>
      </c>
      <c r="B212" s="15" t="s">
        <v>2180</v>
      </c>
      <c r="C212" s="15" t="s">
        <v>1545</v>
      </c>
      <c r="D212" s="20" t="s">
        <v>1339</v>
      </c>
    </row>
    <row r="213" spans="1:4" x14ac:dyDescent="0.25">
      <c r="A213" s="15" t="s">
        <v>2112</v>
      </c>
      <c r="B213" s="15" t="s">
        <v>2180</v>
      </c>
      <c r="C213" s="15" t="s">
        <v>1050</v>
      </c>
      <c r="D213" s="20" t="s">
        <v>1051</v>
      </c>
    </row>
    <row r="214" spans="1:4" x14ac:dyDescent="0.25">
      <c r="A214" s="15" t="s">
        <v>2112</v>
      </c>
      <c r="B214" s="15" t="s">
        <v>2180</v>
      </c>
      <c r="C214" s="15" t="s">
        <v>57</v>
      </c>
      <c r="D214" s="20" t="s">
        <v>2319</v>
      </c>
    </row>
    <row r="215" spans="1:4" x14ac:dyDescent="0.25">
      <c r="A215" s="15" t="s">
        <v>2112</v>
      </c>
      <c r="B215" s="15" t="s">
        <v>2180</v>
      </c>
      <c r="C215" s="15" t="s">
        <v>996</v>
      </c>
      <c r="D215" s="20" t="s">
        <v>997</v>
      </c>
    </row>
    <row r="216" spans="1:4" x14ac:dyDescent="0.25">
      <c r="A216" s="15" t="s">
        <v>2112</v>
      </c>
      <c r="B216" s="15" t="s">
        <v>2180</v>
      </c>
      <c r="C216" s="15" t="s">
        <v>2118</v>
      </c>
      <c r="D216" s="20" t="s">
        <v>1753</v>
      </c>
    </row>
    <row r="217" spans="1:4" x14ac:dyDescent="0.25">
      <c r="A217" s="15" t="s">
        <v>2112</v>
      </c>
      <c r="B217" s="15" t="s">
        <v>2180</v>
      </c>
      <c r="C217" s="15" t="s">
        <v>1026</v>
      </c>
      <c r="D217" s="20" t="s">
        <v>1027</v>
      </c>
    </row>
    <row r="218" spans="1:4" x14ac:dyDescent="0.25">
      <c r="A218" s="15" t="s">
        <v>2112</v>
      </c>
      <c r="B218" s="15" t="s">
        <v>2180</v>
      </c>
      <c r="C218" s="15" t="s">
        <v>1052</v>
      </c>
      <c r="D218" s="20" t="s">
        <v>2320</v>
      </c>
    </row>
    <row r="219" spans="1:4" x14ac:dyDescent="0.25">
      <c r="A219" s="15" t="s">
        <v>2112</v>
      </c>
      <c r="B219" s="15" t="s">
        <v>2180</v>
      </c>
      <c r="C219" s="15" t="s">
        <v>1030</v>
      </c>
      <c r="D219" s="20" t="s">
        <v>1031</v>
      </c>
    </row>
    <row r="220" spans="1:4" x14ac:dyDescent="0.25">
      <c r="A220" s="15" t="s">
        <v>2112</v>
      </c>
      <c r="B220" s="15" t="s">
        <v>2180</v>
      </c>
      <c r="C220" s="15" t="s">
        <v>1443</v>
      </c>
      <c r="D220" s="20" t="s">
        <v>2303</v>
      </c>
    </row>
    <row r="221" spans="1:4" x14ac:dyDescent="0.25">
      <c r="A221" s="15" t="s">
        <v>2112</v>
      </c>
      <c r="B221" s="15" t="s">
        <v>2180</v>
      </c>
      <c r="C221" s="15" t="s">
        <v>743</v>
      </c>
      <c r="D221" s="20" t="s">
        <v>2342</v>
      </c>
    </row>
    <row r="222" spans="1:4" x14ac:dyDescent="0.25">
      <c r="A222" s="15" t="s">
        <v>2112</v>
      </c>
      <c r="B222" s="15" t="s">
        <v>2180</v>
      </c>
      <c r="C222" s="15" t="s">
        <v>747</v>
      </c>
      <c r="D222" s="20" t="s">
        <v>748</v>
      </c>
    </row>
    <row r="223" spans="1:4" x14ac:dyDescent="0.25">
      <c r="A223" s="15" t="s">
        <v>2112</v>
      </c>
      <c r="B223" s="15" t="s">
        <v>2180</v>
      </c>
      <c r="C223" s="15" t="s">
        <v>998</v>
      </c>
      <c r="D223" s="20" t="s">
        <v>999</v>
      </c>
    </row>
    <row r="224" spans="1:4" x14ac:dyDescent="0.25">
      <c r="A224" s="15" t="s">
        <v>2112</v>
      </c>
      <c r="B224" s="15" t="s">
        <v>2180</v>
      </c>
      <c r="C224" s="15" t="s">
        <v>1445</v>
      </c>
      <c r="D224" s="20" t="s">
        <v>2321</v>
      </c>
    </row>
    <row r="225" spans="1:4" x14ac:dyDescent="0.25">
      <c r="A225" s="15" t="s">
        <v>2112</v>
      </c>
      <c r="B225" s="15" t="s">
        <v>2180</v>
      </c>
      <c r="C225" s="15" t="s">
        <v>1449</v>
      </c>
      <c r="D225" s="20" t="s">
        <v>2322</v>
      </c>
    </row>
    <row r="226" spans="1:4" x14ac:dyDescent="0.25">
      <c r="A226" s="15" t="s">
        <v>2112</v>
      </c>
      <c r="B226" s="15" t="s">
        <v>2180</v>
      </c>
      <c r="C226" s="15" t="s">
        <v>1756</v>
      </c>
      <c r="D226" s="20" t="s">
        <v>2343</v>
      </c>
    </row>
    <row r="227" spans="1:4" x14ac:dyDescent="0.25">
      <c r="A227" s="15" t="s">
        <v>2112</v>
      </c>
      <c r="B227" s="15" t="s">
        <v>2180</v>
      </c>
      <c r="C227" s="15" t="s">
        <v>1529</v>
      </c>
      <c r="D227" s="20" t="s">
        <v>2323</v>
      </c>
    </row>
    <row r="228" spans="1:4" x14ac:dyDescent="0.25">
      <c r="A228" s="15" t="s">
        <v>2112</v>
      </c>
      <c r="B228" s="15" t="s">
        <v>2180</v>
      </c>
      <c r="C228" s="15" t="s">
        <v>1032</v>
      </c>
      <c r="D228" s="20" t="s">
        <v>1701</v>
      </c>
    </row>
    <row r="229" spans="1:4" x14ac:dyDescent="0.25">
      <c r="A229" s="15" t="s">
        <v>2112</v>
      </c>
      <c r="B229" s="15" t="s">
        <v>2180</v>
      </c>
      <c r="C229" s="15" t="s">
        <v>1054</v>
      </c>
      <c r="D229" s="20" t="s">
        <v>2344</v>
      </c>
    </row>
    <row r="230" spans="1:4" x14ac:dyDescent="0.25">
      <c r="A230" s="15" t="s">
        <v>2112</v>
      </c>
      <c r="B230" s="15" t="s">
        <v>2180</v>
      </c>
      <c r="C230" s="15" t="s">
        <v>1064</v>
      </c>
      <c r="D230" s="20" t="s">
        <v>1065</v>
      </c>
    </row>
    <row r="231" spans="1:4" x14ac:dyDescent="0.25">
      <c r="A231" s="15" t="s">
        <v>2112</v>
      </c>
      <c r="B231" s="15" t="s">
        <v>2180</v>
      </c>
      <c r="C231" s="15" t="s">
        <v>1034</v>
      </c>
      <c r="D231" s="20" t="s">
        <v>2287</v>
      </c>
    </row>
    <row r="232" spans="1:4" x14ac:dyDescent="0.25">
      <c r="A232" s="15" t="s">
        <v>2112</v>
      </c>
      <c r="B232" s="15" t="s">
        <v>2180</v>
      </c>
      <c r="C232" s="15" t="s">
        <v>1036</v>
      </c>
      <c r="D232" s="20" t="s">
        <v>2345</v>
      </c>
    </row>
    <row r="233" spans="1:4" x14ac:dyDescent="0.25">
      <c r="A233" s="15" t="s">
        <v>2112</v>
      </c>
      <c r="B233" s="15" t="s">
        <v>2180</v>
      </c>
      <c r="C233" s="15" t="s">
        <v>1056</v>
      </c>
      <c r="D233" s="20" t="s">
        <v>2324</v>
      </c>
    </row>
    <row r="234" spans="1:4" x14ac:dyDescent="0.25">
      <c r="A234" s="15" t="s">
        <v>2112</v>
      </c>
      <c r="B234" s="15" t="s">
        <v>2180</v>
      </c>
      <c r="C234" s="15" t="s">
        <v>1058</v>
      </c>
      <c r="D234" s="20" t="s">
        <v>2346</v>
      </c>
    </row>
    <row r="235" spans="1:4" x14ac:dyDescent="0.25">
      <c r="A235" s="15" t="s">
        <v>2112</v>
      </c>
      <c r="B235" s="15" t="s">
        <v>2180</v>
      </c>
      <c r="C235" s="15" t="s">
        <v>1531</v>
      </c>
      <c r="D235" s="20" t="s">
        <v>1005</v>
      </c>
    </row>
    <row r="236" spans="1:4" x14ac:dyDescent="0.25">
      <c r="A236" s="15" t="s">
        <v>2112</v>
      </c>
      <c r="B236" s="15" t="s">
        <v>2180</v>
      </c>
      <c r="C236" s="15" t="s">
        <v>1543</v>
      </c>
      <c r="D236" s="20" t="s">
        <v>2304</v>
      </c>
    </row>
    <row r="237" spans="1:4" x14ac:dyDescent="0.25">
      <c r="A237" s="15" t="s">
        <v>2112</v>
      </c>
      <c r="B237" s="15" t="s">
        <v>2180</v>
      </c>
      <c r="C237" s="15" t="s">
        <v>1546</v>
      </c>
      <c r="D237" s="20" t="s">
        <v>2288</v>
      </c>
    </row>
    <row r="238" spans="1:4" x14ac:dyDescent="0.25">
      <c r="A238" s="15" t="s">
        <v>2112</v>
      </c>
      <c r="B238" s="15" t="s">
        <v>2180</v>
      </c>
      <c r="C238" s="15" t="s">
        <v>1548</v>
      </c>
      <c r="D238" s="20" t="s">
        <v>1011</v>
      </c>
    </row>
    <row r="239" spans="1:4" x14ac:dyDescent="0.25">
      <c r="A239" s="15" t="s">
        <v>2112</v>
      </c>
      <c r="B239" s="15" t="s">
        <v>2180</v>
      </c>
      <c r="C239" s="15" t="s">
        <v>1547</v>
      </c>
      <c r="D239" s="20" t="s">
        <v>2305</v>
      </c>
    </row>
    <row r="240" spans="1:4" x14ac:dyDescent="0.25">
      <c r="A240" s="15" t="s">
        <v>2112</v>
      </c>
      <c r="B240" s="15" t="s">
        <v>2180</v>
      </c>
      <c r="C240" s="15" t="s">
        <v>1012</v>
      </c>
      <c r="D240" s="20" t="s">
        <v>2289</v>
      </c>
    </row>
    <row r="241" spans="1:4" x14ac:dyDescent="0.25">
      <c r="A241" s="15" t="s">
        <v>2112</v>
      </c>
      <c r="B241" s="15" t="s">
        <v>2180</v>
      </c>
      <c r="C241" s="15" t="s">
        <v>1014</v>
      </c>
      <c r="D241" s="20" t="s">
        <v>2290</v>
      </c>
    </row>
    <row r="242" spans="1:4" x14ac:dyDescent="0.25">
      <c r="A242" s="15" t="s">
        <v>2112</v>
      </c>
      <c r="B242" s="15" t="s">
        <v>2180</v>
      </c>
      <c r="C242" s="15" t="s">
        <v>1016</v>
      </c>
      <c r="D242" s="20" t="s">
        <v>2291</v>
      </c>
    </row>
    <row r="243" spans="1:4" x14ac:dyDescent="0.25">
      <c r="A243" s="15" t="s">
        <v>2112</v>
      </c>
      <c r="B243" s="15" t="s">
        <v>2180</v>
      </c>
      <c r="C243" s="15" t="s">
        <v>1038</v>
      </c>
      <c r="D243" s="20" t="s">
        <v>2292</v>
      </c>
    </row>
    <row r="244" spans="1:4" x14ac:dyDescent="0.25">
      <c r="A244" s="15" t="s">
        <v>2112</v>
      </c>
      <c r="B244" s="15" t="s">
        <v>2180</v>
      </c>
      <c r="C244" s="15" t="s">
        <v>1539</v>
      </c>
      <c r="D244" s="20" t="s">
        <v>2293</v>
      </c>
    </row>
    <row r="245" spans="1:4" x14ac:dyDescent="0.25">
      <c r="A245" s="15" t="s">
        <v>2112</v>
      </c>
      <c r="B245" s="15" t="s">
        <v>2180</v>
      </c>
      <c r="C245" s="15" t="s">
        <v>2123</v>
      </c>
      <c r="D245" s="20" t="s">
        <v>1823</v>
      </c>
    </row>
    <row r="246" spans="1:4" x14ac:dyDescent="0.25">
      <c r="A246" s="15" t="s">
        <v>2112</v>
      </c>
      <c r="B246" s="15" t="s">
        <v>2180</v>
      </c>
      <c r="C246" s="15" t="s">
        <v>1541</v>
      </c>
      <c r="D246" s="20" t="s">
        <v>951</v>
      </c>
    </row>
    <row r="247" spans="1:4" x14ac:dyDescent="0.25">
      <c r="A247" s="15" t="s">
        <v>2112</v>
      </c>
      <c r="B247" s="15" t="s">
        <v>2180</v>
      </c>
      <c r="C247" s="15" t="s">
        <v>2122</v>
      </c>
      <c r="D247" s="20" t="s">
        <v>1822</v>
      </c>
    </row>
    <row r="248" spans="1:4" x14ac:dyDescent="0.25">
      <c r="A248" s="15" t="s">
        <v>2112</v>
      </c>
      <c r="B248" s="15" t="s">
        <v>2180</v>
      </c>
      <c r="C248" s="15" t="s">
        <v>1471</v>
      </c>
      <c r="D248" s="20" t="s">
        <v>943</v>
      </c>
    </row>
    <row r="249" spans="1:4" x14ac:dyDescent="0.25">
      <c r="A249" s="15" t="s">
        <v>2112</v>
      </c>
      <c r="B249" s="15" t="s">
        <v>2180</v>
      </c>
      <c r="C249" s="15" t="s">
        <v>1532</v>
      </c>
      <c r="D249" s="20" t="s">
        <v>736</v>
      </c>
    </row>
    <row r="250" spans="1:4" x14ac:dyDescent="0.25">
      <c r="A250" s="15" t="s">
        <v>2112</v>
      </c>
      <c r="B250" s="15" t="s">
        <v>2180</v>
      </c>
      <c r="C250" s="15" t="s">
        <v>435</v>
      </c>
      <c r="D250" s="20" t="s">
        <v>2347</v>
      </c>
    </row>
    <row r="251" spans="1:4" x14ac:dyDescent="0.25">
      <c r="A251" s="15" t="s">
        <v>2112</v>
      </c>
      <c r="B251" s="15" t="s">
        <v>2180</v>
      </c>
      <c r="C251" s="15" t="s">
        <v>103</v>
      </c>
      <c r="D251" s="20" t="s">
        <v>2325</v>
      </c>
    </row>
    <row r="252" spans="1:4" x14ac:dyDescent="0.25">
      <c r="A252" s="15" t="s">
        <v>2112</v>
      </c>
      <c r="B252" s="15" t="s">
        <v>2180</v>
      </c>
      <c r="C252" s="15" t="s">
        <v>757</v>
      </c>
      <c r="D252" s="20" t="s">
        <v>2326</v>
      </c>
    </row>
    <row r="253" spans="1:4" x14ac:dyDescent="0.25">
      <c r="A253" s="15" t="s">
        <v>2112</v>
      </c>
      <c r="B253" s="15" t="s">
        <v>2180</v>
      </c>
      <c r="C253" s="15" t="s">
        <v>1557</v>
      </c>
      <c r="D253" s="20" t="s">
        <v>2306</v>
      </c>
    </row>
    <row r="254" spans="1:4" x14ac:dyDescent="0.25">
      <c r="A254" s="15" t="s">
        <v>2112</v>
      </c>
      <c r="B254" s="15" t="s">
        <v>2180</v>
      </c>
      <c r="C254" s="15" t="s">
        <v>1556</v>
      </c>
      <c r="D254" s="20" t="s">
        <v>953</v>
      </c>
    </row>
    <row r="255" spans="1:4" x14ac:dyDescent="0.25">
      <c r="A255" s="15" t="s">
        <v>2112</v>
      </c>
      <c r="B255" s="15" t="s">
        <v>2180</v>
      </c>
      <c r="C255" s="15" t="s">
        <v>1542</v>
      </c>
      <c r="D255" s="20" t="s">
        <v>2307</v>
      </c>
    </row>
    <row r="256" spans="1:4" x14ac:dyDescent="0.25">
      <c r="A256" s="15" t="s">
        <v>2112</v>
      </c>
      <c r="B256" s="15" t="s">
        <v>2180</v>
      </c>
      <c r="C256" s="15" t="s">
        <v>1530</v>
      </c>
      <c r="D256" s="20" t="s">
        <v>2308</v>
      </c>
    </row>
    <row r="257" spans="1:4" x14ac:dyDescent="0.25">
      <c r="A257" s="15" t="s">
        <v>2112</v>
      </c>
      <c r="B257" s="15" t="s">
        <v>2180</v>
      </c>
      <c r="C257" s="15" t="s">
        <v>1018</v>
      </c>
      <c r="D257" s="20" t="s">
        <v>2309</v>
      </c>
    </row>
    <row r="258" spans="1:4" x14ac:dyDescent="0.25">
      <c r="A258" s="15" t="s">
        <v>2112</v>
      </c>
      <c r="B258" s="15" t="s">
        <v>2180</v>
      </c>
      <c r="C258" s="15" t="s">
        <v>1430</v>
      </c>
      <c r="D258" s="20" t="s">
        <v>2327</v>
      </c>
    </row>
    <row r="259" spans="1:4" x14ac:dyDescent="0.25">
      <c r="A259" s="15" t="s">
        <v>2112</v>
      </c>
      <c r="B259" s="15" t="s">
        <v>2180</v>
      </c>
      <c r="C259" s="15" t="s">
        <v>761</v>
      </c>
      <c r="D259" s="20" t="s">
        <v>2328</v>
      </c>
    </row>
    <row r="260" spans="1:4" x14ac:dyDescent="0.25">
      <c r="A260" s="15" t="s">
        <v>2112</v>
      </c>
      <c r="B260" s="15" t="s">
        <v>2180</v>
      </c>
      <c r="C260" s="15" t="s">
        <v>1234</v>
      </c>
      <c r="D260" s="20" t="s">
        <v>2294</v>
      </c>
    </row>
    <row r="261" spans="1:4" x14ac:dyDescent="0.25">
      <c r="A261" s="15" t="s">
        <v>2112</v>
      </c>
      <c r="B261" s="15" t="s">
        <v>2180</v>
      </c>
      <c r="C261" s="15" t="s">
        <v>60</v>
      </c>
      <c r="D261" s="20" t="s">
        <v>2295</v>
      </c>
    </row>
    <row r="262" spans="1:4" x14ac:dyDescent="0.25">
      <c r="A262" s="15" t="s">
        <v>2112</v>
      </c>
      <c r="B262" s="15" t="s">
        <v>2180</v>
      </c>
      <c r="C262" s="15" t="s">
        <v>1020</v>
      </c>
      <c r="D262" s="20" t="s">
        <v>2310</v>
      </c>
    </row>
    <row r="263" spans="1:4" x14ac:dyDescent="0.25">
      <c r="A263" s="15" t="s">
        <v>2112</v>
      </c>
      <c r="B263" s="15" t="s">
        <v>2180</v>
      </c>
      <c r="C263" s="15" t="s">
        <v>1570</v>
      </c>
      <c r="D263" s="20" t="s">
        <v>2329</v>
      </c>
    </row>
    <row r="264" spans="1:4" x14ac:dyDescent="0.25">
      <c r="A264" s="15" t="s">
        <v>2112</v>
      </c>
      <c r="B264" s="15" t="s">
        <v>2180</v>
      </c>
      <c r="C264" s="15" t="s">
        <v>1761</v>
      </c>
      <c r="D264" s="20" t="s">
        <v>1818</v>
      </c>
    </row>
    <row r="265" spans="1:4" x14ac:dyDescent="0.25">
      <c r="A265" s="15" t="s">
        <v>2112</v>
      </c>
      <c r="B265" s="15" t="s">
        <v>2180</v>
      </c>
      <c r="C265" s="15" t="s">
        <v>1763</v>
      </c>
      <c r="D265" s="20" t="s">
        <v>1764</v>
      </c>
    </row>
    <row r="266" spans="1:4" x14ac:dyDescent="0.25">
      <c r="A266" s="15" t="s">
        <v>2112</v>
      </c>
      <c r="B266" s="15" t="s">
        <v>2180</v>
      </c>
      <c r="C266" s="15" t="s">
        <v>1762</v>
      </c>
      <c r="D266" s="20" t="s">
        <v>1819</v>
      </c>
    </row>
    <row r="267" spans="1:4" x14ac:dyDescent="0.25">
      <c r="A267" s="15" t="s">
        <v>2112</v>
      </c>
      <c r="B267" s="15" t="s">
        <v>2180</v>
      </c>
      <c r="C267" s="15" t="s">
        <v>1558</v>
      </c>
      <c r="D267" s="20" t="s">
        <v>2348</v>
      </c>
    </row>
    <row r="268" spans="1:4" x14ac:dyDescent="0.25">
      <c r="A268" s="15" t="s">
        <v>2112</v>
      </c>
      <c r="B268" s="15" t="s">
        <v>2180</v>
      </c>
      <c r="C268" s="15" t="s">
        <v>775</v>
      </c>
      <c r="D268" s="20" t="s">
        <v>2330</v>
      </c>
    </row>
    <row r="269" spans="1:4" x14ac:dyDescent="0.25">
      <c r="A269" s="15" t="s">
        <v>2112</v>
      </c>
      <c r="B269" s="15" t="s">
        <v>2180</v>
      </c>
      <c r="C269" s="15" t="s">
        <v>781</v>
      </c>
      <c r="D269" s="20" t="s">
        <v>782</v>
      </c>
    </row>
    <row r="270" spans="1:4" x14ac:dyDescent="0.25">
      <c r="A270" s="15" t="s">
        <v>2112</v>
      </c>
      <c r="B270" s="15" t="s">
        <v>2180</v>
      </c>
      <c r="C270" s="15" t="s">
        <v>1022</v>
      </c>
      <c r="D270" s="20" t="s">
        <v>2331</v>
      </c>
    </row>
    <row r="271" spans="1:4" x14ac:dyDescent="0.25">
      <c r="A271" s="15" t="s">
        <v>2112</v>
      </c>
      <c r="B271" s="15" t="s">
        <v>2180</v>
      </c>
      <c r="C271" s="15" t="s">
        <v>1562</v>
      </c>
      <c r="D271" s="20" t="s">
        <v>1043</v>
      </c>
    </row>
    <row r="272" spans="1:4" x14ac:dyDescent="0.25">
      <c r="A272" s="15" t="s">
        <v>2112</v>
      </c>
      <c r="B272" s="15" t="s">
        <v>2180</v>
      </c>
      <c r="C272" s="15" t="s">
        <v>783</v>
      </c>
      <c r="D272" s="20" t="s">
        <v>107</v>
      </c>
    </row>
    <row r="273" spans="1:4" x14ac:dyDescent="0.25">
      <c r="A273" s="15" t="s">
        <v>2112</v>
      </c>
      <c r="B273" s="15" t="s">
        <v>2180</v>
      </c>
      <c r="C273" s="15" t="s">
        <v>1561</v>
      </c>
      <c r="D273" s="20" t="s">
        <v>2296</v>
      </c>
    </row>
    <row r="274" spans="1:4" x14ac:dyDescent="0.25">
      <c r="A274" s="15" t="s">
        <v>2112</v>
      </c>
      <c r="B274" s="15" t="s">
        <v>2180</v>
      </c>
      <c r="C274" s="15" t="s">
        <v>2078</v>
      </c>
      <c r="D274" s="20" t="s">
        <v>2332</v>
      </c>
    </row>
    <row r="275" spans="1:4" x14ac:dyDescent="0.25">
      <c r="A275" s="15" t="s">
        <v>2112</v>
      </c>
      <c r="B275" s="15" t="s">
        <v>2180</v>
      </c>
      <c r="C275" s="15" t="s">
        <v>1534</v>
      </c>
      <c r="D275" s="20" t="s">
        <v>2349</v>
      </c>
    </row>
    <row r="276" spans="1:4" x14ac:dyDescent="0.25">
      <c r="A276" s="15" t="s">
        <v>2112</v>
      </c>
      <c r="B276" s="15" t="s">
        <v>2180</v>
      </c>
      <c r="C276" s="15" t="s">
        <v>1060</v>
      </c>
      <c r="D276" s="20" t="s">
        <v>1061</v>
      </c>
    </row>
    <row r="277" spans="1:4" x14ac:dyDescent="0.25">
      <c r="A277" s="15" t="s">
        <v>2112</v>
      </c>
      <c r="B277" s="15" t="s">
        <v>2180</v>
      </c>
      <c r="C277" s="15" t="s">
        <v>2121</v>
      </c>
      <c r="D277" s="20" t="s">
        <v>1814</v>
      </c>
    </row>
    <row r="278" spans="1:4" x14ac:dyDescent="0.25">
      <c r="A278" s="15" t="s">
        <v>2112</v>
      </c>
      <c r="B278" s="15" t="s">
        <v>2180</v>
      </c>
      <c r="C278" s="15" t="s">
        <v>2120</v>
      </c>
      <c r="D278" s="20" t="s">
        <v>1813</v>
      </c>
    </row>
    <row r="279" spans="1:4" x14ac:dyDescent="0.25">
      <c r="A279" s="15" t="s">
        <v>2112</v>
      </c>
      <c r="B279" s="15" t="s">
        <v>2180</v>
      </c>
      <c r="C279" s="15" t="s">
        <v>1440</v>
      </c>
      <c r="D279" s="20" t="s">
        <v>2333</v>
      </c>
    </row>
    <row r="280" spans="1:4" x14ac:dyDescent="0.25">
      <c r="A280" s="15" t="s">
        <v>2112</v>
      </c>
      <c r="B280" s="15" t="s">
        <v>2180</v>
      </c>
      <c r="C280" s="15" t="s">
        <v>1564</v>
      </c>
      <c r="D280" s="20" t="s">
        <v>2334</v>
      </c>
    </row>
    <row r="281" spans="1:4" x14ac:dyDescent="0.25">
      <c r="A281" s="15" t="s">
        <v>2112</v>
      </c>
      <c r="B281" s="15" t="s">
        <v>2180</v>
      </c>
      <c r="C281" s="15" t="s">
        <v>2119</v>
      </c>
      <c r="D281" s="20" t="s">
        <v>1816</v>
      </c>
    </row>
    <row r="282" spans="1:4" x14ac:dyDescent="0.25">
      <c r="A282" s="15" t="s">
        <v>2112</v>
      </c>
      <c r="B282" s="15" t="s">
        <v>2180</v>
      </c>
      <c r="C282" s="15" t="s">
        <v>1560</v>
      </c>
      <c r="D282" s="20" t="s">
        <v>2335</v>
      </c>
    </row>
    <row r="283" spans="1:4" x14ac:dyDescent="0.25">
      <c r="A283" s="15" t="s">
        <v>2112</v>
      </c>
      <c r="B283" s="15" t="s">
        <v>2180</v>
      </c>
      <c r="C283" s="15" t="s">
        <v>1569</v>
      </c>
      <c r="D283" s="20" t="s">
        <v>2311</v>
      </c>
    </row>
    <row r="284" spans="1:4" x14ac:dyDescent="0.25">
      <c r="A284" s="15" t="s">
        <v>2112</v>
      </c>
      <c r="B284" s="15" t="s">
        <v>2180</v>
      </c>
      <c r="C284" s="15" t="s">
        <v>1563</v>
      </c>
      <c r="D284" s="20" t="s">
        <v>2336</v>
      </c>
    </row>
    <row r="285" spans="1:4" x14ac:dyDescent="0.25">
      <c r="A285" s="15" t="s">
        <v>2112</v>
      </c>
      <c r="B285" s="15" t="s">
        <v>2180</v>
      </c>
      <c r="C285" s="15" t="s">
        <v>1571</v>
      </c>
      <c r="D285" s="20" t="s">
        <v>2337</v>
      </c>
    </row>
    <row r="286" spans="1:4" x14ac:dyDescent="0.25">
      <c r="A286" s="15" t="s">
        <v>2112</v>
      </c>
      <c r="B286" s="15" t="s">
        <v>2180</v>
      </c>
      <c r="C286" s="15" t="s">
        <v>1758</v>
      </c>
      <c r="D286" s="20" t="s">
        <v>1817</v>
      </c>
    </row>
    <row r="287" spans="1:4" x14ac:dyDescent="0.25">
      <c r="A287" s="15" t="s">
        <v>2112</v>
      </c>
      <c r="B287" s="15" t="s">
        <v>2180</v>
      </c>
      <c r="C287" s="15" t="s">
        <v>1770</v>
      </c>
      <c r="D287" s="20" t="s">
        <v>1821</v>
      </c>
    </row>
    <row r="288" spans="1:4" x14ac:dyDescent="0.25">
      <c r="A288" s="15" t="s">
        <v>2112</v>
      </c>
      <c r="B288" s="15" t="s">
        <v>2180</v>
      </c>
      <c r="C288" s="15" t="s">
        <v>1765</v>
      </c>
      <c r="D288" s="20" t="s">
        <v>1766</v>
      </c>
    </row>
    <row r="289" spans="1:4" x14ac:dyDescent="0.25">
      <c r="A289" s="15" t="s">
        <v>2112</v>
      </c>
      <c r="B289" s="15" t="s">
        <v>2180</v>
      </c>
      <c r="C289" s="15" t="s">
        <v>1769</v>
      </c>
      <c r="D289" s="20" t="s">
        <v>1820</v>
      </c>
    </row>
    <row r="290" spans="1:4" x14ac:dyDescent="0.25">
      <c r="A290" s="15" t="s">
        <v>2112</v>
      </c>
      <c r="B290" s="15" t="s">
        <v>2180</v>
      </c>
      <c r="C290" s="15" t="s">
        <v>1767</v>
      </c>
      <c r="D290" s="20" t="s">
        <v>1768</v>
      </c>
    </row>
    <row r="291" spans="1:4" x14ac:dyDescent="0.25">
      <c r="A291" s="15" t="s">
        <v>2112</v>
      </c>
      <c r="B291" s="15" t="s">
        <v>2180</v>
      </c>
      <c r="C291" s="15" t="s">
        <v>1771</v>
      </c>
      <c r="D291" s="20" t="s">
        <v>1772</v>
      </c>
    </row>
    <row r="292" spans="1:4" x14ac:dyDescent="0.25">
      <c r="A292" s="15" t="s">
        <v>2112</v>
      </c>
      <c r="B292" s="15" t="s">
        <v>2180</v>
      </c>
      <c r="C292" s="15" t="s">
        <v>1759</v>
      </c>
      <c r="D292" s="20" t="s">
        <v>1760</v>
      </c>
    </row>
    <row r="293" spans="1:4" x14ac:dyDescent="0.25">
      <c r="A293" s="15" t="s">
        <v>2112</v>
      </c>
      <c r="B293" s="15" t="s">
        <v>2180</v>
      </c>
      <c r="C293" s="15" t="s">
        <v>1425</v>
      </c>
      <c r="D293" s="20" t="s">
        <v>2350</v>
      </c>
    </row>
    <row r="294" spans="1:4" x14ac:dyDescent="0.25">
      <c r="A294" s="15" t="s">
        <v>2112</v>
      </c>
      <c r="B294" s="15" t="s">
        <v>2180</v>
      </c>
      <c r="C294" s="15" t="s">
        <v>32</v>
      </c>
      <c r="D294" s="20" t="s">
        <v>2338</v>
      </c>
    </row>
    <row r="295" spans="1:4" x14ac:dyDescent="0.25">
      <c r="A295" s="15" t="s">
        <v>2112</v>
      </c>
      <c r="B295" s="15" t="s">
        <v>2180</v>
      </c>
      <c r="C295" s="15" t="s">
        <v>64</v>
      </c>
      <c r="D295" s="20" t="s">
        <v>1702</v>
      </c>
    </row>
    <row r="296" spans="1:4" x14ac:dyDescent="0.25">
      <c r="A296" s="15" t="s">
        <v>2112</v>
      </c>
      <c r="B296" s="15" t="s">
        <v>2180</v>
      </c>
      <c r="C296" s="15" t="s">
        <v>34</v>
      </c>
      <c r="D296" s="20" t="s">
        <v>2351</v>
      </c>
    </row>
    <row r="297" spans="1:4" x14ac:dyDescent="0.25">
      <c r="A297" s="15" t="s">
        <v>2112</v>
      </c>
      <c r="B297" s="15" t="s">
        <v>2180</v>
      </c>
      <c r="C297" s="15" t="s">
        <v>1024</v>
      </c>
      <c r="D297" s="20" t="s">
        <v>1025</v>
      </c>
    </row>
    <row r="298" spans="1:4" x14ac:dyDescent="0.25">
      <c r="A298" s="15" t="s">
        <v>2112</v>
      </c>
      <c r="B298" s="15" t="s">
        <v>2163</v>
      </c>
      <c r="C298" s="15" t="s">
        <v>2165</v>
      </c>
      <c r="D298" s="20" t="s">
        <v>2101</v>
      </c>
    </row>
    <row r="299" spans="1:4" x14ac:dyDescent="0.25">
      <c r="A299" s="15" t="s">
        <v>2112</v>
      </c>
      <c r="B299" s="15" t="s">
        <v>2164</v>
      </c>
      <c r="C299" s="15" t="s">
        <v>2165</v>
      </c>
      <c r="D299" s="20" t="s">
        <v>2101</v>
      </c>
    </row>
    <row r="300" spans="1:4" x14ac:dyDescent="0.25">
      <c r="A300" s="15" t="s">
        <v>2112</v>
      </c>
      <c r="B300" s="15" t="s">
        <v>2184</v>
      </c>
      <c r="C300" s="15" t="s">
        <v>2167</v>
      </c>
      <c r="D300" s="20" t="s">
        <v>1639</v>
      </c>
    </row>
    <row r="301" spans="1:4" x14ac:dyDescent="0.25">
      <c r="A301" s="15" t="s">
        <v>2112</v>
      </c>
      <c r="B301" s="15" t="s">
        <v>2184</v>
      </c>
      <c r="C301" s="15" t="s">
        <v>2168</v>
      </c>
      <c r="D301" s="20" t="s">
        <v>1640</v>
      </c>
    </row>
    <row r="302" spans="1:4" x14ac:dyDescent="0.25">
      <c r="A302" s="15" t="s">
        <v>2112</v>
      </c>
      <c r="B302" s="15" t="s">
        <v>2184</v>
      </c>
      <c r="C302" s="15" t="s">
        <v>2169</v>
      </c>
      <c r="D302" s="20" t="s">
        <v>2166</v>
      </c>
    </row>
    <row r="303" spans="1:4" x14ac:dyDescent="0.25">
      <c r="A303" s="15" t="s">
        <v>2112</v>
      </c>
      <c r="B303" s="15" t="s">
        <v>2185</v>
      </c>
      <c r="C303" s="15" t="s">
        <v>2167</v>
      </c>
      <c r="D303" s="20" t="s">
        <v>1639</v>
      </c>
    </row>
    <row r="304" spans="1:4" x14ac:dyDescent="0.25">
      <c r="A304" s="15" t="s">
        <v>2112</v>
      </c>
      <c r="B304" s="15" t="s">
        <v>2185</v>
      </c>
      <c r="C304" s="15" t="s">
        <v>2170</v>
      </c>
      <c r="D304" s="20" t="s">
        <v>2173</v>
      </c>
    </row>
    <row r="305" spans="1:4" x14ac:dyDescent="0.25">
      <c r="A305" s="15" t="s">
        <v>2112</v>
      </c>
      <c r="B305" s="15" t="s">
        <v>2185</v>
      </c>
      <c r="C305" s="15" t="s">
        <v>2168</v>
      </c>
      <c r="D305" s="20" t="s">
        <v>1640</v>
      </c>
    </row>
    <row r="306" spans="1:4" x14ac:dyDescent="0.25">
      <c r="A306" s="15" t="s">
        <v>2112</v>
      </c>
      <c r="B306" s="15" t="s">
        <v>2185</v>
      </c>
      <c r="C306" s="15" t="s">
        <v>2171</v>
      </c>
      <c r="D306" s="20" t="s">
        <v>2174</v>
      </c>
    </row>
    <row r="307" spans="1:4" x14ac:dyDescent="0.25">
      <c r="A307" s="15" t="s">
        <v>2112</v>
      </c>
      <c r="B307" s="15" t="s">
        <v>2185</v>
      </c>
      <c r="C307" s="15" t="s">
        <v>2169</v>
      </c>
      <c r="D307" s="20" t="s">
        <v>2166</v>
      </c>
    </row>
    <row r="308" spans="1:4" x14ac:dyDescent="0.25">
      <c r="A308" s="15" t="s">
        <v>2112</v>
      </c>
      <c r="B308" s="15" t="s">
        <v>2185</v>
      </c>
      <c r="C308" s="15" t="s">
        <v>2172</v>
      </c>
      <c r="D308" s="20" t="s">
        <v>2175</v>
      </c>
    </row>
    <row r="309" spans="1:4" x14ac:dyDescent="0.25">
      <c r="A309" s="15" t="s">
        <v>2112</v>
      </c>
      <c r="B309" s="15" t="s">
        <v>1644</v>
      </c>
      <c r="C309" s="15" t="s">
        <v>1513</v>
      </c>
      <c r="D309" s="20" t="s">
        <v>1653</v>
      </c>
    </row>
    <row r="310" spans="1:4" x14ac:dyDescent="0.25">
      <c r="A310" s="15" t="s">
        <v>2112</v>
      </c>
      <c r="B310" s="15" t="s">
        <v>1644</v>
      </c>
      <c r="C310" s="15" t="s">
        <v>1516</v>
      </c>
      <c r="D310" s="20" t="s">
        <v>1636</v>
      </c>
    </row>
    <row r="311" spans="1:4" x14ac:dyDescent="0.25">
      <c r="A311" s="15" t="s">
        <v>2112</v>
      </c>
      <c r="B311" s="15" t="s">
        <v>1647</v>
      </c>
      <c r="C311" s="15" t="s">
        <v>1513</v>
      </c>
      <c r="D311" s="20" t="s">
        <v>1653</v>
      </c>
    </row>
    <row r="312" spans="1:4" x14ac:dyDescent="0.25">
      <c r="A312" s="15" t="s">
        <v>2112</v>
      </c>
      <c r="B312" s="15" t="s">
        <v>1647</v>
      </c>
      <c r="C312" s="15" t="s">
        <v>1516</v>
      </c>
      <c r="D312" s="20" t="s">
        <v>1636</v>
      </c>
    </row>
    <row r="313" spans="1:4" x14ac:dyDescent="0.25">
      <c r="A313" s="15" t="s">
        <v>2112</v>
      </c>
      <c r="B313" s="15" t="s">
        <v>1645</v>
      </c>
      <c r="C313" s="15" t="s">
        <v>2090</v>
      </c>
      <c r="D313" s="20" t="s">
        <v>2101</v>
      </c>
    </row>
    <row r="314" spans="1:4" x14ac:dyDescent="0.25">
      <c r="A314" s="15" t="s">
        <v>2112</v>
      </c>
      <c r="B314" s="15" t="s">
        <v>1645</v>
      </c>
      <c r="C314" s="15" t="s">
        <v>1514</v>
      </c>
      <c r="D314" s="20" t="s">
        <v>1635</v>
      </c>
    </row>
    <row r="315" spans="1:4" x14ac:dyDescent="0.25">
      <c r="A315" s="15" t="s">
        <v>2112</v>
      </c>
      <c r="B315" s="15" t="s">
        <v>1645</v>
      </c>
      <c r="C315" s="15" t="s">
        <v>1517</v>
      </c>
      <c r="D315" s="20" t="s">
        <v>1637</v>
      </c>
    </row>
    <row r="316" spans="1:4" x14ac:dyDescent="0.25">
      <c r="A316" s="15" t="s">
        <v>2112</v>
      </c>
      <c r="B316" s="15" t="s">
        <v>1648</v>
      </c>
      <c r="C316" s="15" t="s">
        <v>2090</v>
      </c>
      <c r="D316" s="20" t="s">
        <v>2101</v>
      </c>
    </row>
    <row r="317" spans="1:4" x14ac:dyDescent="0.25">
      <c r="A317" s="15" t="s">
        <v>2112</v>
      </c>
      <c r="B317" s="15" t="s">
        <v>1648</v>
      </c>
      <c r="C317" s="15" t="s">
        <v>1514</v>
      </c>
      <c r="D317" s="20" t="s">
        <v>1635</v>
      </c>
    </row>
    <row r="318" spans="1:4" x14ac:dyDescent="0.25">
      <c r="A318" s="15" t="s">
        <v>2112</v>
      </c>
      <c r="B318" s="15" t="s">
        <v>1648</v>
      </c>
      <c r="C318" s="15" t="s">
        <v>1517</v>
      </c>
      <c r="D318" s="20" t="s">
        <v>1637</v>
      </c>
    </row>
    <row r="319" spans="1:4" x14ac:dyDescent="0.25">
      <c r="A319" s="15" t="s">
        <v>2112</v>
      </c>
      <c r="B319" s="15" t="s">
        <v>2198</v>
      </c>
      <c r="C319" s="15" t="s">
        <v>1649</v>
      </c>
      <c r="D319" s="20" t="s">
        <v>1667</v>
      </c>
    </row>
    <row r="320" spans="1:4" x14ac:dyDescent="0.25">
      <c r="A320" s="15" t="s">
        <v>2112</v>
      </c>
      <c r="B320" s="15" t="s">
        <v>2198</v>
      </c>
      <c r="C320" s="15" t="s">
        <v>2200</v>
      </c>
      <c r="D320" s="20" t="s">
        <v>2101</v>
      </c>
    </row>
    <row r="321" spans="1:4" x14ac:dyDescent="0.25">
      <c r="A321" s="15" t="s">
        <v>2112</v>
      </c>
      <c r="B321" s="15" t="s">
        <v>2198</v>
      </c>
      <c r="C321" s="15" t="s">
        <v>2199</v>
      </c>
      <c r="D321" s="20" t="s">
        <v>1666</v>
      </c>
    </row>
    <row r="322" spans="1:4" x14ac:dyDescent="0.25">
      <c r="A322" s="15" t="s">
        <v>2112</v>
      </c>
      <c r="B322" s="15" t="s">
        <v>2201</v>
      </c>
      <c r="C322" s="15" t="s">
        <v>1649</v>
      </c>
      <c r="D322" s="20" t="s">
        <v>1667</v>
      </c>
    </row>
    <row r="323" spans="1:4" x14ac:dyDescent="0.25">
      <c r="A323" s="15" t="s">
        <v>2112</v>
      </c>
      <c r="B323" s="15" t="s">
        <v>2201</v>
      </c>
      <c r="C323" s="15" t="s">
        <v>2200</v>
      </c>
      <c r="D323" s="20" t="s">
        <v>2101</v>
      </c>
    </row>
    <row r="324" spans="1:4" x14ac:dyDescent="0.25">
      <c r="A324" s="15" t="s">
        <v>2112</v>
      </c>
      <c r="B324" s="15" t="s">
        <v>2201</v>
      </c>
      <c r="C324" s="15" t="s">
        <v>2104</v>
      </c>
      <c r="D324" s="20" t="s">
        <v>2105</v>
      </c>
    </row>
    <row r="325" spans="1:4" x14ac:dyDescent="0.25">
      <c r="A325" s="15" t="s">
        <v>2112</v>
      </c>
      <c r="B325" s="15" t="s">
        <v>2201</v>
      </c>
      <c r="C325" s="15" t="s">
        <v>2199</v>
      </c>
      <c r="D325" s="20" t="s">
        <v>1666</v>
      </c>
    </row>
    <row r="326" spans="1:4" x14ac:dyDescent="0.25">
      <c r="A326" s="15" t="s">
        <v>2112</v>
      </c>
      <c r="B326" s="15" t="s">
        <v>2188</v>
      </c>
      <c r="C326" s="15" t="s">
        <v>1520</v>
      </c>
      <c r="D326" s="20" t="s">
        <v>1316</v>
      </c>
    </row>
    <row r="327" spans="1:4" x14ac:dyDescent="0.25">
      <c r="A327" s="15" t="s">
        <v>2112</v>
      </c>
      <c r="B327" s="15" t="s">
        <v>2189</v>
      </c>
      <c r="C327" s="15" t="s">
        <v>1520</v>
      </c>
      <c r="D327" s="20" t="s">
        <v>1316</v>
      </c>
    </row>
    <row r="328" spans="1:4" x14ac:dyDescent="0.25">
      <c r="A328" s="15" t="s">
        <v>2112</v>
      </c>
      <c r="B328" s="15" t="s">
        <v>2181</v>
      </c>
      <c r="C328" s="15" t="s">
        <v>2183</v>
      </c>
      <c r="D328" s="20" t="s">
        <v>1638</v>
      </c>
    </row>
    <row r="329" spans="1:4" x14ac:dyDescent="0.25">
      <c r="A329" s="15" t="s">
        <v>2112</v>
      </c>
      <c r="B329" s="15" t="s">
        <v>2182</v>
      </c>
      <c r="C329" s="15" t="s">
        <v>2183</v>
      </c>
      <c r="D329" s="20" t="s">
        <v>1638</v>
      </c>
    </row>
    <row r="330" spans="1:4" x14ac:dyDescent="0.25">
      <c r="A330" s="15" t="s">
        <v>2112</v>
      </c>
      <c r="B330" s="15" t="s">
        <v>1643</v>
      </c>
      <c r="C330" s="15" t="s">
        <v>1518</v>
      </c>
      <c r="D330" s="20" t="s">
        <v>1633</v>
      </c>
    </row>
    <row r="331" spans="1:4" x14ac:dyDescent="0.25">
      <c r="A331" s="15" t="s">
        <v>2112</v>
      </c>
      <c r="B331" s="15" t="s">
        <v>1643</v>
      </c>
      <c r="C331" s="15" t="s">
        <v>1519</v>
      </c>
      <c r="D331" s="20" t="s">
        <v>1634</v>
      </c>
    </row>
    <row r="332" spans="1:4" x14ac:dyDescent="0.25">
      <c r="A332" s="15" t="s">
        <v>2112</v>
      </c>
      <c r="B332" s="15" t="s">
        <v>1646</v>
      </c>
      <c r="C332" s="15" t="s">
        <v>1518</v>
      </c>
      <c r="D332" s="20" t="s">
        <v>1633</v>
      </c>
    </row>
    <row r="333" spans="1:4" x14ac:dyDescent="0.25">
      <c r="A333" s="15" t="s">
        <v>2112</v>
      </c>
      <c r="B333" s="15" t="s">
        <v>1646</v>
      </c>
      <c r="C333" s="15" t="s">
        <v>1519</v>
      </c>
      <c r="D333" s="20" t="s">
        <v>1634</v>
      </c>
    </row>
    <row r="334" spans="1:4" x14ac:dyDescent="0.25">
      <c r="A334" s="15" t="s">
        <v>2112</v>
      </c>
      <c r="B334" s="15" t="s">
        <v>2186</v>
      </c>
      <c r="C334" s="15" t="s">
        <v>1456</v>
      </c>
      <c r="D334" s="20" t="s">
        <v>915</v>
      </c>
    </row>
    <row r="335" spans="1:4" x14ac:dyDescent="0.25">
      <c r="A335" s="15" t="s">
        <v>2112</v>
      </c>
      <c r="B335" s="15" t="s">
        <v>2187</v>
      </c>
      <c r="C335" s="15" t="s">
        <v>1456</v>
      </c>
      <c r="D335" s="20" t="s">
        <v>2352</v>
      </c>
    </row>
    <row r="336" spans="1:4" x14ac:dyDescent="0.25">
      <c r="A336" s="15" t="s">
        <v>2112</v>
      </c>
      <c r="B336" s="15" t="s">
        <v>2071</v>
      </c>
      <c r="C336" s="15" t="s">
        <v>2071</v>
      </c>
      <c r="D336" s="20" t="s">
        <v>2353</v>
      </c>
    </row>
    <row r="337" spans="1:4" x14ac:dyDescent="0.25">
      <c r="A337" s="15" t="s">
        <v>2112</v>
      </c>
      <c r="B337" s="15" t="s">
        <v>2069</v>
      </c>
      <c r="C337" s="15" t="s">
        <v>1840</v>
      </c>
      <c r="D337" s="20" t="s">
        <v>1310</v>
      </c>
    </row>
    <row r="338" spans="1:4" x14ac:dyDescent="0.25">
      <c r="A338" s="15" t="s">
        <v>2112</v>
      </c>
      <c r="B338" s="15" t="s">
        <v>2069</v>
      </c>
      <c r="C338" s="15" t="s">
        <v>1839</v>
      </c>
      <c r="D338" s="20" t="s">
        <v>1275</v>
      </c>
    </row>
    <row r="339" spans="1:4" x14ac:dyDescent="0.25">
      <c r="A339" s="15" t="s">
        <v>2112</v>
      </c>
      <c r="B339" s="15" t="s">
        <v>1499</v>
      </c>
      <c r="C339" s="15" t="s">
        <v>1499</v>
      </c>
      <c r="D339" s="20" t="s">
        <v>1703</v>
      </c>
    </row>
    <row r="340" spans="1:4" x14ac:dyDescent="0.25">
      <c r="A340" s="15" t="s">
        <v>1512</v>
      </c>
      <c r="B340" s="15" t="s">
        <v>1845</v>
      </c>
      <c r="C340" s="15" t="s">
        <v>1846</v>
      </c>
      <c r="D340" s="20" t="s">
        <v>873</v>
      </c>
    </row>
    <row r="341" spans="1:4" x14ac:dyDescent="0.25">
      <c r="A341" s="15" t="s">
        <v>1512</v>
      </c>
      <c r="B341" s="15" t="s">
        <v>1598</v>
      </c>
      <c r="C341" s="15" t="s">
        <v>1604</v>
      </c>
      <c r="D341" s="20" t="s">
        <v>2203</v>
      </c>
    </row>
    <row r="342" spans="1:4" x14ac:dyDescent="0.25">
      <c r="A342" s="15" t="s">
        <v>1512</v>
      </c>
      <c r="B342" s="15" t="s">
        <v>1598</v>
      </c>
      <c r="C342" s="15" t="s">
        <v>1585</v>
      </c>
      <c r="D342" s="20" t="s">
        <v>846</v>
      </c>
    </row>
    <row r="343" spans="1:4" x14ac:dyDescent="0.25">
      <c r="A343" s="15" t="s">
        <v>1512</v>
      </c>
      <c r="B343" s="15" t="s">
        <v>1528</v>
      </c>
      <c r="C343" s="15" t="s">
        <v>1584</v>
      </c>
      <c r="D343" s="20" t="s">
        <v>866</v>
      </c>
    </row>
    <row r="344" spans="1:4" x14ac:dyDescent="0.25">
      <c r="A344" s="15" t="s">
        <v>1512</v>
      </c>
      <c r="B344" s="15" t="s">
        <v>1493</v>
      </c>
      <c r="C344" s="15" t="s">
        <v>1711</v>
      </c>
      <c r="D344" s="20" t="s">
        <v>1709</v>
      </c>
    </row>
    <row r="345" spans="1:4" x14ac:dyDescent="0.25">
      <c r="A345" s="15" t="s">
        <v>1512</v>
      </c>
      <c r="B345" s="15" t="s">
        <v>1493</v>
      </c>
      <c r="C345" s="15" t="s">
        <v>1712</v>
      </c>
      <c r="D345" s="20" t="s">
        <v>1710</v>
      </c>
    </row>
    <row r="346" spans="1:4" x14ac:dyDescent="0.25">
      <c r="A346" s="15" t="s">
        <v>1512</v>
      </c>
      <c r="B346" s="15" t="s">
        <v>1597</v>
      </c>
      <c r="C346" s="15" t="s">
        <v>1588</v>
      </c>
      <c r="D346" s="20" t="s">
        <v>1691</v>
      </c>
    </row>
    <row r="347" spans="1:4" x14ac:dyDescent="0.25">
      <c r="A347" s="15" t="s">
        <v>1512</v>
      </c>
      <c r="B347" s="15" t="s">
        <v>1596</v>
      </c>
      <c r="C347" s="15" t="s">
        <v>1587</v>
      </c>
      <c r="D347" s="20" t="s">
        <v>1692</v>
      </c>
    </row>
    <row r="348" spans="1:4" x14ac:dyDescent="0.25">
      <c r="A348" s="15" t="s">
        <v>1512</v>
      </c>
      <c r="B348" s="15" t="s">
        <v>1844</v>
      </c>
      <c r="C348" s="15" t="s">
        <v>1588</v>
      </c>
      <c r="D348" s="20" t="s">
        <v>1843</v>
      </c>
    </row>
    <row r="349" spans="1:4" x14ac:dyDescent="0.25">
      <c r="A349" s="15" t="s">
        <v>1512</v>
      </c>
      <c r="B349" s="15" t="s">
        <v>1599</v>
      </c>
      <c r="C349" s="15" t="s">
        <v>1559</v>
      </c>
      <c r="D349" s="20" t="s">
        <v>875</v>
      </c>
    </row>
    <row r="350" spans="1:4" x14ac:dyDescent="0.25">
      <c r="A350" s="15" t="s">
        <v>1512</v>
      </c>
      <c r="B350" s="15" t="s">
        <v>1835</v>
      </c>
      <c r="C350" s="15" t="s">
        <v>1836</v>
      </c>
      <c r="D350" s="20" t="s">
        <v>820</v>
      </c>
    </row>
    <row r="351" spans="1:4" x14ac:dyDescent="0.25">
      <c r="A351" s="15" t="s">
        <v>1512</v>
      </c>
      <c r="B351" s="15" t="s">
        <v>1576</v>
      </c>
      <c r="C351" s="15" t="s">
        <v>1577</v>
      </c>
      <c r="D351" s="20" t="s">
        <v>836</v>
      </c>
    </row>
    <row r="352" spans="1:4" x14ac:dyDescent="0.25">
      <c r="A352" s="15" t="s">
        <v>1512</v>
      </c>
      <c r="B352" s="15" t="s">
        <v>1555</v>
      </c>
      <c r="C352" s="15" t="s">
        <v>1602</v>
      </c>
      <c r="D352" s="20" t="s">
        <v>840</v>
      </c>
    </row>
    <row r="353" spans="1:4" x14ac:dyDescent="0.25">
      <c r="A353" s="15" t="s">
        <v>1512</v>
      </c>
      <c r="B353" s="15" t="s">
        <v>1526</v>
      </c>
      <c r="C353" s="15" t="s">
        <v>1583</v>
      </c>
      <c r="D353" s="20" t="s">
        <v>2202</v>
      </c>
    </row>
    <row r="354" spans="1:4" x14ac:dyDescent="0.25">
      <c r="A354" s="27" t="s">
        <v>2116</v>
      </c>
      <c r="B354" s="27" t="s">
        <v>1642</v>
      </c>
      <c r="C354" s="27" t="s">
        <v>1642</v>
      </c>
      <c r="D354" s="28" t="s">
        <v>1831</v>
      </c>
    </row>
    <row r="355" spans="1:4" x14ac:dyDescent="0.25">
      <c r="A355" s="27" t="s">
        <v>2116</v>
      </c>
      <c r="B355" s="27" t="s">
        <v>1641</v>
      </c>
      <c r="C355" s="27" t="s">
        <v>1641</v>
      </c>
      <c r="D355" s="28" t="s">
        <v>1838</v>
      </c>
    </row>
    <row r="356" spans="1:4" x14ac:dyDescent="0.25">
      <c r="A356" s="27" t="s">
        <v>2116</v>
      </c>
      <c r="B356" s="27" t="s">
        <v>1963</v>
      </c>
      <c r="C356" s="27" t="s">
        <v>1981</v>
      </c>
      <c r="D356" s="28" t="s">
        <v>674</v>
      </c>
    </row>
    <row r="357" spans="1:4" x14ac:dyDescent="0.25">
      <c r="A357" s="27" t="s">
        <v>2116</v>
      </c>
      <c r="B357" s="27" t="s">
        <v>1963</v>
      </c>
      <c r="C357" s="27" t="s">
        <v>1970</v>
      </c>
      <c r="D357" s="28" t="s">
        <v>672</v>
      </c>
    </row>
    <row r="358" spans="1:4" x14ac:dyDescent="0.25">
      <c r="A358" s="27" t="s">
        <v>2116</v>
      </c>
      <c r="B358" s="27" t="s">
        <v>1963</v>
      </c>
      <c r="C358" s="27" t="s">
        <v>1982</v>
      </c>
      <c r="D358" s="28" t="s">
        <v>614</v>
      </c>
    </row>
    <row r="359" spans="1:4" x14ac:dyDescent="0.25">
      <c r="A359" s="27" t="s">
        <v>2116</v>
      </c>
      <c r="B359" s="27" t="s">
        <v>1963</v>
      </c>
      <c r="C359" s="27" t="s">
        <v>1971</v>
      </c>
      <c r="D359" s="28" t="s">
        <v>612</v>
      </c>
    </row>
    <row r="360" spans="1:4" x14ac:dyDescent="0.25">
      <c r="A360" s="27" t="s">
        <v>2116</v>
      </c>
      <c r="B360" s="27" t="s">
        <v>1963</v>
      </c>
      <c r="C360" s="27" t="s">
        <v>1983</v>
      </c>
      <c r="D360" s="28" t="s">
        <v>618</v>
      </c>
    </row>
    <row r="361" spans="1:4" x14ac:dyDescent="0.25">
      <c r="A361" s="27" t="s">
        <v>2116</v>
      </c>
      <c r="B361" s="27" t="s">
        <v>1963</v>
      </c>
      <c r="C361" s="27" t="s">
        <v>1972</v>
      </c>
      <c r="D361" s="28" t="s">
        <v>616</v>
      </c>
    </row>
    <row r="362" spans="1:4" x14ac:dyDescent="0.25">
      <c r="A362" s="27" t="s">
        <v>2116</v>
      </c>
      <c r="B362" s="27" t="s">
        <v>1963</v>
      </c>
      <c r="C362" s="27" t="s">
        <v>1974</v>
      </c>
      <c r="D362" s="28" t="s">
        <v>686</v>
      </c>
    </row>
    <row r="363" spans="1:4" x14ac:dyDescent="0.25">
      <c r="A363" s="27" t="s">
        <v>2116</v>
      </c>
      <c r="B363" s="27" t="s">
        <v>1963</v>
      </c>
      <c r="C363" s="27" t="s">
        <v>1975</v>
      </c>
      <c r="D363" s="28" t="s">
        <v>563</v>
      </c>
    </row>
    <row r="364" spans="1:4" x14ac:dyDescent="0.25">
      <c r="A364" s="27" t="s">
        <v>2116</v>
      </c>
      <c r="B364" s="27" t="s">
        <v>1963</v>
      </c>
      <c r="C364" s="27" t="s">
        <v>1973</v>
      </c>
      <c r="D364" s="28" t="s">
        <v>520</v>
      </c>
    </row>
    <row r="365" spans="1:4" x14ac:dyDescent="0.25">
      <c r="A365" s="27" t="s">
        <v>2116</v>
      </c>
      <c r="B365" s="27" t="s">
        <v>1963</v>
      </c>
      <c r="C365" s="27" t="s">
        <v>1976</v>
      </c>
      <c r="D365" s="28" t="s">
        <v>168</v>
      </c>
    </row>
    <row r="366" spans="1:4" x14ac:dyDescent="0.25">
      <c r="A366" s="27" t="s">
        <v>2116</v>
      </c>
      <c r="B366" s="27" t="s">
        <v>1963</v>
      </c>
      <c r="C366" s="27" t="s">
        <v>1984</v>
      </c>
      <c r="D366" s="28" t="s">
        <v>678</v>
      </c>
    </row>
    <row r="367" spans="1:4" x14ac:dyDescent="0.25">
      <c r="A367" s="27" t="s">
        <v>2116</v>
      </c>
      <c r="B367" s="27" t="s">
        <v>1963</v>
      </c>
      <c r="C367" s="27" t="s">
        <v>1977</v>
      </c>
      <c r="D367" s="28" t="s">
        <v>676</v>
      </c>
    </row>
    <row r="368" spans="1:4" x14ac:dyDescent="0.25">
      <c r="A368" s="27" t="s">
        <v>2116</v>
      </c>
      <c r="B368" s="27" t="s">
        <v>1963</v>
      </c>
      <c r="C368" s="27" t="s">
        <v>1980</v>
      </c>
      <c r="D368" s="28" t="s">
        <v>1673</v>
      </c>
    </row>
    <row r="369" spans="1:4" x14ac:dyDescent="0.25">
      <c r="A369" s="27" t="s">
        <v>2116</v>
      </c>
      <c r="B369" s="27" t="s">
        <v>1963</v>
      </c>
      <c r="C369" s="27" t="s">
        <v>1985</v>
      </c>
      <c r="D369" s="28" t="s">
        <v>624</v>
      </c>
    </row>
    <row r="370" spans="1:4" x14ac:dyDescent="0.25">
      <c r="A370" s="27" t="s">
        <v>2116</v>
      </c>
      <c r="B370" s="27" t="s">
        <v>1963</v>
      </c>
      <c r="C370" s="27" t="s">
        <v>1979</v>
      </c>
      <c r="D370" s="28" t="s">
        <v>622</v>
      </c>
    </row>
    <row r="371" spans="1:4" x14ac:dyDescent="0.25">
      <c r="A371" s="27" t="s">
        <v>2116</v>
      </c>
      <c r="B371" s="27" t="s">
        <v>1963</v>
      </c>
      <c r="C371" s="27" t="s">
        <v>1992</v>
      </c>
      <c r="D371" s="28" t="s">
        <v>620</v>
      </c>
    </row>
    <row r="372" spans="1:4" x14ac:dyDescent="0.25">
      <c r="A372" s="27" t="s">
        <v>2116</v>
      </c>
      <c r="B372" s="27" t="s">
        <v>1963</v>
      </c>
      <c r="C372" s="27" t="s">
        <v>1986</v>
      </c>
      <c r="D372" s="28" t="s">
        <v>632</v>
      </c>
    </row>
    <row r="373" spans="1:4" x14ac:dyDescent="0.25">
      <c r="A373" s="27" t="s">
        <v>2116</v>
      </c>
      <c r="B373" s="27" t="s">
        <v>1963</v>
      </c>
      <c r="C373" s="27" t="s">
        <v>2013</v>
      </c>
      <c r="D373" s="28" t="s">
        <v>630</v>
      </c>
    </row>
    <row r="374" spans="1:4" x14ac:dyDescent="0.25">
      <c r="A374" s="27" t="s">
        <v>2116</v>
      </c>
      <c r="B374" s="27" t="s">
        <v>1963</v>
      </c>
      <c r="C374" s="27" t="s">
        <v>1968</v>
      </c>
      <c r="D374" s="27" t="s">
        <v>245</v>
      </c>
    </row>
    <row r="375" spans="1:4" x14ac:dyDescent="0.25">
      <c r="A375" s="27" t="s">
        <v>2116</v>
      </c>
      <c r="B375" s="27" t="s">
        <v>1963</v>
      </c>
      <c r="C375" s="27" t="s">
        <v>1969</v>
      </c>
      <c r="D375" s="27" t="s">
        <v>247</v>
      </c>
    </row>
    <row r="376" spans="1:4" x14ac:dyDescent="0.25">
      <c r="A376" s="27" t="s">
        <v>2116</v>
      </c>
      <c r="B376" s="27" t="s">
        <v>1963</v>
      </c>
      <c r="C376" s="27" t="s">
        <v>1987</v>
      </c>
      <c r="D376" s="27" t="s">
        <v>1780</v>
      </c>
    </row>
    <row r="377" spans="1:4" x14ac:dyDescent="0.25">
      <c r="A377" s="27" t="s">
        <v>2116</v>
      </c>
      <c r="B377" s="27" t="s">
        <v>1963</v>
      </c>
      <c r="C377" s="27" t="s">
        <v>2204</v>
      </c>
      <c r="D377" s="28" t="s">
        <v>636</v>
      </c>
    </row>
    <row r="378" spans="1:4" x14ac:dyDescent="0.25">
      <c r="A378" s="27" t="s">
        <v>2116</v>
      </c>
      <c r="B378" s="27" t="s">
        <v>1963</v>
      </c>
      <c r="C378" s="27" t="s">
        <v>2006</v>
      </c>
      <c r="D378" s="28" t="s">
        <v>494</v>
      </c>
    </row>
    <row r="379" spans="1:4" x14ac:dyDescent="0.25">
      <c r="A379" s="27" t="s">
        <v>2116</v>
      </c>
      <c r="B379" s="27" t="s">
        <v>1963</v>
      </c>
      <c r="C379" s="27" t="s">
        <v>2005</v>
      </c>
      <c r="D379" s="28" t="s">
        <v>496</v>
      </c>
    </row>
    <row r="380" spans="1:4" x14ac:dyDescent="0.25">
      <c r="A380" s="27" t="s">
        <v>2116</v>
      </c>
      <c r="B380" s="27" t="s">
        <v>1963</v>
      </c>
      <c r="C380" s="27" t="s">
        <v>1988</v>
      </c>
      <c r="D380" s="27" t="s">
        <v>634</v>
      </c>
    </row>
    <row r="381" spans="1:4" x14ac:dyDescent="0.25">
      <c r="A381" s="27" t="s">
        <v>2116</v>
      </c>
      <c r="B381" s="27" t="s">
        <v>1963</v>
      </c>
      <c r="C381" s="27" t="s">
        <v>1989</v>
      </c>
      <c r="D381" s="27" t="s">
        <v>251</v>
      </c>
    </row>
    <row r="382" spans="1:4" x14ac:dyDescent="0.25">
      <c r="A382" s="27" t="s">
        <v>2116</v>
      </c>
      <c r="B382" s="27" t="s">
        <v>1963</v>
      </c>
      <c r="C382" s="27" t="s">
        <v>1990</v>
      </c>
      <c r="D382" s="27" t="s">
        <v>253</v>
      </c>
    </row>
    <row r="383" spans="1:4" x14ac:dyDescent="0.25">
      <c r="A383" s="27" t="s">
        <v>2116</v>
      </c>
      <c r="B383" s="27" t="s">
        <v>1963</v>
      </c>
      <c r="C383" s="27" t="s">
        <v>1991</v>
      </c>
      <c r="D383" s="27" t="s">
        <v>249</v>
      </c>
    </row>
    <row r="384" spans="1:4" x14ac:dyDescent="0.25">
      <c r="A384" s="27" t="s">
        <v>2116</v>
      </c>
      <c r="B384" s="27" t="s">
        <v>1963</v>
      </c>
      <c r="C384" s="27" t="s">
        <v>2205</v>
      </c>
      <c r="D384" s="28" t="s">
        <v>646</v>
      </c>
    </row>
    <row r="385" spans="1:4" x14ac:dyDescent="0.25">
      <c r="A385" s="27" t="s">
        <v>2116</v>
      </c>
      <c r="B385" s="27" t="s">
        <v>1963</v>
      </c>
      <c r="C385" s="27" t="s">
        <v>2007</v>
      </c>
      <c r="D385" s="28" t="s">
        <v>490</v>
      </c>
    </row>
    <row r="386" spans="1:4" x14ac:dyDescent="0.25">
      <c r="A386" s="27" t="s">
        <v>2116</v>
      </c>
      <c r="B386" s="27" t="s">
        <v>1963</v>
      </c>
      <c r="C386" s="27" t="s">
        <v>2008</v>
      </c>
      <c r="D386" s="28" t="s">
        <v>492</v>
      </c>
    </row>
    <row r="387" spans="1:4" x14ac:dyDescent="0.25">
      <c r="A387" s="27" t="s">
        <v>2116</v>
      </c>
      <c r="B387" s="27" t="s">
        <v>1963</v>
      </c>
      <c r="C387" s="27" t="s">
        <v>1994</v>
      </c>
      <c r="D387" s="28" t="s">
        <v>650</v>
      </c>
    </row>
    <row r="388" spans="1:4" x14ac:dyDescent="0.25">
      <c r="A388" s="27" t="s">
        <v>2116</v>
      </c>
      <c r="B388" s="27" t="s">
        <v>1963</v>
      </c>
      <c r="C388" s="27" t="s">
        <v>1995</v>
      </c>
      <c r="D388" s="28" t="s">
        <v>688</v>
      </c>
    </row>
    <row r="389" spans="1:4" x14ac:dyDescent="0.25">
      <c r="A389" s="27" t="s">
        <v>2116</v>
      </c>
      <c r="B389" s="27" t="s">
        <v>1963</v>
      </c>
      <c r="C389" s="27" t="s">
        <v>1993</v>
      </c>
      <c r="D389" s="28" t="s">
        <v>680</v>
      </c>
    </row>
    <row r="390" spans="1:4" x14ac:dyDescent="0.25">
      <c r="A390" s="27" t="s">
        <v>2116</v>
      </c>
      <c r="B390" s="27" t="s">
        <v>1963</v>
      </c>
      <c r="C390" s="27" t="s">
        <v>1999</v>
      </c>
      <c r="D390" s="28" t="s">
        <v>628</v>
      </c>
    </row>
    <row r="391" spans="1:4" x14ac:dyDescent="0.25">
      <c r="A391" s="27" t="s">
        <v>2116</v>
      </c>
      <c r="B391" s="27" t="s">
        <v>1963</v>
      </c>
      <c r="C391" s="27" t="s">
        <v>2000</v>
      </c>
      <c r="D391" s="28" t="s">
        <v>626</v>
      </c>
    </row>
    <row r="392" spans="1:4" x14ac:dyDescent="0.25">
      <c r="A392" s="27" t="s">
        <v>2116</v>
      </c>
      <c r="B392" s="27" t="s">
        <v>1963</v>
      </c>
      <c r="C392" s="27" t="s">
        <v>1997</v>
      </c>
      <c r="D392" s="28" t="s">
        <v>452</v>
      </c>
    </row>
    <row r="393" spans="1:4" x14ac:dyDescent="0.25">
      <c r="A393" s="27" t="s">
        <v>2116</v>
      </c>
      <c r="B393" s="27" t="s">
        <v>1963</v>
      </c>
      <c r="C393" s="27" t="s">
        <v>1996</v>
      </c>
      <c r="D393" s="28" t="s">
        <v>640</v>
      </c>
    </row>
    <row r="394" spans="1:4" x14ac:dyDescent="0.25">
      <c r="A394" s="27" t="s">
        <v>2116</v>
      </c>
      <c r="B394" s="27" t="s">
        <v>1963</v>
      </c>
      <c r="C394" s="27" t="s">
        <v>1998</v>
      </c>
      <c r="D394" s="28" t="s">
        <v>638</v>
      </c>
    </row>
    <row r="395" spans="1:4" x14ac:dyDescent="0.25">
      <c r="A395" s="27" t="s">
        <v>2116</v>
      </c>
      <c r="B395" s="27" t="s">
        <v>1963</v>
      </c>
      <c r="C395" s="27" t="s">
        <v>2001</v>
      </c>
      <c r="D395" s="28" t="s">
        <v>684</v>
      </c>
    </row>
    <row r="396" spans="1:4" x14ac:dyDescent="0.25">
      <c r="A396" s="27" t="s">
        <v>2116</v>
      </c>
      <c r="B396" s="27" t="s">
        <v>1963</v>
      </c>
      <c r="C396" s="27" t="s">
        <v>2002</v>
      </c>
      <c r="D396" s="28" t="s">
        <v>454</v>
      </c>
    </row>
    <row r="397" spans="1:4" x14ac:dyDescent="0.25">
      <c r="A397" s="27" t="s">
        <v>2116</v>
      </c>
      <c r="B397" s="27" t="s">
        <v>1963</v>
      </c>
      <c r="C397" s="27" t="s">
        <v>2003</v>
      </c>
      <c r="D397" s="28" t="s">
        <v>642</v>
      </c>
    </row>
    <row r="398" spans="1:4" x14ac:dyDescent="0.25">
      <c r="A398" s="27" t="s">
        <v>2116</v>
      </c>
      <c r="B398" s="27" t="s">
        <v>1963</v>
      </c>
      <c r="C398" s="27" t="s">
        <v>2004</v>
      </c>
      <c r="D398" s="28" t="s">
        <v>486</v>
      </c>
    </row>
    <row r="399" spans="1:4" x14ac:dyDescent="0.25">
      <c r="A399" s="27" t="s">
        <v>2116</v>
      </c>
      <c r="B399" s="27" t="s">
        <v>1963</v>
      </c>
      <c r="C399" s="27" t="s">
        <v>2010</v>
      </c>
      <c r="D399" s="28" t="s">
        <v>648</v>
      </c>
    </row>
    <row r="400" spans="1:4" x14ac:dyDescent="0.25">
      <c r="A400" s="27" t="s">
        <v>2116</v>
      </c>
      <c r="B400" s="27" t="s">
        <v>1963</v>
      </c>
      <c r="C400" s="27" t="s">
        <v>2009</v>
      </c>
      <c r="D400" s="28" t="s">
        <v>650</v>
      </c>
    </row>
    <row r="401" spans="1:4" x14ac:dyDescent="0.25">
      <c r="A401" s="27" t="s">
        <v>2116</v>
      </c>
      <c r="B401" s="27" t="s">
        <v>1963</v>
      </c>
      <c r="C401" s="27" t="s">
        <v>2011</v>
      </c>
      <c r="D401" s="28" t="s">
        <v>682</v>
      </c>
    </row>
    <row r="402" spans="1:4" x14ac:dyDescent="0.25">
      <c r="A402" s="27" t="s">
        <v>2116</v>
      </c>
      <c r="B402" s="27" t="s">
        <v>1963</v>
      </c>
      <c r="C402" s="27" t="s">
        <v>2206</v>
      </c>
      <c r="D402" s="28" t="s">
        <v>561</v>
      </c>
    </row>
    <row r="403" spans="1:4" x14ac:dyDescent="0.25">
      <c r="A403" s="27" t="s">
        <v>2116</v>
      </c>
      <c r="B403" s="27" t="s">
        <v>1963</v>
      </c>
      <c r="C403" s="27" t="s">
        <v>511</v>
      </c>
      <c r="D403" s="28" t="s">
        <v>512</v>
      </c>
    </row>
    <row r="404" spans="1:4" x14ac:dyDescent="0.25">
      <c r="A404" s="27" t="s">
        <v>2116</v>
      </c>
      <c r="B404" s="27" t="s">
        <v>1963</v>
      </c>
      <c r="C404" s="27" t="s">
        <v>2012</v>
      </c>
      <c r="D404" s="28" t="s">
        <v>656</v>
      </c>
    </row>
    <row r="405" spans="1:4" x14ac:dyDescent="0.25">
      <c r="A405" s="27" t="s">
        <v>2116</v>
      </c>
      <c r="B405" s="27" t="s">
        <v>1963</v>
      </c>
      <c r="C405" s="27" t="s">
        <v>2014</v>
      </c>
      <c r="D405" s="28" t="s">
        <v>668</v>
      </c>
    </row>
    <row r="406" spans="1:4" x14ac:dyDescent="0.25">
      <c r="A406" s="27" t="s">
        <v>2116</v>
      </c>
      <c r="B406" s="27" t="s">
        <v>1963</v>
      </c>
      <c r="C406" s="27" t="s">
        <v>513</v>
      </c>
      <c r="D406" s="28" t="s">
        <v>514</v>
      </c>
    </row>
  </sheetData>
  <sortState ref="A58:D111">
    <sortCondition ref="B58:B111"/>
    <sortCondition ref="C58:C1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Lcode_mapping</vt:lpstr>
      <vt:lpstr>Lcode_mapping_new</vt:lpstr>
      <vt:lpstr>FileOrder</vt:lpstr>
      <vt:lpstr>global_toc</vt:lpstr>
      <vt:lpstr>Called from SDBH</vt:lpstr>
      <vt:lpstr>Pivex_Reject</vt:lpstr>
      <vt:lpstr>Pivex_all</vt:lpstr>
      <vt:lpstr>Pivex_Doubt</vt:lpstr>
      <vt:lpstr>Pivex_Keep</vt:lpstr>
      <vt:lpstr>Hobiger</vt:lpstr>
      <vt:lpstr>LCODE_MAP</vt:lpstr>
      <vt:lpstr>Stubs</vt:lpstr>
      <vt:lpstr>Sheet2</vt:lpstr>
      <vt:lpstr>Lcode_mapping!Print_Area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M. Gipson</dc:creator>
  <cp:lastModifiedBy>Gipson, John M. (GSFC-698.0)[NVI INC]</cp:lastModifiedBy>
  <cp:lastPrinted>2014-02-10T00:22:07Z</cp:lastPrinted>
  <dcterms:created xsi:type="dcterms:W3CDTF">2008-09-15T14:42:44Z</dcterms:created>
  <dcterms:modified xsi:type="dcterms:W3CDTF">2015-05-01T16:31:55Z</dcterms:modified>
</cp:coreProperties>
</file>